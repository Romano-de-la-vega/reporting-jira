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anallmanassociates-my.sharepoint.com/personal/romain_cieslik_argain-consulting_com/Documents/Documents/IA/rss jira analyse/"/>
    </mc:Choice>
  </mc:AlternateContent>
  <xr:revisionPtr revIDLastSave="8" documentId="11_A4EF7A8C9632F44701063C9BB7905FCD0A8EAC85" xr6:coauthVersionLast="47" xr6:coauthVersionMax="47" xr10:uidLastSave="{EBAF9CBE-8A35-45B6-BA30-12F63D07B90E}"/>
  <bookViews>
    <workbookView minimized="1" xWindow="1990" yWindow="2030" windowWidth="14400" windowHeight="7530" xr2:uid="{00000000-000D-0000-FFFF-FFFF00000000}"/>
  </bookViews>
  <sheets>
    <sheet name="Synthese" sheetId="1" r:id="rId1"/>
    <sheet name="Slide_2_Story_AC" sheetId="2" r:id="rId2"/>
    <sheet name="Analyse_filtrable" sheetId="3" r:id="rId3"/>
    <sheet name="Listes_filtres" sheetId="4" state="hidden" r:id="rId4"/>
    <sheet name="_Story_AC_Lists" sheetId="5" state="hidden" r:id="rId5"/>
    <sheet name="_Story_AC_KPI" sheetId="6" state="hidden" r:id="rId6"/>
    <sheet name="_Story_AC_Field" sheetId="7" state="hidden" r:id="rId7"/>
    <sheet name="_Story_AC_Evo" sheetId="8" state="hidden" r:id="rId8"/>
    <sheet name="_Story_AC_Top" sheetId="9" state="hidden" r:id="rId9"/>
    <sheet name="_Story_AC_Recent" sheetId="10" state="hidden" r:id="rId10"/>
    <sheet name="Modifications_focus" sheetId="11" r:id="rId11"/>
    <sheet name="Modifications_toutes" sheetId="12" r:id="rId12"/>
    <sheet name="KPI_fenetres" sheetId="13" r:id="rId13"/>
    <sheet name="KPI_sprint_status" sheetId="14" r:id="rId14"/>
    <sheet name="Descriptions_modifiees" sheetId="15" r:id="rId15"/>
    <sheet name="AC_modifies" sheetId="16" r:id="rId16"/>
    <sheet name="Story_Desc_AC_events" sheetId="17" r:id="rId17"/>
    <sheet name="Lifecycle" sheetId="18" r:id="rId18"/>
    <sheet name="Top_tickets" sheetId="19" r:id="rId19"/>
    <sheet name="Snapshots" sheetId="20" r:id="rId20"/>
    <sheet name="Latest_snapshot" sheetId="21" r:id="rId21"/>
    <sheet name="Limites" sheetId="22" r:id="rId22"/>
  </sheets>
  <definedNames>
    <definedName name="_xlnm._FilterDatabase" localSheetId="2" hidden="1">Analyse_filtrable!$A$1:$T$141</definedName>
    <definedName name="_xlnm._FilterDatabase" localSheetId="14" hidden="1">Descriptions_modifiees!$A$1:$AH$3</definedName>
    <definedName name="_xlnm._FilterDatabase" localSheetId="12" hidden="1">KPI_fenetres!$A$1:$M$3</definedName>
    <definedName name="_xlnm._FilterDatabase" localSheetId="13" hidden="1">KPI_sprint_status!$A$1:$F$47</definedName>
    <definedName name="_xlnm._FilterDatabase" localSheetId="20" hidden="1">Latest_snapshot!$A$1:$T$210</definedName>
    <definedName name="_xlnm._FilterDatabase" localSheetId="17" hidden="1">Lifecycle!$A$1:$AH$46</definedName>
    <definedName name="_xlnm._FilterDatabase" localSheetId="21" hidden="1">Limites!$A$1:$B$5</definedName>
    <definedName name="_xlnm._FilterDatabase" localSheetId="10" hidden="1">Modifications_focus!$A$1:$AH$141</definedName>
    <definedName name="_xlnm._FilterDatabase" localSheetId="11" hidden="1">Modifications_toutes!$A$1:$AH$141</definedName>
    <definedName name="_xlnm._FilterDatabase" localSheetId="19" hidden="1">Snapshots!$A$1:$G$4</definedName>
    <definedName name="_xlnm._FilterDatabase" localSheetId="18" hidden="1">Top_tickets!$A$1:$L$87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2" l="1"/>
  <c r="G94" i="2"/>
  <c r="F94" i="2"/>
  <c r="E94" i="2"/>
  <c r="D94" i="2"/>
  <c r="C94" i="2"/>
  <c r="B94" i="2"/>
  <c r="H93" i="2"/>
  <c r="G93" i="2"/>
  <c r="F93" i="2"/>
  <c r="E93" i="2"/>
  <c r="D93" i="2"/>
  <c r="C93" i="2"/>
  <c r="B93" i="2"/>
  <c r="H92" i="2"/>
  <c r="G92" i="2"/>
  <c r="F92" i="2"/>
  <c r="E92" i="2"/>
  <c r="D92" i="2"/>
  <c r="C92" i="2"/>
  <c r="B92" i="2"/>
  <c r="H91" i="2"/>
  <c r="G91" i="2"/>
  <c r="F91" i="2"/>
  <c r="E91" i="2"/>
  <c r="D91" i="2"/>
  <c r="C91" i="2"/>
  <c r="B91" i="2"/>
  <c r="H90" i="2"/>
  <c r="G90" i="2"/>
  <c r="F90" i="2"/>
  <c r="E90" i="2"/>
  <c r="D90" i="2"/>
  <c r="C90" i="2"/>
  <c r="B90" i="2"/>
  <c r="H89" i="2"/>
  <c r="G89" i="2"/>
  <c r="F89" i="2"/>
  <c r="E89" i="2"/>
  <c r="D89" i="2"/>
  <c r="C89" i="2"/>
  <c r="B89" i="2"/>
  <c r="H88" i="2"/>
  <c r="G88" i="2"/>
  <c r="F88" i="2"/>
  <c r="E88" i="2"/>
  <c r="D88" i="2"/>
  <c r="C88" i="2"/>
  <c r="B88" i="2"/>
  <c r="H87" i="2"/>
  <c r="G87" i="2"/>
  <c r="F87" i="2"/>
  <c r="E87" i="2"/>
  <c r="D87" i="2"/>
  <c r="C87" i="2"/>
  <c r="B87" i="2"/>
  <c r="H86" i="2"/>
  <c r="G86" i="2"/>
  <c r="F86" i="2"/>
  <c r="E86" i="2"/>
  <c r="D86" i="2"/>
  <c r="C86" i="2"/>
  <c r="B86" i="2"/>
  <c r="H85" i="2"/>
  <c r="G85" i="2"/>
  <c r="F85" i="2"/>
  <c r="E85" i="2"/>
  <c r="D85" i="2"/>
  <c r="C85" i="2"/>
  <c r="B85" i="2"/>
  <c r="I79" i="2"/>
  <c r="H79" i="2"/>
  <c r="G79" i="2"/>
  <c r="F79" i="2"/>
  <c r="E79" i="2"/>
  <c r="D79" i="2"/>
  <c r="C79" i="2"/>
  <c r="B79" i="2"/>
  <c r="I78" i="2"/>
  <c r="H78" i="2"/>
  <c r="G78" i="2"/>
  <c r="F78" i="2"/>
  <c r="E78" i="2"/>
  <c r="D78" i="2"/>
  <c r="C78" i="2"/>
  <c r="B78" i="2"/>
  <c r="I77" i="2"/>
  <c r="H77" i="2"/>
  <c r="G77" i="2"/>
  <c r="F77" i="2"/>
  <c r="E77" i="2"/>
  <c r="D77" i="2"/>
  <c r="C77" i="2"/>
  <c r="B77" i="2"/>
  <c r="I76" i="2"/>
  <c r="H76" i="2"/>
  <c r="G76" i="2"/>
  <c r="F76" i="2"/>
  <c r="E76" i="2"/>
  <c r="D76" i="2"/>
  <c r="C76" i="2"/>
  <c r="B76" i="2"/>
  <c r="I75" i="2"/>
  <c r="H75" i="2"/>
  <c r="G75" i="2"/>
  <c r="F75" i="2"/>
  <c r="E75" i="2"/>
  <c r="D75" i="2"/>
  <c r="C75" i="2"/>
  <c r="B75" i="2"/>
  <c r="I74" i="2"/>
  <c r="H74" i="2"/>
  <c r="G74" i="2"/>
  <c r="F74" i="2"/>
  <c r="E74" i="2"/>
  <c r="D74" i="2"/>
  <c r="C74" i="2"/>
  <c r="B74" i="2"/>
  <c r="I73" i="2"/>
  <c r="H73" i="2"/>
  <c r="G73" i="2"/>
  <c r="F73" i="2"/>
  <c r="E73" i="2"/>
  <c r="D73" i="2"/>
  <c r="C73" i="2"/>
  <c r="B73" i="2"/>
  <c r="I72" i="2"/>
  <c r="H72" i="2"/>
  <c r="G72" i="2"/>
  <c r="F72" i="2"/>
  <c r="E72" i="2"/>
  <c r="D72" i="2"/>
  <c r="C72" i="2"/>
  <c r="B72" i="2"/>
  <c r="I71" i="2"/>
  <c r="H71" i="2"/>
  <c r="G71" i="2"/>
  <c r="F71" i="2"/>
  <c r="E71" i="2"/>
  <c r="D71" i="2"/>
  <c r="C71" i="2"/>
  <c r="B71" i="2"/>
  <c r="I70" i="2"/>
  <c r="H70" i="2"/>
  <c r="G70" i="2"/>
  <c r="F70" i="2"/>
  <c r="E70" i="2"/>
  <c r="D70" i="2"/>
  <c r="C70" i="2"/>
  <c r="B70" i="2"/>
  <c r="D37" i="2"/>
  <c r="C37" i="2"/>
  <c r="B37" i="2"/>
  <c r="D36" i="2"/>
  <c r="C36" i="2"/>
  <c r="B36" i="2"/>
  <c r="C23" i="2"/>
  <c r="B23" i="2"/>
  <c r="C22" i="2"/>
  <c r="B22" i="2"/>
  <c r="J15" i="2"/>
  <c r="G15" i="2"/>
  <c r="D15" i="2"/>
  <c r="A15" i="2"/>
  <c r="J11" i="2"/>
  <c r="G11" i="2"/>
  <c r="D11" i="2"/>
  <c r="A11" i="2"/>
</calcChain>
</file>

<file path=xl/sharedStrings.xml><?xml version="1.0" encoding="utf-8"?>
<sst xmlns="http://schemas.openxmlformats.org/spreadsheetml/2006/main" count="14804" uniqueCount="1490">
  <si>
    <t>Suivi des modifications Jira RSS</t>
  </si>
  <si>
    <t>Exports analysés</t>
  </si>
  <si>
    <t>Cette synthèse est volontairement statique pour garantir l'ouverture Excel. La vue interactive demandée est en onglet 2 : Slide_2_Story_AC. Elle permet de choisir le sprint et le statut pour suivre les modifications Story sur Description et Acceptance Criteria.</t>
  </si>
  <si>
    <t>Premier export</t>
  </si>
  <si>
    <t>Dernier export</t>
  </si>
  <si>
    <t>Période début</t>
  </si>
  <si>
    <t>Période fin</t>
  </si>
  <si>
    <t>Périmètre</t>
  </si>
  <si>
    <t>Aucun filtre en ligne de commande</t>
  </si>
  <si>
    <t>Tickets modifiés</t>
  </si>
  <si>
    <t>Total modifications</t>
  </si>
  <si>
    <t>Descriptions modifiées</t>
  </si>
  <si>
    <t>AC modifiés</t>
  </si>
  <si>
    <t>Changements statut</t>
  </si>
  <si>
    <t>Changements sprint</t>
  </si>
  <si>
    <t>Tickets apparus</t>
  </si>
  <si>
    <t>Tickets disparus</t>
  </si>
  <si>
    <t>Modifications par champ</t>
  </si>
  <si>
    <t>Champ modifié</t>
  </si>
  <si>
    <t>Modifications</t>
  </si>
  <si>
    <t>Tickets concernés</t>
  </si>
  <si>
    <t>Ticket</t>
  </si>
  <si>
    <t>Sprint</t>
  </si>
  <si>
    <t>Assigné</t>
  </si>
  <si>
    <t>Statut</t>
  </si>
  <si>
    <t>Catégorie statut</t>
  </si>
  <si>
    <t>Résolution</t>
  </si>
  <si>
    <t>Liens Jira</t>
  </si>
  <si>
    <t>Commentaires</t>
  </si>
  <si>
    <t>Description</t>
  </si>
  <si>
    <t>Custom fields</t>
  </si>
  <si>
    <t>Résumé</t>
  </si>
  <si>
    <t>Onglet 2 à utiliser : Slide_2_Story_AC — suivi visuel des modifications Story sur Description et Acceptance Criteria.</t>
  </si>
  <si>
    <t>Slide 2 - Évolution des Stories : Description &amp; Acceptance Criteria</t>
  </si>
  <si>
    <t>Objectif
Suivre, par sprint, les changements intervenus sur les tickets de type Story pour les champs Description et Acceptance Criteria.</t>
  </si>
  <si>
    <t>Sprint à analyser</t>
  </si>
  <si>
    <t>Tous</t>
  </si>
  <si>
    <t>Sélectionne un sprint en E4 et, si besoin, un statut en I4. La page utilise uniquement des formules Excel compatibles : INDEX/MATCH et SUMIFS. Type de ticket fixé : Story. Champs suivis : Description et Acceptance Criteria.</t>
  </si>
  <si>
    <t>Stories dans le dernier export</t>
  </si>
  <si>
    <t>Stories impactées</t>
  </si>
  <si>
    <t>Total modifs Desc/AC</t>
  </si>
  <si>
    <t>Stories avec Desc + AC</t>
  </si>
  <si>
    <t>Taux de stories impactées</t>
  </si>
  <si>
    <t>Dernière détection</t>
  </si>
  <si>
    <t>Répartition des changements Story</t>
  </si>
  <si>
    <t>Champ</t>
  </si>
  <si>
    <t>Acceptance Criteria</t>
  </si>
  <si>
    <t>Évolution par fenêtre d'export</t>
  </si>
  <si>
    <t>Date de détection</t>
  </si>
  <si>
    <t>Descriptions</t>
  </si>
  <si>
    <t>AC</t>
  </si>
  <si>
    <t>Tickets impactés</t>
  </si>
  <si>
    <t>2026-06-08 08:07:02 UTC</t>
  </si>
  <si>
    <t>2026-06-15 13:21:52 UTC</t>
  </si>
  <si>
    <t>Top tickets Story modifiés sur Description / AC</t>
  </si>
  <si>
    <t>Rang</t>
  </si>
  <si>
    <t>Key</t>
  </si>
  <si>
    <t>Desc</t>
  </si>
  <si>
    <t>Total</t>
  </si>
  <si>
    <t>Lien</t>
  </si>
  <si>
    <t>Derniers changements détectés - extraits avant / après</t>
  </si>
  <si>
    <t>Détection</t>
  </si>
  <si>
    <t>Extrait avant</t>
  </si>
  <si>
    <t>Extrait après</t>
  </si>
  <si>
    <t>Début fenêtre</t>
  </si>
  <si>
    <t>Ticket ID</t>
  </si>
  <si>
    <t>Type</t>
  </si>
  <si>
    <t>Type de modification</t>
  </si>
  <si>
    <t>Projet</t>
  </si>
  <si>
    <t>Priorité</t>
  </si>
  <si>
    <t>Valeur avant</t>
  </si>
  <si>
    <t>Valeur après</t>
  </si>
  <si>
    <t>Fichier précédent</t>
  </si>
  <si>
    <t>Fichier courant</t>
  </si>
  <si>
    <t>Jira updated après</t>
  </si>
  <si>
    <t>392738</t>
  </si>
  <si>
    <t>PPMG-1549</t>
  </si>
  <si>
    <t>Sprint 17 2026</t>
  </si>
  <si>
    <t>In Refinement</t>
  </si>
  <si>
    <t>Story</t>
  </si>
  <si>
    <t>Assigné modifié</t>
  </si>
  <si>
    <t>PPMG</t>
  </si>
  <si>
    <t>Patrick PONCET</t>
  </si>
  <si>
    <t>High</t>
  </si>
  <si>
    <t>Yosra MANAI</t>
  </si>
  <si>
    <t>https://data-servier.atlassian.net/browse/PPMG-1549</t>
  </si>
  <si>
    <t>ticket non clot (Jira)(2).xml</t>
  </si>
  <si>
    <t>ticket non clot (Jira)(3).xml</t>
  </si>
  <si>
    <t>Commentaires modifiés</t>
  </si>
  <si>
    <t>4</t>
  </si>
  <si>
    <t>Custom fields modifiés</t>
  </si>
  <si>
    <t>Rank</t>
  </si>
  <si>
    <t>Statut modifié</t>
  </si>
  <si>
    <t>Analyse</t>
  </si>
  <si>
    <t>432497</t>
  </si>
  <si>
    <t>PPMG-1755</t>
  </si>
  <si>
    <t>Backlog</t>
  </si>
  <si>
    <t>Test Execution</t>
  </si>
  <si>
    <t>Ticket apparu dans l'export</t>
  </si>
  <si>
    <t>Yassine BOUARI</t>
  </si>
  <si>
    <t>Medium</t>
  </si>
  <si>
    <t>Exécution Ad-hoc de PPMG-1593</t>
  </si>
  <si>
    <t>https://data-servier.atlassian.net/browse/PPMG-1755</t>
  </si>
  <si>
    <t>ticket non clot (Jira)(4).xml</t>
  </si>
  <si>
    <t>432694</t>
  </si>
  <si>
    <t>PPMG-1756</t>
  </si>
  <si>
    <t>Exécution Ad-hoc de PPMG-1691</t>
  </si>
  <si>
    <t>https://data-servier.atlassian.net/browse/PPMG-1756</t>
  </si>
  <si>
    <t>432706</t>
  </si>
  <si>
    <t>PPMG-1758</t>
  </si>
  <si>
    <t>Romain CIESLIK</t>
  </si>
  <si>
    <t>Exécution Ad-hoc de PPMG-1707</t>
  </si>
  <si>
    <t>https://data-servier.atlassian.net/browse/PPMG-1758</t>
  </si>
  <si>
    <t>432956</t>
  </si>
  <si>
    <t>PPMG-1764</t>
  </si>
  <si>
    <t>Exécution Ad-hoc de PPMG-1708</t>
  </si>
  <si>
    <t>https://data-servier.atlassian.net/browse/PPMG-1764</t>
  </si>
  <si>
    <t>433173</t>
  </si>
  <si>
    <t>PPMG-1768</t>
  </si>
  <si>
    <t>Exécution Ad-hoc de PPMG-1692</t>
  </si>
  <si>
    <t>https://data-servier.atlassian.net/browse/PPMG-1768</t>
  </si>
  <si>
    <t>433229</t>
  </si>
  <si>
    <t>PPMG-1771</t>
  </si>
  <si>
    <t>Exécution Ad-hoc de PPMG-1698</t>
  </si>
  <si>
    <t>https://data-servier.atlassian.net/browse/PPMG-1771</t>
  </si>
  <si>
    <t>433333</t>
  </si>
  <si>
    <t>PPMG-1772</t>
  </si>
  <si>
    <t>Exécution Ad-hoc de PPMG-1713</t>
  </si>
  <si>
    <t>https://data-servier.atlassian.net/browse/PPMG-1772</t>
  </si>
  <si>
    <t>433577</t>
  </si>
  <si>
    <t>PPMG-1774</t>
  </si>
  <si>
    <t>Exécution Ad-hoc de PPMG-1712</t>
  </si>
  <si>
    <t>https://data-servier.atlassian.net/browse/PPMG-1774</t>
  </si>
  <si>
    <t>433597</t>
  </si>
  <si>
    <t>PPMG-1775</t>
  </si>
  <si>
    <t>Exécution Ad-hoc de PPMG-1710</t>
  </si>
  <si>
    <t>https://data-servier.atlassian.net/browse/PPMG-1775</t>
  </si>
  <si>
    <t>433658</t>
  </si>
  <si>
    <t>PPMG-1778</t>
  </si>
  <si>
    <t>Exécution Ad-hoc de PPMG-1704</t>
  </si>
  <si>
    <t>https://data-servier.atlassian.net/browse/PPMG-1778</t>
  </si>
  <si>
    <t>433680</t>
  </si>
  <si>
    <t>PPMG-1779</t>
  </si>
  <si>
    <t>Exécution Ad-hoc de PPMG-1705</t>
  </si>
  <si>
    <t>https://data-servier.atlassian.net/browse/PPMG-1779</t>
  </si>
  <si>
    <t>433833</t>
  </si>
  <si>
    <t>PPMG-1780</t>
  </si>
  <si>
    <t>Exécution Ad-hoc de PPMG-1711</t>
  </si>
  <si>
    <t>https://data-servier.atlassian.net/browse/PPMG-1780</t>
  </si>
  <si>
    <t>434013</t>
  </si>
  <si>
    <t>PPMG-1781</t>
  </si>
  <si>
    <t>Exécution Ad-hoc de PPMG-1709</t>
  </si>
  <si>
    <t>https://data-servier.atlassian.net/browse/PPMG-1781</t>
  </si>
  <si>
    <t>434021</t>
  </si>
  <si>
    <t>PPMG-1782</t>
  </si>
  <si>
    <t>https://data-servier.atlassian.net/browse/PPMG-1782</t>
  </si>
  <si>
    <t>434090</t>
  </si>
  <si>
    <t>PPMG-1783</t>
  </si>
  <si>
    <t>Exécution Ad-hoc de PPMG-1701</t>
  </si>
  <si>
    <t>https://data-servier.atlassian.net/browse/PPMG-1783</t>
  </si>
  <si>
    <t>434105</t>
  </si>
  <si>
    <t>PPMG-1784</t>
  </si>
  <si>
    <t>Exécution Ad-hoc de PPMG-1697</t>
  </si>
  <si>
    <t>https://data-servier.atlassian.net/browse/PPMG-1784</t>
  </si>
  <si>
    <t>434320</t>
  </si>
  <si>
    <t>PPMG-1786</t>
  </si>
  <si>
    <t>Exécution Ad-hoc de PPMG-1706</t>
  </si>
  <si>
    <t>https://data-servier.atlassian.net/browse/PPMG-1786</t>
  </si>
  <si>
    <t>434428</t>
  </si>
  <si>
    <t>PPMG-1787</t>
  </si>
  <si>
    <t>Exécution Ad-hoc de PPMG-1720</t>
  </si>
  <si>
    <t>https://data-servier.atlassian.net/browse/PPMG-1787</t>
  </si>
  <si>
    <t>434514</t>
  </si>
  <si>
    <t>PPMG-1789</t>
  </si>
  <si>
    <t>Exécution Ad-hoc de PPMG-1695</t>
  </si>
  <si>
    <t>https://data-servier.atlassian.net/browse/PPMG-1789</t>
  </si>
  <si>
    <t>434518</t>
  </si>
  <si>
    <t>PPMG-1791</t>
  </si>
  <si>
    <t>Exécution Ad-hoc de PPMG-1696</t>
  </si>
  <si>
    <t>https://data-servier.atlassian.net/browse/PPMG-1791</t>
  </si>
  <si>
    <t>434887</t>
  </si>
  <si>
    <t>PPMG-1792</t>
  </si>
  <si>
    <t>Exécution Ad-hoc de PPMG-1700</t>
  </si>
  <si>
    <t>https://data-servier.atlassian.net/browse/PPMG-1792</t>
  </si>
  <si>
    <t>434956</t>
  </si>
  <si>
    <t>PPMG-1794</t>
  </si>
  <si>
    <t>Exécution Ad-hoc de PPMG-1719</t>
  </si>
  <si>
    <t>https://data-servier.atlassian.net/browse/PPMG-1794</t>
  </si>
  <si>
    <t>434981</t>
  </si>
  <si>
    <t>PPMG-1795</t>
  </si>
  <si>
    <t>Exécution Ad-hoc de PPMG-1718</t>
  </si>
  <si>
    <t>https://data-servier.atlassian.net/browse/PPMG-1795</t>
  </si>
  <si>
    <t>394245</t>
  </si>
  <si>
    <t>PPMG-1556</t>
  </si>
  <si>
    <t>Ouvert</t>
  </si>
  <si>
    <t>Xray Test</t>
  </si>
  <si>
    <t>Ticket disparu de l'export</t>
  </si>
  <si>
    <t>Non assigné</t>
  </si>
  <si>
    <t>Test 1</t>
  </si>
  <si>
    <t>https://data-servier.atlassian.net/browse/PPMG-1556</t>
  </si>
  <si>
    <t>400600</t>
  </si>
  <si>
    <t>PPMG-1572</t>
  </si>
  <si>
    <t>Présence des sous-menus standards</t>
  </si>
  <si>
    <t>https://data-servier.atlassian.net/browse/PPMG-1572</t>
  </si>
  <si>
    <t>428484</t>
  </si>
  <si>
    <t>PPMG-1698</t>
  </si>
  <si>
    <t>Liens Jira modifiés</t>
  </si>
  <si>
    <t>0</t>
  </si>
  <si>
    <t>1</t>
  </si>
  <si>
    <t>https://data-servier.atlassian.net/browse/PPMG-1698</t>
  </si>
  <si>
    <t>428502</t>
  </si>
  <si>
    <t>PPMG-1701</t>
  </si>
  <si>
    <t>https://data-servier.atlassian.net/browse/PPMG-1701</t>
  </si>
  <si>
    <t>428528</t>
  </si>
  <si>
    <t>PPMG-1707</t>
  </si>
  <si>
    <t>2</t>
  </si>
  <si>
    <t>https://data-servier.atlassian.net/browse/PPMG-1707</t>
  </si>
  <si>
    <t>428533</t>
  </si>
  <si>
    <t>PPMG-1708</t>
  </si>
  <si>
    <t>https://data-servier.atlassian.net/browse/PPMG-1708</t>
  </si>
  <si>
    <t>428652</t>
  </si>
  <si>
    <t>PPMG-1718</t>
  </si>
  <si>
    <t>https://data-servier.atlassian.net/browse/PPMG-1718</t>
  </si>
  <si>
    <t>428653</t>
  </si>
  <si>
    <t>PPMG-1719</t>
  </si>
  <si>
    <t>https://data-servier.atlassian.net/browse/PPMG-1719</t>
  </si>
  <si>
    <t>430762</t>
  </si>
  <si>
    <t>PPMG-1735</t>
  </si>
  <si>
    <t>Bug</t>
  </si>
  <si>
    <t>Résumé modifié</t>
  </si>
  <si>
    <t>[MONITORING] BOARD VYP -&gt; DP</t>
  </si>
  <si>
    <t>[MONITORING] BOARD VYP -&gt; DP : next run date affichage erroné</t>
  </si>
  <si>
    <t>https://data-servier.atlassian.net/browse/PPMG-1735</t>
  </si>
  <si>
    <t>432695</t>
  </si>
  <si>
    <t>PPMG-1757</t>
  </si>
  <si>
    <t>[MONITORING] BOARD VYP -&gt; DP : champ frequency ne reflète pas la réalité</t>
  </si>
  <si>
    <t>https://data-servier.atlassian.net/browse/PPMG-1757</t>
  </si>
  <si>
    <t>432734</t>
  </si>
  <si>
    <t>PPMG-1759</t>
  </si>
  <si>
    <t>Ajouter, modifier, dupliquer, supprimer un WBS element</t>
  </si>
  <si>
    <t>https://data-servier.atlassian.net/browse/PPMG-1759</t>
  </si>
  <si>
    <t>432735</t>
  </si>
  <si>
    <t>PPMG-1760</t>
  </si>
  <si>
    <t>https://data-servier.atlassian.net/browse/PPMG-1760</t>
  </si>
  <si>
    <t>432736</t>
  </si>
  <si>
    <t>PPMG-1761</t>
  </si>
  <si>
    <t>https://data-servier.atlassian.net/browse/PPMG-1761</t>
  </si>
  <si>
    <t>432737</t>
  </si>
  <si>
    <t>PPMG-1762</t>
  </si>
  <si>
    <t>https://data-servier.atlassian.net/browse/PPMG-1762</t>
  </si>
  <si>
    <t>433653</t>
  </si>
  <si>
    <t>PPMG-1777</t>
  </si>
  <si>
    <t>La suppression d’une valeur sans Current dans le VBC n’est pas persistante</t>
  </si>
  <si>
    <t>https://data-servier.atlassian.net/browse/PPMG-1777</t>
  </si>
  <si>
    <t>434516</t>
  </si>
  <si>
    <t>PPMG-1790</t>
  </si>
  <si>
    <t>[OTD 214134 ] [INC0897395] - Comportement incohérent du champ "Display in Timeline View" dans l'onglet Timeline</t>
  </si>
  <si>
    <t>https://data-servier.atlassian.net/browse/PPMG-1790</t>
  </si>
  <si>
    <t>428255</t>
  </si>
  <si>
    <t>PPMG-1593</t>
  </si>
  <si>
    <t>Publié</t>
  </si>
  <si>
    <t>https://data-servier.atlassian.net/browse/PPMG-1593</t>
  </si>
  <si>
    <t>Catégorie statut modifié</t>
  </si>
  <si>
    <t>new</t>
  </si>
  <si>
    <t>done</t>
  </si>
  <si>
    <t>Résolution modifié</t>
  </si>
  <si>
    <t>Non résolu</t>
  </si>
  <si>
    <t>Terminé</t>
  </si>
  <si>
    <t>428463</t>
  </si>
  <si>
    <t>PPMG-1691</t>
  </si>
  <si>
    <t>https://data-servier.atlassian.net/browse/PPMG-1691</t>
  </si>
  <si>
    <t>428466</t>
  </si>
  <si>
    <t>PPMG-1692</t>
  </si>
  <si>
    <t>https://data-servier.atlassian.net/browse/PPMG-1692</t>
  </si>
  <si>
    <t>428478</t>
  </si>
  <si>
    <t>PPMG-1695</t>
  </si>
  <si>
    <t>https://data-servier.atlassian.net/browse/PPMG-1695</t>
  </si>
  <si>
    <t>428480</t>
  </si>
  <si>
    <t>PPMG-1696</t>
  </si>
  <si>
    <t>https://data-servier.atlassian.net/browse/PPMG-1696</t>
  </si>
  <si>
    <t>428501</t>
  </si>
  <si>
    <t>PPMG-1700</t>
  </si>
  <si>
    <t>https://data-servier.atlassian.net/browse/PPMG-1700</t>
  </si>
  <si>
    <t>428534</t>
  </si>
  <si>
    <t>PPMG-1709</t>
  </si>
  <si>
    <t>https://data-servier.atlassian.net/browse/PPMG-1709</t>
  </si>
  <si>
    <t>428535</t>
  </si>
  <si>
    <t>PPMG-1710</t>
  </si>
  <si>
    <t>https://data-servier.atlassian.net/browse/PPMG-1710</t>
  </si>
  <si>
    <t>428546</t>
  </si>
  <si>
    <t>PPMG-1711</t>
  </si>
  <si>
    <t>https://data-servier.atlassian.net/browse/PPMG-1711</t>
  </si>
  <si>
    <t>428643</t>
  </si>
  <si>
    <t>PPMG-1712</t>
  </si>
  <si>
    <t>https://data-servier.atlassian.net/browse/PPMG-1712</t>
  </si>
  <si>
    <t>428646</t>
  </si>
  <si>
    <t>PPMG-1713</t>
  </si>
  <si>
    <t>https://data-servier.atlassian.net/browse/PPMG-1713</t>
  </si>
  <si>
    <t>428654</t>
  </si>
  <si>
    <t>PPMG-1720</t>
  </si>
  <si>
    <t>https://data-servier.atlassian.net/browse/PPMG-1720</t>
  </si>
  <si>
    <t>316352</t>
  </si>
  <si>
    <t>PPMG-1419</t>
  </si>
  <si>
    <t>Sprint 13 2026; Sprint 17 2026; Sprint 14 2026</t>
  </si>
  <si>
    <t>Pending</t>
  </si>
  <si>
    <t>Tâche</t>
  </si>
  <si>
    <t>Sprint modifié</t>
  </si>
  <si>
    <t>RACHEL CLOIX</t>
  </si>
  <si>
    <t>Sprint 13 2026; Sprint 14 2026; Sprint 15 2026</t>
  </si>
  <si>
    <t>https://data-servier.atlassian.net/browse/PPMG-1419</t>
  </si>
  <si>
    <t>En cours</t>
  </si>
  <si>
    <t>318635</t>
  </si>
  <si>
    <t>PPMG-1432</t>
  </si>
  <si>
    <t>Sprint 14 2026; Sprint 15 2026; Sprint 16 2026</t>
  </si>
  <si>
    <t>Change</t>
  </si>
  <si>
    <t>Typhaine MICHEL</t>
  </si>
  <si>
    <t>Sprint 14 2026; Sprint 15 2026</t>
  </si>
  <si>
    <t>https://data-servier.atlassian.net/browse/PPMG-1432</t>
  </si>
  <si>
    <t>327987</t>
  </si>
  <si>
    <t>PPMG-1440</t>
  </si>
  <si>
    <t>https://data-servier.atlassian.net/browse/PPMG-1440</t>
  </si>
  <si>
    <t>363136</t>
  </si>
  <si>
    <t>PPMG-1501</t>
  </si>
  <si>
    <t>Sprint 14 2026; Sprint 16 2026</t>
  </si>
  <si>
    <t>Highest</t>
  </si>
  <si>
    <t>https://data-servier.atlassian.net/browse/PPMG-1501</t>
  </si>
  <si>
    <t>380552</t>
  </si>
  <si>
    <t>PPMG-1525</t>
  </si>
  <si>
    <t>Sprint 15 2026</t>
  </si>
  <si>
    <t>Go Prod</t>
  </si>
  <si>
    <t>[AMOA] Mise à jour OBS -&gt; Department Lead &amp; Department Involved</t>
  </si>
  <si>
    <t>https://data-servier.atlassian.net/browse/PPMG-1525</t>
  </si>
  <si>
    <t>367082</t>
  </si>
  <si>
    <t>PPMG-1508</t>
  </si>
  <si>
    <t>Sprint 15 2026; Sprint 16 2026</t>
  </si>
  <si>
    <t>https://data-servier.atlassian.net/browse/PPMG-1508</t>
  </si>
  <si>
    <t>343177</t>
  </si>
  <si>
    <t>PPMG-1477</t>
  </si>
  <si>
    <t>Candidate</t>
  </si>
  <si>
    <t>https://data-servier.atlassian.net/browse/PPMG-1477</t>
  </si>
  <si>
    <t>404531</t>
  </si>
  <si>
    <t>PPMG-1589</t>
  </si>
  <si>
    <t>Validated</t>
  </si>
  <si>
    <t>Mohamed Amine AOUAINIA</t>
  </si>
  <si>
    <t>https://data-servier.atlassian.net/browse/PPMG-1589</t>
  </si>
  <si>
    <t>306680</t>
  </si>
  <si>
    <t>PPMG-1392</t>
  </si>
  <si>
    <t>Sprint 16 2026</t>
  </si>
  <si>
    <t>Dev in Progress</t>
  </si>
  <si>
    <t>Herve ONNO</t>
  </si>
  <si>
    <t>https://data-servier.atlassian.net/browse/PPMG-1392</t>
  </si>
  <si>
    <t>389042</t>
  </si>
  <si>
    <t>PPMG-1540</t>
  </si>
  <si>
    <t>[MOE] UPGRADE v7.1.6 - Créer la liste des fonctionnalités</t>
  </si>
  <si>
    <t>https://data-servier.atlassian.net/browse/PPMG-1540</t>
  </si>
  <si>
    <t>395847</t>
  </si>
  <si>
    <t>PPMG-1565</t>
  </si>
  <si>
    <t>[MOE] - Comparaison des fonctionnalités 7.0.6 VS 7.1.6</t>
  </si>
  <si>
    <t>https://data-servier.atlassian.net/browse/PPMG-1565</t>
  </si>
  <si>
    <t>395879</t>
  </si>
  <si>
    <t>PPMG-1566</t>
  </si>
  <si>
    <t>[MOE] - Lister les répertoires des diverses interfaces pour partage à PLW</t>
  </si>
  <si>
    <t>https://data-servier.atlassian.net/browse/PPMG-1566</t>
  </si>
  <si>
    <t>430771</t>
  </si>
  <si>
    <t>PPMG-1736</t>
  </si>
  <si>
    <t>Commentaire ajouté</t>
  </si>
  <si>
    <t>https://data-servier.atlassian.net/browse/PPMG-1736</t>
  </si>
  <si>
    <t>Description modifiée</t>
  </si>
  <si>
    <t>Ticket pour suivre les OTDs ayant été ouverts et devant êtres corrigés sur la 7.1.6.
Ci-dessous la liste des OTDS concernées actuels :
208287
Message d’erreur à l’export PDF de richtext
208277
Problèmes de déconnexions SFTP-DataPlatform
207474
Couleur lié aux environnements non respecté
201933
Position de la séparation du GANTT qui ne suit pas les paramètres user
182313
Problème P&amp;L : Budget Allocation
161476
Ordre d'affichage des activités dans le GANTT
NB : A ajouter sujet Export Excel à vérifier directement avec Vincent</t>
  </si>
  <si>
    <t>Ticket pour suivre les OTDs ayant été ouverts et devant êtres corrigés sur la 7.1.6.
Ci-dessous la liste des OTDS concernées actuels :
208287
Message d’erreur à l’export PDF de richtext
208277
Problèmes de déconnexions SFTP-DataPlatform
207474
Couleur lié aux environnements non respecté
201933
Position de la séparation du GANTT qui ne suit pas les paramètres user
182313
Problème P&amp;L : Budget Allocation
161476
Ordre d'affichage des activités dans le GANTT
214138
Pb synchonisation Timeline
NB : A ajouter sujet Export Excel à vérifier directement avec Vincent</t>
  </si>
  <si>
    <t>Ticket pour suivre les OTDs ayant été ouverts et devant êtres corrigés sur la 7.1.6. | Ci-dessous la liste des OTDS concernées actuels : | 208287 | Message d’erreur à l’export PDF de richtext | 208277 | Problèmes de déconnexions SFTP-DataPlatform | 207474 | Couleur lié aux environnements non respecté | 201933 | Position de la séparation du GANTT qui ne suit pas les paramètres user | 182313 | Problème P&amp;L : Budget Allocation | 161476 | Ordre d'affichage des activités dans le GANTT | NB : A ajouter sujet Export Excel à vérifier directement avec Vincent</t>
  </si>
  <si>
    <t>Ticket pour suivre les OTDs ayant été ouverts et devant êtres corrigés sur la 7.1.6. | Ci-dessous la liste des OTDS concernées actuels : | 208287 | Message d’erreur à l’export PDF de richtext | 208277 | Problèmes de déconnexions SFTP-DataPlatform | 207474 | Couleur lié aux environnements non respecté | 201933 | Position de la séparation du GANTT qui ne suit pas les paramètres user | 182313 | Problème P&amp;L : Budget Allocation | 161476 | Ordre d'affichage des activités dans le GANTT | 214138 | Pb synchonisation Timeline | NB : A ajouter sujet Export Excel à vérifier directement avec Vincent</t>
  </si>
  <si>
    <t>432921</t>
  </si>
  <si>
    <t>PPMG-1763</t>
  </si>
  <si>
    <t>[MIG 7.1.6] Bascule des interfaces externes vers l'environnement de test migré pour exécution des tests unitaires</t>
  </si>
  <si>
    <t>https://data-servier.atlassian.net/browse/PPMG-1763</t>
  </si>
  <si>
    <t>432984</t>
  </si>
  <si>
    <t>PPMG-1765</t>
  </si>
  <si>
    <t>[OTD 214138] - [MIG 7.1.6] Les vues Issues ne sont pas affichées dans Risks &amp; Issues</t>
  </si>
  <si>
    <t>https://data-servier.atlassian.net/browse/PPMG-1765</t>
  </si>
  <si>
    <t>433222</t>
  </si>
  <si>
    <t>PPMG-1770</t>
  </si>
  <si>
    <t>[MIG 7.1.6] - Erreur lors de la modification du champ Name d’une initiative en création (VYP 7.1.6)</t>
  </si>
  <si>
    <t>https://data-servier.atlassian.net/browse/PPMG-1770</t>
  </si>
  <si>
    <t>433641</t>
  </si>
  <si>
    <t>PPMG-1776</t>
  </si>
  <si>
    <t>[MIG 7.1.6] - Initiative Dashboard : affichage incorrect de la section coûts</t>
  </si>
  <si>
    <t>https://data-servier.atlassian.net/browse/PPMG-1776</t>
  </si>
  <si>
    <t>434128</t>
  </si>
  <si>
    <t>PPMG-1785</t>
  </si>
  <si>
    <t>[MIG 7.1.6] - Gantt : présence du menu "Highlight filter" dans la barre d'outils</t>
  </si>
  <si>
    <t>https://data-servier.atlassian.net/browse/PPMG-1785</t>
  </si>
  <si>
    <t>434954</t>
  </si>
  <si>
    <t>PPMG-1793</t>
  </si>
  <si>
    <t>[MIG 7.1.6] - Dysfonctionnement du contrôle des "Changes" concurrents dans "Stage &amp; Gate"</t>
  </si>
  <si>
    <t>https://data-servier.atlassian.net/browse/PPMG-1793</t>
  </si>
  <si>
    <t>435045</t>
  </si>
  <si>
    <t>PPMG-1796</t>
  </si>
  <si>
    <t>[MIG 7.1.6] - Erreurs [EXPORT FAILED] sur les cibles IMPEX DATAPLATFORM</t>
  </si>
  <si>
    <t>https://data-servier.atlassian.net/browse/PPMG-1796</t>
  </si>
  <si>
    <t>432178</t>
  </si>
  <si>
    <t>PPMG-1750</t>
  </si>
  <si>
    <t>indeterminate</t>
  </si>
  <si>
    <t>https://data-servier.atlassian.net/browse/PPMG-1750</t>
  </si>
  <si>
    <t>Action
Données
Résultat Attendu
Résultat Actuel
Accès au module Home
Localisation : Menu principal &gt; Home
Procédure à suivre : 1. Se connecter à VYP2. Cliquer sur le module Home
Le module Home s’ouvre sans erreur
-
Chargement de la page Workbox
Localisation : Home
Procédure à suivre : 1. Accéder au module Home
La page Workbox est affichée par défaut
-
Affichage du logo Planisware
Localisation : Home &gt; Bandeau supérieur
Procédure à suivre : 1. Accéder à la Home
Le logo VYP est visible, correctement positionné et non déformé
-
Redirection via le logo Home
Localisation : autre modules que Home
Procédure à suivre : 1. Cliquer sur le logo Home
L’utilisateur est redirigé vers la page Home / Workbox
-
Affichage du composant Filters
Localisation : Home &gt; Workbox
Procédure à suivre : 1. Accéder à la Home
Le bloc Filters est visible
-
Utilisation d’un filtre
Localisation : Home &gt; Filters
Procédure à suivre : 1. Sélectionner un filtre
Les données affichées dans la Workbox sont filtrées correctement
-
Réinitialisation des filtres
Localisation : Home &gt; Filters
Procédure à suivre : 1. Appliquer un filtre2. Réinitialiser / supprimer le filtre
L’affichage revient à l’état par défaut
-
Affichage du calendrier
Localisation : Home &gt; Calendar
Procédure à suivre : 1. Accéder à la Home
Le module Calendar est visible
-
Navigation dans le calendrier
Localisation : Home &gt; Calendar
Procédure à suivre : 1. Changer de période (semaine/mois)
Le calendrier se met à jour correctement
-
Accès à un risque via le calendrier
Localisation : Home &gt; Calendar
Procédure à suivre : 1. Cliquer sur un élément du calendrier
L’initiative correspondante s’ouvre
-
Droits utilisateur – personnalisation Home
Localisation : Home
Procédure à suivre : 1. Se connecter avec un profil sans droits avancés2. Accéder à la Home
Les options de personnalisation ne sont pas accessibles
-
Cohérence graphique des modules
Localisation : Home &gt; Workbox
Procédure à suivre : 1. Observer les blocs (News, Calendar, Filters, Shortcuts)
Les styles (alignement, couleurs, tailles) sont homogènes
-
Absence d’erreur JS / UI
Localisation : Home
Procédure à suivre : 1. Naviguer sur tous les modules de la Home
Aucune erreur bloquante ou anomalie d’affichage
-
vérifier quels autre pages sont utilisées dans la le module HOME en tant que dev
Localisation :
Procédure à suivre :
-
-</t>
  </si>
  <si>
    <t>Contexte :
Dans le cadre des tests de non-régression technique réalisés suite à la montée de version de Planisware, une anomalie a été identifiée concernant les pages disponibles dans le module Home.
Description de l'anomalie :
Le contenu du module Home ne correspond pas au périmètre attendu défini sur la version de référence VYP 7.0.6.
Résultat attendu :
Pour les profils Dev, Adm, Std et PM, seules les pages suivantes doivent être visibles dans le module Home :
Documents
Issues
Meetings
Messages
My deliverables
My requirements
Planning
Projects
Risks
Wall
Workbox
Page de l'utilisateur
Cette liste doit être identique à celle disponible sur la version VYP 7.0.6.
Toute autre page présente dans le module Home doit être masquée.</t>
  </si>
  <si>
    <t>Action | Données | Résultat Attendu | Résultat Actuel | Accès au module Home | Localisation : Menu principal &gt; Home | Procédure à suivre : 1. Se connecter à VYP2. Cliquer sur le module Home | Le module Home s’ouvre sans erreur | - | Chargement de la page Workbox | Localisation : Home | Procédure à suivre : 1. Accéder au module Home | La page Workbox est affichée par défaut | - | Affichage du logo Planisware | Localisation : Home &gt; Bandeau supérieur | Procédure à suivre : 1. Accéder à la Home | Le logo VYP est visible, correctement positionné et non déformé | - | Redirection via le logo Home | Localisation : autre modules que Home | Procédu...</t>
  </si>
  <si>
    <t>Contexte : | Dans le cadre des tests de non-régression technique réalisés suite à la montée de version de Planisware, une anomalie a été identifiée concernant les pages disponibles dans le module Home. | Description de l'anomalie : | Le contenu du module Home ne correspond pas au périmètre attendu défini sur la version de référence VYP 7.0.6. | Résultat attendu : | Pour les profils Dev, Adm, Std et PM, seules les pages suivantes doivent être visibles dans le module Home : | Documents | Issues | Meetings | Messages | My deliverables | My requirements | Planning | Projects | Risks | Wall | Workbox | Page de l'utilisateur | Cette liste doit ê...</t>
  </si>
  <si>
    <t>433394</t>
  </si>
  <si>
    <t>PPMG-1773</t>
  </si>
  <si>
    <t>[MIG 7.1.6] - Portfolio Reporting - Visibilité incorrecte de certains rapports après montée de version</t>
  </si>
  <si>
    <t>https://data-servier.atlassian.net/browse/PPMG-1773</t>
  </si>
  <si>
    <t>252701</t>
  </si>
  <si>
    <t>PPMG-1241</t>
  </si>
  <si>
    <t>https://data-servier.atlassian.net/browse/PPMG-1241</t>
  </si>
  <si>
    <t>372342</t>
  </si>
  <si>
    <t>PPMG-1517</t>
  </si>
  <si>
    <t>https://data-servier.atlassian.net/browse/PPMG-1517</t>
  </si>
  <si>
    <t>382401</t>
  </si>
  <si>
    <t>PPMG-1528</t>
  </si>
  <si>
    <t>https://data-servier.atlassian.net/browse/PPMG-1528</t>
  </si>
  <si>
    <t>434462</t>
  </si>
  <si>
    <t>PPMG-1788</t>
  </si>
  <si>
    <t>[AMOA] Changement d'une valeur de l'OBS</t>
  </si>
  <si>
    <t>https://data-servier.atlassian.net/browse/PPMG-1788</t>
  </si>
  <si>
    <t>345593</t>
  </si>
  <si>
    <t>PPMG-1482</t>
  </si>
  <si>
    <t>https://data-servier.atlassian.net/browse/PPMG-1482</t>
  </si>
  <si>
    <t>6</t>
  </si>
  <si>
    <t>7</t>
  </si>
  <si>
    <t>388732</t>
  </si>
  <si>
    <t>PPMG-1539</t>
  </si>
  <si>
    <t>https://data-servier.atlassian.net/browse/PPMG-1539</t>
  </si>
  <si>
    <t>428228</t>
  </si>
  <si>
    <t>PPMG-1592</t>
  </si>
  <si>
    <t>https://data-servier.atlassian.net/browse/PPMG-1592</t>
  </si>
  <si>
    <t>382354</t>
  </si>
  <si>
    <t>PPMG-1527</t>
  </si>
  <si>
    <t>https://data-servier.atlassian.net/browse/PPMG-1527</t>
  </si>
  <si>
    <t>385510</t>
  </si>
  <si>
    <t>PPMG-1533</t>
  </si>
  <si>
    <t>https://data-servier.atlassian.net/browse/PPMG-1533</t>
  </si>
  <si>
    <t>399924</t>
  </si>
  <si>
    <t>PPMG-1570</t>
  </si>
  <si>
    <t>https://data-servier.atlassian.net/browse/PPMG-1570</t>
  </si>
  <si>
    <t>264567</t>
  </si>
  <si>
    <t>PPMG-1268</t>
  </si>
  <si>
    <t>Ready for Development</t>
  </si>
  <si>
    <t>https://data-servier.atlassian.net/browse/PPMG-1268</t>
  </si>
  <si>
    <t>360128</t>
  </si>
  <si>
    <t>PPMG-1491</t>
  </si>
  <si>
    <t>Sprint 17 2026; Sprint 14 2026</t>
  </si>
  <si>
    <t>https://data-servier.atlassian.net/browse/PPMG-1491</t>
  </si>
  <si>
    <t>Sprint 10; Sprint 17 2026</t>
  </si>
  <si>
    <t>Stories dernier export</t>
  </si>
  <si>
    <t>Tickets Story impactés</t>
  </si>
  <si>
    <t>Tickets desc modifiée</t>
  </si>
  <si>
    <t>Tickets AC modifiés</t>
  </si>
  <si>
    <t>Tickets desc+AC</t>
  </si>
  <si>
    <t>Taux impact</t>
  </si>
  <si>
    <t>Première détection</t>
  </si>
  <si>
    <t>Tous|Tous</t>
  </si>
  <si>
    <t>Tous|Analyse</t>
  </si>
  <si>
    <t>Tous|Backlog</t>
  </si>
  <si>
    <t>Tous|Candidate</t>
  </si>
  <si>
    <t>Tous|Dev in Progress</t>
  </si>
  <si>
    <t>Tous|Go Prod</t>
  </si>
  <si>
    <t>Tous|In Refinement</t>
  </si>
  <si>
    <t>Tous|Ready for Development</t>
  </si>
  <si>
    <t>Sprint 10; Sprint 17 2026|Tous</t>
  </si>
  <si>
    <t>Sprint 10; Sprint 17 2026|Analyse</t>
  </si>
  <si>
    <t>Sprint 10; Sprint 17 2026|Backlog</t>
  </si>
  <si>
    <t>Sprint 10; Sprint 17 2026|Candidate</t>
  </si>
  <si>
    <t>Sprint 10; Sprint 17 2026|Dev in Progress</t>
  </si>
  <si>
    <t>Sprint 10; Sprint 17 2026|Go Prod</t>
  </si>
  <si>
    <t>Sprint 10; Sprint 17 2026|In Refinement</t>
  </si>
  <si>
    <t>Sprint 10; Sprint 17 2026|Ready for Development</t>
  </si>
  <si>
    <t>Sprint 14 2026; Sprint 15 2026|Tous</t>
  </si>
  <si>
    <t>Sprint 14 2026; Sprint 15 2026|Analyse</t>
  </si>
  <si>
    <t>Sprint 14 2026; Sprint 15 2026|Backlog</t>
  </si>
  <si>
    <t>Sprint 14 2026; Sprint 15 2026|Candidate</t>
  </si>
  <si>
    <t>Sprint 14 2026; Sprint 15 2026|Dev in Progress</t>
  </si>
  <si>
    <t>Sprint 14 2026; Sprint 15 2026|Go Prod</t>
  </si>
  <si>
    <t>Sprint 14 2026; Sprint 15 2026|In Refinement</t>
  </si>
  <si>
    <t>Sprint 14 2026; Sprint 15 2026|Ready for Development</t>
  </si>
  <si>
    <t>Sprint 14 2026; Sprint 15 2026; Sprint 16 2026|Tous</t>
  </si>
  <si>
    <t>Sprint 14 2026; Sprint 15 2026; Sprint 16 2026|Analyse</t>
  </si>
  <si>
    <t>Sprint 14 2026; Sprint 15 2026; Sprint 16 2026|Backlog</t>
  </si>
  <si>
    <t>Sprint 14 2026; Sprint 15 2026; Sprint 16 2026|Candidate</t>
  </si>
  <si>
    <t>Sprint 14 2026; Sprint 15 2026; Sprint 16 2026|Dev in Progress</t>
  </si>
  <si>
    <t>Sprint 14 2026; Sprint 15 2026; Sprint 16 2026|Go Prod</t>
  </si>
  <si>
    <t>Sprint 14 2026; Sprint 15 2026; Sprint 16 2026|In Refinement</t>
  </si>
  <si>
    <t>Sprint 14 2026; Sprint 15 2026; Sprint 16 2026|Ready for Development</t>
  </si>
  <si>
    <t>Sprint 14 2026; Sprint 16 2026|Tous</t>
  </si>
  <si>
    <t>Sprint 14 2026; Sprint 16 2026|Analyse</t>
  </si>
  <si>
    <t>Sprint 14 2026; Sprint 16 2026|Backlog</t>
  </si>
  <si>
    <t>Sprint 14 2026; Sprint 16 2026|Candidate</t>
  </si>
  <si>
    <t>Sprint 14 2026; Sprint 16 2026|Dev in Progress</t>
  </si>
  <si>
    <t>Sprint 14 2026; Sprint 16 2026|Go Prod</t>
  </si>
  <si>
    <t>Sprint 14 2026; Sprint 16 2026|In Refinement</t>
  </si>
  <si>
    <t>Sprint 14 2026; Sprint 16 2026|Ready for Development</t>
  </si>
  <si>
    <t>Sprint 15 2026|Tous</t>
  </si>
  <si>
    <t>Sprint 15 2026|Analyse</t>
  </si>
  <si>
    <t>Sprint 15 2026|Backlog</t>
  </si>
  <si>
    <t>Sprint 15 2026|Candidate</t>
  </si>
  <si>
    <t>Sprint 15 2026|Dev in Progress</t>
  </si>
  <si>
    <t>Sprint 15 2026|Go Prod</t>
  </si>
  <si>
    <t>Sprint 15 2026|In Refinement</t>
  </si>
  <si>
    <t>Sprint 15 2026|Ready for Development</t>
  </si>
  <si>
    <t>Sprint 15 2026; Sprint 16 2026|Tous</t>
  </si>
  <si>
    <t>Sprint 15 2026; Sprint 16 2026|Analyse</t>
  </si>
  <si>
    <t>Sprint 15 2026; Sprint 16 2026|Backlog</t>
  </si>
  <si>
    <t>Sprint 15 2026; Sprint 16 2026|Candidate</t>
  </si>
  <si>
    <t>Sprint 15 2026; Sprint 16 2026|Dev in Progress</t>
  </si>
  <si>
    <t>Sprint 15 2026; Sprint 16 2026|Go Prod</t>
  </si>
  <si>
    <t>Sprint 15 2026; Sprint 16 2026|In Refinement</t>
  </si>
  <si>
    <t>Sprint 15 2026; Sprint 16 2026|Ready for Development</t>
  </si>
  <si>
    <t>Sprint 16 2026|Tous</t>
  </si>
  <si>
    <t>Sprint 16 2026|Analyse</t>
  </si>
  <si>
    <t>Sprint 16 2026|Backlog</t>
  </si>
  <si>
    <t>Sprint 16 2026|Candidate</t>
  </si>
  <si>
    <t>Sprint 16 2026|Dev in Progress</t>
  </si>
  <si>
    <t>Sprint 16 2026|Go Prod</t>
  </si>
  <si>
    <t>Sprint 16 2026|In Refinement</t>
  </si>
  <si>
    <t>Sprint 16 2026|Ready for Development</t>
  </si>
  <si>
    <t>Sprint 17 2026|Tous</t>
  </si>
  <si>
    <t>Sprint 17 2026|Analyse</t>
  </si>
  <si>
    <t>Sprint 17 2026|Backlog</t>
  </si>
  <si>
    <t>Sprint 17 2026|Candidate</t>
  </si>
  <si>
    <t>Sprint 17 2026|Dev in Progress</t>
  </si>
  <si>
    <t>Sprint 17 2026|Go Prod</t>
  </si>
  <si>
    <t>Sprint 17 2026|In Refinement</t>
  </si>
  <si>
    <t>Sprint 17 2026|Ready for Development</t>
  </si>
  <si>
    <t>Sprint 17 2026; Sprint 14 2026|Tous</t>
  </si>
  <si>
    <t>Sprint 17 2026; Sprint 14 2026|Analyse</t>
  </si>
  <si>
    <t>Sprint 17 2026; Sprint 14 2026|Backlog</t>
  </si>
  <si>
    <t>Sprint 17 2026; Sprint 14 2026|Candidate</t>
  </si>
  <si>
    <t>Sprint 17 2026; Sprint 14 2026|Dev in Progress</t>
  </si>
  <si>
    <t>Sprint 17 2026; Sprint 14 2026|Go Prod</t>
  </si>
  <si>
    <t>Sprint 17 2026; Sprint 14 2026|In Refinement</t>
  </si>
  <si>
    <t>Sprint 17 2026; Sprint 14 2026|Ready for Development</t>
  </si>
  <si>
    <t>Tous|Tous|Description</t>
  </si>
  <si>
    <t>Tous|Tous|Acceptance Criteria</t>
  </si>
  <si>
    <t>Tous|Analyse|Description</t>
  </si>
  <si>
    <t>Tous|Analyse|Acceptance Criteria</t>
  </si>
  <si>
    <t>Tous|Backlog|Description</t>
  </si>
  <si>
    <t>Tous|Backlog|Acceptance Criteria</t>
  </si>
  <si>
    <t>Tous|Candidate|Description</t>
  </si>
  <si>
    <t>Tous|Candidate|Acceptance Criteria</t>
  </si>
  <si>
    <t>Tous|Dev in Progress|Description</t>
  </si>
  <si>
    <t>Tous|Dev in Progress|Acceptance Criteria</t>
  </si>
  <si>
    <t>Tous|Go Prod|Description</t>
  </si>
  <si>
    <t>Tous|Go Prod|Acceptance Criteria</t>
  </si>
  <si>
    <t>Tous|In Refinement|Description</t>
  </si>
  <si>
    <t>Tous|In Refinement|Acceptance Criteria</t>
  </si>
  <si>
    <t>Tous|Ready for Development|Description</t>
  </si>
  <si>
    <t>Tous|Ready for Development|Acceptance Criteria</t>
  </si>
  <si>
    <t>Sprint 10; Sprint 17 2026|Tous|Description</t>
  </si>
  <si>
    <t>Sprint 10; Sprint 17 2026|Tous|Acceptance Criteria</t>
  </si>
  <si>
    <t>Sprint 10; Sprint 17 2026|Analyse|Description</t>
  </si>
  <si>
    <t>Sprint 10; Sprint 17 2026|Analyse|Acceptance Criteria</t>
  </si>
  <si>
    <t>Sprint 10; Sprint 17 2026|Backlog|Description</t>
  </si>
  <si>
    <t>Sprint 10; Sprint 17 2026|Backlog|Acceptance Criteria</t>
  </si>
  <si>
    <t>Sprint 10; Sprint 17 2026|Candidate|Description</t>
  </si>
  <si>
    <t>Sprint 10; Sprint 17 2026|Candidate|Acceptance Criteria</t>
  </si>
  <si>
    <t>Sprint 10; Sprint 17 2026|Dev in Progress|Description</t>
  </si>
  <si>
    <t>Sprint 10; Sprint 17 2026|Dev in Progress|Acceptance Criteria</t>
  </si>
  <si>
    <t>Sprint 10; Sprint 17 2026|Go Prod|Description</t>
  </si>
  <si>
    <t>Sprint 10; Sprint 17 2026|Go Prod|Acceptance Criteria</t>
  </si>
  <si>
    <t>Sprint 10; Sprint 17 2026|In Refinement|Description</t>
  </si>
  <si>
    <t>Sprint 10; Sprint 17 2026|In Refinement|Acceptance Criteria</t>
  </si>
  <si>
    <t>Sprint 10; Sprint 17 2026|Ready for Development|Description</t>
  </si>
  <si>
    <t>Sprint 10; Sprint 17 2026|Ready for Development|Acceptance Criteria</t>
  </si>
  <si>
    <t>Sprint 14 2026; Sprint 15 2026|Tous|Description</t>
  </si>
  <si>
    <t>Sprint 14 2026; Sprint 15 2026|Tous|Acceptance Criteria</t>
  </si>
  <si>
    <t>Sprint 14 2026; Sprint 15 2026|Analyse|Description</t>
  </si>
  <si>
    <t>Sprint 14 2026; Sprint 15 2026|Analyse|Acceptance Criteria</t>
  </si>
  <si>
    <t>Sprint 14 2026; Sprint 15 2026|Backlog|Description</t>
  </si>
  <si>
    <t>Sprint 14 2026; Sprint 15 2026|Backlog|Acceptance Criteria</t>
  </si>
  <si>
    <t>Sprint 14 2026; Sprint 15 2026|Candidate|Description</t>
  </si>
  <si>
    <t>Sprint 14 2026; Sprint 15 2026|Candidate|Acceptance Criteria</t>
  </si>
  <si>
    <t>Sprint 14 2026; Sprint 15 2026|Dev in Progress|Description</t>
  </si>
  <si>
    <t>Sprint 14 2026; Sprint 15 2026|Dev in Progress|Acceptance Criteria</t>
  </si>
  <si>
    <t>Sprint 14 2026; Sprint 15 2026|Go Prod|Description</t>
  </si>
  <si>
    <t>Sprint 14 2026; Sprint 15 2026|Go Prod|Acceptance Criteria</t>
  </si>
  <si>
    <t>Sprint 14 2026; Sprint 15 2026|In Refinement|Description</t>
  </si>
  <si>
    <t>Sprint 14 2026; Sprint 15 2026|In Refinement|Acceptance Criteria</t>
  </si>
  <si>
    <t>Sprint 14 2026; Sprint 15 2026|Ready for Development|Description</t>
  </si>
  <si>
    <t>Sprint 14 2026; Sprint 15 2026|Ready for Development|Acceptance Criteria</t>
  </si>
  <si>
    <t>Sprint 14 2026; Sprint 15 2026; Sprint 16 2026|Tous|Description</t>
  </si>
  <si>
    <t>Sprint 14 2026; Sprint 15 2026; Sprint 16 2026|Tous|Acceptance Criteria</t>
  </si>
  <si>
    <t>Sprint 14 2026; Sprint 15 2026; Sprint 16 2026|Analyse|Description</t>
  </si>
  <si>
    <t>Sprint 14 2026; Sprint 15 2026; Sprint 16 2026|Analyse|Acceptance Criteria</t>
  </si>
  <si>
    <t>Sprint 14 2026; Sprint 15 2026; Sprint 16 2026|Backlog|Description</t>
  </si>
  <si>
    <t>Sprint 14 2026; Sprint 15 2026; Sprint 16 2026|Backlog|Acceptance Criteria</t>
  </si>
  <si>
    <t>Sprint 14 2026; Sprint 15 2026; Sprint 16 2026|Candidate|Description</t>
  </si>
  <si>
    <t>Sprint 14 2026; Sprint 15 2026; Sprint 16 2026|Candidate|Acceptance Criteria</t>
  </si>
  <si>
    <t>Sprint 14 2026; Sprint 15 2026; Sprint 16 2026|Dev in Progress|Description</t>
  </si>
  <si>
    <t>Sprint 14 2026; Sprint 15 2026; Sprint 16 2026|Dev in Progress|Acceptance Criteria</t>
  </si>
  <si>
    <t>Sprint 14 2026; Sprint 15 2026; Sprint 16 2026|Go Prod|Description</t>
  </si>
  <si>
    <t>Sprint 14 2026; Sprint 15 2026; Sprint 16 2026|Go Prod|Acceptance Criteria</t>
  </si>
  <si>
    <t>Sprint 14 2026; Sprint 15 2026; Sprint 16 2026|In Refinement|Description</t>
  </si>
  <si>
    <t>Sprint 14 2026; Sprint 15 2026; Sprint 16 2026|In Refinement|Acceptance Criteria</t>
  </si>
  <si>
    <t>Sprint 14 2026; Sprint 15 2026; Sprint 16 2026|Ready for Development|Description</t>
  </si>
  <si>
    <t>Sprint 14 2026; Sprint 15 2026; Sprint 16 2026|Ready for Development|Acceptance Criteria</t>
  </si>
  <si>
    <t>Sprint 14 2026; Sprint 16 2026|Tous|Description</t>
  </si>
  <si>
    <t>Sprint 14 2026; Sprint 16 2026|Tous|Acceptance Criteria</t>
  </si>
  <si>
    <t>Sprint 14 2026; Sprint 16 2026|Analyse|Description</t>
  </si>
  <si>
    <t>Sprint 14 2026; Sprint 16 2026|Analyse|Acceptance Criteria</t>
  </si>
  <si>
    <t>Sprint 14 2026; Sprint 16 2026|Backlog|Description</t>
  </si>
  <si>
    <t>Sprint 14 2026; Sprint 16 2026|Backlog|Acceptance Criteria</t>
  </si>
  <si>
    <t>Sprint 14 2026; Sprint 16 2026|Candidate|Description</t>
  </si>
  <si>
    <t>Sprint 14 2026; Sprint 16 2026|Candidate|Acceptance Criteria</t>
  </si>
  <si>
    <t>Sprint 14 2026; Sprint 16 2026|Dev in Progress|Description</t>
  </si>
  <si>
    <t>Sprint 14 2026; Sprint 16 2026|Dev in Progress|Acceptance Criteria</t>
  </si>
  <si>
    <t>Sprint 14 2026; Sprint 16 2026|Go Prod|Description</t>
  </si>
  <si>
    <t>Sprint 14 2026; Sprint 16 2026|Go Prod|Acceptance Criteria</t>
  </si>
  <si>
    <t>Sprint 14 2026; Sprint 16 2026|In Refinement|Description</t>
  </si>
  <si>
    <t>Sprint 14 2026; Sprint 16 2026|In Refinement|Acceptance Criteria</t>
  </si>
  <si>
    <t>Sprint 14 2026; Sprint 16 2026|Ready for Development|Description</t>
  </si>
  <si>
    <t>Sprint 14 2026; Sprint 16 2026|Ready for Development|Acceptance Criteria</t>
  </si>
  <si>
    <t>Sprint 15 2026|Tous|Description</t>
  </si>
  <si>
    <t>Sprint 15 2026|Tous|Acceptance Criteria</t>
  </si>
  <si>
    <t>Sprint 15 2026|Analyse|Description</t>
  </si>
  <si>
    <t>Sprint 15 2026|Analyse|Acceptance Criteria</t>
  </si>
  <si>
    <t>Sprint 15 2026|Backlog|Description</t>
  </si>
  <si>
    <t>Sprint 15 2026|Backlog|Acceptance Criteria</t>
  </si>
  <si>
    <t>Sprint 15 2026|Candidate|Description</t>
  </si>
  <si>
    <t>Sprint 15 2026|Candidate|Acceptance Criteria</t>
  </si>
  <si>
    <t>Sprint 15 2026|Dev in Progress|Description</t>
  </si>
  <si>
    <t>Sprint 15 2026|Dev in Progress|Acceptance Criteria</t>
  </si>
  <si>
    <t>Sprint 15 2026|Go Prod|Description</t>
  </si>
  <si>
    <t>Sprint 15 2026|Go Prod|Acceptance Criteria</t>
  </si>
  <si>
    <t>Sprint 15 2026|In Refinement|Description</t>
  </si>
  <si>
    <t>Sprint 15 2026|In Refinement|Acceptance Criteria</t>
  </si>
  <si>
    <t>Sprint 15 2026|Ready for Development|Description</t>
  </si>
  <si>
    <t>Sprint 15 2026|Ready for Development|Acceptance Criteria</t>
  </si>
  <si>
    <t>Sprint 15 2026; Sprint 16 2026|Tous|Description</t>
  </si>
  <si>
    <t>Sprint 15 2026; Sprint 16 2026|Tous|Acceptance Criteria</t>
  </si>
  <si>
    <t>Sprint 15 2026; Sprint 16 2026|Analyse|Description</t>
  </si>
  <si>
    <t>Sprint 15 2026; Sprint 16 2026|Analyse|Acceptance Criteria</t>
  </si>
  <si>
    <t>Sprint 15 2026; Sprint 16 2026|Backlog|Description</t>
  </si>
  <si>
    <t>Sprint 15 2026; Sprint 16 2026|Backlog|Acceptance Criteria</t>
  </si>
  <si>
    <t>Sprint 15 2026; Sprint 16 2026|Candidate|Description</t>
  </si>
  <si>
    <t>Sprint 15 2026; Sprint 16 2026|Candidate|Acceptance Criteria</t>
  </si>
  <si>
    <t>Sprint 15 2026; Sprint 16 2026|Dev in Progress|Description</t>
  </si>
  <si>
    <t>Sprint 15 2026; Sprint 16 2026|Dev in Progress|Acceptance Criteria</t>
  </si>
  <si>
    <t>Sprint 15 2026; Sprint 16 2026|Go Prod|Description</t>
  </si>
  <si>
    <t>Sprint 15 2026; Sprint 16 2026|Go Prod|Acceptance Criteria</t>
  </si>
  <si>
    <t>Sprint 15 2026; Sprint 16 2026|In Refinement|Description</t>
  </si>
  <si>
    <t>Sprint 15 2026; Sprint 16 2026|In Refinement|Acceptance Criteria</t>
  </si>
  <si>
    <t>Sprint 15 2026; Sprint 16 2026|Ready for Development|Description</t>
  </si>
  <si>
    <t>Sprint 15 2026; Sprint 16 2026|Ready for Development|Acceptance Criteria</t>
  </si>
  <si>
    <t>Sprint 16 2026|Tous|Description</t>
  </si>
  <si>
    <t>Sprint 16 2026|Tous|Acceptance Criteria</t>
  </si>
  <si>
    <t>Sprint 16 2026|Analyse|Description</t>
  </si>
  <si>
    <t>Sprint 16 2026|Analyse|Acceptance Criteria</t>
  </si>
  <si>
    <t>Sprint 16 2026|Backlog|Description</t>
  </si>
  <si>
    <t>Sprint 16 2026|Backlog|Acceptance Criteria</t>
  </si>
  <si>
    <t>Sprint 16 2026|Candidate|Description</t>
  </si>
  <si>
    <t>Sprint 16 2026|Candidate|Acceptance Criteria</t>
  </si>
  <si>
    <t>Sprint 16 2026|Dev in Progress|Description</t>
  </si>
  <si>
    <t>Sprint 16 2026|Dev in Progress|Acceptance Criteria</t>
  </si>
  <si>
    <t>Sprint 16 2026|Go Prod|Description</t>
  </si>
  <si>
    <t>Sprint 16 2026|Go Prod|Acceptance Criteria</t>
  </si>
  <si>
    <t>Sprint 16 2026|In Refinement|Description</t>
  </si>
  <si>
    <t>Sprint 16 2026|In Refinement|Acceptance Criteria</t>
  </si>
  <si>
    <t>Sprint 16 2026|Ready for Development|Description</t>
  </si>
  <si>
    <t>Sprint 16 2026|Ready for Development|Acceptance Criteria</t>
  </si>
  <si>
    <t>Sprint 17 2026|Tous|Description</t>
  </si>
  <si>
    <t>Sprint 17 2026|Tous|Acceptance Criteria</t>
  </si>
  <si>
    <t>Sprint 17 2026|Analyse|Description</t>
  </si>
  <si>
    <t>Sprint 17 2026|Analyse|Acceptance Criteria</t>
  </si>
  <si>
    <t>Sprint 17 2026|Backlog|Description</t>
  </si>
  <si>
    <t>Sprint 17 2026|Backlog|Acceptance Criteria</t>
  </si>
  <si>
    <t>Sprint 17 2026|Candidate|Description</t>
  </si>
  <si>
    <t>Sprint 17 2026|Candidate|Acceptance Criteria</t>
  </si>
  <si>
    <t>Sprint 17 2026|Dev in Progress|Description</t>
  </si>
  <si>
    <t>Sprint 17 2026|Dev in Progress|Acceptance Criteria</t>
  </si>
  <si>
    <t>Sprint 17 2026|Go Prod|Description</t>
  </si>
  <si>
    <t>Sprint 17 2026|Go Prod|Acceptance Criteria</t>
  </si>
  <si>
    <t>Sprint 17 2026|In Refinement|Description</t>
  </si>
  <si>
    <t>Sprint 17 2026|In Refinement|Acceptance Criteria</t>
  </si>
  <si>
    <t>Sprint 17 2026|Ready for Development|Description</t>
  </si>
  <si>
    <t>Sprint 17 2026|Ready for Development|Acceptance Criteria</t>
  </si>
  <si>
    <t>Sprint 17 2026; Sprint 14 2026|Tous|Description</t>
  </si>
  <si>
    <t>Sprint 17 2026; Sprint 14 2026|Tous|Acceptance Criteria</t>
  </si>
  <si>
    <t>Sprint 17 2026; Sprint 14 2026|Analyse|Description</t>
  </si>
  <si>
    <t>Sprint 17 2026; Sprint 14 2026|Analyse|Acceptance Criteria</t>
  </si>
  <si>
    <t>Sprint 17 2026; Sprint 14 2026|Backlog|Description</t>
  </si>
  <si>
    <t>Sprint 17 2026; Sprint 14 2026|Backlog|Acceptance Criteria</t>
  </si>
  <si>
    <t>Sprint 17 2026; Sprint 14 2026|Candidate|Description</t>
  </si>
  <si>
    <t>Sprint 17 2026; Sprint 14 2026|Candidate|Acceptance Criteria</t>
  </si>
  <si>
    <t>Sprint 17 2026; Sprint 14 2026|Dev in Progress|Description</t>
  </si>
  <si>
    <t>Sprint 17 2026; Sprint 14 2026|Dev in Progress|Acceptance Criteria</t>
  </si>
  <si>
    <t>Sprint 17 2026; Sprint 14 2026|Go Prod|Description</t>
  </si>
  <si>
    <t>Sprint 17 2026; Sprint 14 2026|Go Prod|Acceptance Criteria</t>
  </si>
  <si>
    <t>Sprint 17 2026; Sprint 14 2026|In Refinement|Description</t>
  </si>
  <si>
    <t>Sprint 17 2026; Sprint 14 2026|In Refinement|Acceptance Criteria</t>
  </si>
  <si>
    <t>Sprint 17 2026; Sprint 14 2026|Ready for Development|Description</t>
  </si>
  <si>
    <t>Sprint 17 2026; Sprint 14 2026|Ready for Development|Acceptance Criteria</t>
  </si>
  <si>
    <t>Date clé</t>
  </si>
  <si>
    <t>Tous|Tous|2026-06-08 08:07:02 UTC</t>
  </si>
  <si>
    <t>Tous|Tous|2026-06-15 13:21:52 UTC</t>
  </si>
  <si>
    <t>Tous|Analyse|2026-06-08 08:07:02 UTC</t>
  </si>
  <si>
    <t>Tous|Analyse|2026-06-15 13:21:52 UTC</t>
  </si>
  <si>
    <t>Tous|Backlog|2026-06-08 08:07:02 UTC</t>
  </si>
  <si>
    <t>Tous|Backlog|2026-06-15 13:21:52 UTC</t>
  </si>
  <si>
    <t>Tous|Candidate|2026-06-08 08:07:02 UTC</t>
  </si>
  <si>
    <t>Tous|Candidate|2026-06-15 13:21:52 UTC</t>
  </si>
  <si>
    <t>Tous|Dev in Progress|2026-06-08 08:07:02 UTC</t>
  </si>
  <si>
    <t>Tous|Dev in Progress|2026-06-15 13:21:52 UTC</t>
  </si>
  <si>
    <t>Tous|Go Prod|2026-06-08 08:07:02 UTC</t>
  </si>
  <si>
    <t>Tous|Go Prod|2026-06-15 13:21:52 UTC</t>
  </si>
  <si>
    <t>Tous|In Refinement|2026-06-08 08:07:02 UTC</t>
  </si>
  <si>
    <t>Tous|In Refinement|2026-06-15 13:21:52 UTC</t>
  </si>
  <si>
    <t>Tous|Ready for Development|2026-06-08 08:07:02 UTC</t>
  </si>
  <si>
    <t>Tous|Ready for Development|2026-06-15 13:21:52 UTC</t>
  </si>
  <si>
    <t>Sprint 10; Sprint 17 2026|Tous|2026-06-08 08:07:02 UTC</t>
  </si>
  <si>
    <t>Sprint 10; Sprint 17 2026|Tous|2026-06-15 13:21:52 UTC</t>
  </si>
  <si>
    <t>Sprint 10; Sprint 17 2026|Analyse|2026-06-08 08:07:02 UTC</t>
  </si>
  <si>
    <t>Sprint 10; Sprint 17 2026|Analyse|2026-06-15 13:21:52 UTC</t>
  </si>
  <si>
    <t>Sprint 10; Sprint 17 2026|Backlog|2026-06-08 08:07:02 UTC</t>
  </si>
  <si>
    <t>Sprint 10; Sprint 17 2026|Backlog|2026-06-15 13:21:52 UTC</t>
  </si>
  <si>
    <t>Sprint 10; Sprint 17 2026|Candidate|2026-06-08 08:07:02 UTC</t>
  </si>
  <si>
    <t>Sprint 10; Sprint 17 2026|Candidate|2026-06-15 13:21:52 UTC</t>
  </si>
  <si>
    <t>Sprint 10; Sprint 17 2026|Dev in Progress|2026-06-08 08:07:02 UTC</t>
  </si>
  <si>
    <t>Sprint 10; Sprint 17 2026|Dev in Progress|2026-06-15 13:21:52 UTC</t>
  </si>
  <si>
    <t>Sprint 10; Sprint 17 2026|Go Prod|2026-06-08 08:07:02 UTC</t>
  </si>
  <si>
    <t>Sprint 10; Sprint 17 2026|Go Prod|2026-06-15 13:21:52 UTC</t>
  </si>
  <si>
    <t>Sprint 10; Sprint 17 2026|In Refinement|2026-06-08 08:07:02 UTC</t>
  </si>
  <si>
    <t>Sprint 10; Sprint 17 2026|In Refinement|2026-06-15 13:21:52 UTC</t>
  </si>
  <si>
    <t>Sprint 10; Sprint 17 2026|Ready for Development|2026-06-08 08:07:02 UTC</t>
  </si>
  <si>
    <t>Sprint 10; Sprint 17 2026|Ready for Development|2026-06-15 13:21:52 UTC</t>
  </si>
  <si>
    <t>Sprint 14 2026; Sprint 15 2026|Tous|2026-06-08 08:07:02 UTC</t>
  </si>
  <si>
    <t>Sprint 14 2026; Sprint 15 2026|Tous|2026-06-15 13:21:52 UTC</t>
  </si>
  <si>
    <t>Sprint 14 2026; Sprint 15 2026|Analyse|2026-06-08 08:07:02 UTC</t>
  </si>
  <si>
    <t>Sprint 14 2026; Sprint 15 2026|Analyse|2026-06-15 13:21:52 UTC</t>
  </si>
  <si>
    <t>Sprint 14 2026; Sprint 15 2026|Backlog|2026-06-08 08:07:02 UTC</t>
  </si>
  <si>
    <t>Sprint 14 2026; Sprint 15 2026|Backlog|2026-06-15 13:21:52 UTC</t>
  </si>
  <si>
    <t>Sprint 14 2026; Sprint 15 2026|Candidate|2026-06-08 08:07:02 UTC</t>
  </si>
  <si>
    <t>Sprint 14 2026; Sprint 15 2026|Candidate|2026-06-15 13:21:52 UTC</t>
  </si>
  <si>
    <t>Sprint 14 2026; Sprint 15 2026|Dev in Progress|2026-06-08 08:07:02 UTC</t>
  </si>
  <si>
    <t>Sprint 14 2026; Sprint 15 2026|Dev in Progress|2026-06-15 13:21:52 UTC</t>
  </si>
  <si>
    <t>Sprint 14 2026; Sprint 15 2026|Go Prod|2026-06-08 08:07:02 UTC</t>
  </si>
  <si>
    <t>Sprint 14 2026; Sprint 15 2026|Go Prod|2026-06-15 13:21:52 UTC</t>
  </si>
  <si>
    <t>Sprint 14 2026; Sprint 15 2026|In Refinement|2026-06-08 08:07:02 UTC</t>
  </si>
  <si>
    <t>Sprint 14 2026; Sprint 15 2026|In Refinement|2026-06-15 13:21:52 UTC</t>
  </si>
  <si>
    <t>Sprint 14 2026; Sprint 15 2026|Ready for Development|2026-06-08 08:07:02 UTC</t>
  </si>
  <si>
    <t>Sprint 14 2026; Sprint 15 2026|Ready for Development|2026-06-15 13:21:52 UTC</t>
  </si>
  <si>
    <t>Sprint 14 2026; Sprint 15 2026; Sprint 16 2026|Tous|2026-06-08 08:07:02 UTC</t>
  </si>
  <si>
    <t>Sprint 14 2026; Sprint 15 2026; Sprint 16 2026|Tous|2026-06-15 13:21:52 UTC</t>
  </si>
  <si>
    <t>Sprint 14 2026; Sprint 15 2026; Sprint 16 2026|Analyse|2026-06-08 08:07:02 UTC</t>
  </si>
  <si>
    <t>Sprint 14 2026; Sprint 15 2026; Sprint 16 2026|Analyse|2026-06-15 13:21:52 UTC</t>
  </si>
  <si>
    <t>Sprint 14 2026; Sprint 15 2026; Sprint 16 2026|Backlog|2026-06-08 08:07:02 UTC</t>
  </si>
  <si>
    <t>Sprint 14 2026; Sprint 15 2026; Sprint 16 2026|Backlog|2026-06-15 13:21:52 UTC</t>
  </si>
  <si>
    <t>Sprint 14 2026; Sprint 15 2026; Sprint 16 2026|Candidate|2026-06-08 08:07:02 UTC</t>
  </si>
  <si>
    <t>Sprint 14 2026; Sprint 15 2026; Sprint 16 2026|Candidate|2026-06-15 13:21:52 UTC</t>
  </si>
  <si>
    <t>Sprint 14 2026; Sprint 15 2026; Sprint 16 2026|Dev in Progress|2026-06-08 08:07:02 UTC</t>
  </si>
  <si>
    <t>Sprint 14 2026; Sprint 15 2026; Sprint 16 2026|Dev in Progress|2026-06-15 13:21:52 UTC</t>
  </si>
  <si>
    <t>Sprint 14 2026; Sprint 15 2026; Sprint 16 2026|Go Prod|2026-06-08 08:07:02 UTC</t>
  </si>
  <si>
    <t>Sprint 14 2026; Sprint 15 2026; Sprint 16 2026|Go Prod|2026-06-15 13:21:52 UTC</t>
  </si>
  <si>
    <t>Sprint 14 2026; Sprint 15 2026; Sprint 16 2026|In Refinement|2026-06-08 08:07:02 UTC</t>
  </si>
  <si>
    <t>Sprint 14 2026; Sprint 15 2026; Sprint 16 2026|In Refinement|2026-06-15 13:21:52 UTC</t>
  </si>
  <si>
    <t>Sprint 14 2026; Sprint 15 2026; Sprint 16 2026|Ready for Development|2026-06-08 08:07:02 UTC</t>
  </si>
  <si>
    <t>Sprint 14 2026; Sprint 15 2026; Sprint 16 2026|Ready for Development|2026-06-15 13:21:52 UTC</t>
  </si>
  <si>
    <t>Sprint 14 2026; Sprint 16 2026|Tous|2026-06-08 08:07:02 UTC</t>
  </si>
  <si>
    <t>Sprint 14 2026; Sprint 16 2026|Tous|2026-06-15 13:21:52 UTC</t>
  </si>
  <si>
    <t>Sprint 14 2026; Sprint 16 2026|Analyse|2026-06-08 08:07:02 UTC</t>
  </si>
  <si>
    <t>Sprint 14 2026; Sprint 16 2026|Analyse|2026-06-15 13:21:52 UTC</t>
  </si>
  <si>
    <t>Sprint 14 2026; Sprint 16 2026|Backlog|2026-06-08 08:07:02 UTC</t>
  </si>
  <si>
    <t>Sprint 14 2026; Sprint 16 2026|Backlog|2026-06-15 13:21:52 UTC</t>
  </si>
  <si>
    <t>Sprint 14 2026; Sprint 16 2026|Candidate|2026-06-08 08:07:02 UTC</t>
  </si>
  <si>
    <t>Sprint 14 2026; Sprint 16 2026|Candidate|2026-06-15 13:21:52 UTC</t>
  </si>
  <si>
    <t>Sprint 14 2026; Sprint 16 2026|Dev in Progress|2026-06-08 08:07:02 UTC</t>
  </si>
  <si>
    <t>Sprint 14 2026; Sprint 16 2026|Dev in Progress|2026-06-15 13:21:52 UTC</t>
  </si>
  <si>
    <t>Sprint 14 2026; Sprint 16 2026|Go Prod|2026-06-08 08:07:02 UTC</t>
  </si>
  <si>
    <t>Sprint 14 2026; Sprint 16 2026|Go Prod|2026-06-15 13:21:52 UTC</t>
  </si>
  <si>
    <t>Sprint 14 2026; Sprint 16 2026|In Refinement|2026-06-08 08:07:02 UTC</t>
  </si>
  <si>
    <t>Sprint 14 2026; Sprint 16 2026|In Refinement|2026-06-15 13:21:52 UTC</t>
  </si>
  <si>
    <t>Sprint 14 2026; Sprint 16 2026|Ready for Development|2026-06-08 08:07:02 UTC</t>
  </si>
  <si>
    <t>Sprint 14 2026; Sprint 16 2026|Ready for Development|2026-06-15 13:21:52 UTC</t>
  </si>
  <si>
    <t>Sprint 15 2026|Tous|2026-06-08 08:07:02 UTC</t>
  </si>
  <si>
    <t>Sprint 15 2026|Tous|2026-06-15 13:21:52 UTC</t>
  </si>
  <si>
    <t>Sprint 15 2026|Analyse|2026-06-08 08:07:02 UTC</t>
  </si>
  <si>
    <t>Sprint 15 2026|Analyse|2026-06-15 13:21:52 UTC</t>
  </si>
  <si>
    <t>Sprint 15 2026|Backlog|2026-06-08 08:07:02 UTC</t>
  </si>
  <si>
    <t>Sprint 15 2026|Backlog|2026-06-15 13:21:52 UTC</t>
  </si>
  <si>
    <t>Sprint 15 2026|Candidate|2026-06-08 08:07:02 UTC</t>
  </si>
  <si>
    <t>Sprint 15 2026|Candidate|2026-06-15 13:21:52 UTC</t>
  </si>
  <si>
    <t>Sprint 15 2026|Dev in Progress|2026-06-08 08:07:02 UTC</t>
  </si>
  <si>
    <t>Sprint 15 2026|Dev in Progress|2026-06-15 13:21:52 UTC</t>
  </si>
  <si>
    <t>Sprint 15 2026|Go Prod|2026-06-08 08:07:02 UTC</t>
  </si>
  <si>
    <t>Sprint 15 2026|Go Prod|2026-06-15 13:21:52 UTC</t>
  </si>
  <si>
    <t>Sprint 15 2026|In Refinement|2026-06-08 08:07:02 UTC</t>
  </si>
  <si>
    <t>Sprint 15 2026|In Refinement|2026-06-15 13:21:52 UTC</t>
  </si>
  <si>
    <t>Sprint 15 2026|Ready for Development|2026-06-08 08:07:02 UTC</t>
  </si>
  <si>
    <t>Sprint 15 2026|Ready for Development|2026-06-15 13:21:52 UTC</t>
  </si>
  <si>
    <t>Sprint 15 2026; Sprint 16 2026|Tous|2026-06-08 08:07:02 UTC</t>
  </si>
  <si>
    <t>Sprint 15 2026; Sprint 16 2026|Tous|2026-06-15 13:21:52 UTC</t>
  </si>
  <si>
    <t>Sprint 15 2026; Sprint 16 2026|Analyse|2026-06-08 08:07:02 UTC</t>
  </si>
  <si>
    <t>Sprint 15 2026; Sprint 16 2026|Analyse|2026-06-15 13:21:52 UTC</t>
  </si>
  <si>
    <t>Sprint 15 2026; Sprint 16 2026|Backlog|2026-06-08 08:07:02 UTC</t>
  </si>
  <si>
    <t>Sprint 15 2026; Sprint 16 2026|Backlog|2026-06-15 13:21:52 UTC</t>
  </si>
  <si>
    <t>Sprint 15 2026; Sprint 16 2026|Candidate|2026-06-08 08:07:02 UTC</t>
  </si>
  <si>
    <t>Sprint 15 2026; Sprint 16 2026|Candidate|2026-06-15 13:21:52 UTC</t>
  </si>
  <si>
    <t>Sprint 15 2026; Sprint 16 2026|Dev in Progress|2026-06-08 08:07:02 UTC</t>
  </si>
  <si>
    <t>Sprint 15 2026; Sprint 16 2026|Dev in Progress|2026-06-15 13:21:52 UTC</t>
  </si>
  <si>
    <t>Sprint 15 2026; Sprint 16 2026|Go Prod|2026-06-08 08:07:02 UTC</t>
  </si>
  <si>
    <t>Sprint 15 2026; Sprint 16 2026|Go Prod|2026-06-15 13:21:52 UTC</t>
  </si>
  <si>
    <t>Sprint 15 2026; Sprint 16 2026|In Refinement|2026-06-08 08:07:02 UTC</t>
  </si>
  <si>
    <t>Sprint 15 2026; Sprint 16 2026|In Refinement|2026-06-15 13:21:52 UTC</t>
  </si>
  <si>
    <t>Sprint 15 2026; Sprint 16 2026|Ready for Development|2026-06-08 08:07:02 UTC</t>
  </si>
  <si>
    <t>Sprint 15 2026; Sprint 16 2026|Ready for Development|2026-06-15 13:21:52 UTC</t>
  </si>
  <si>
    <t>Sprint 16 2026|Tous|2026-06-08 08:07:02 UTC</t>
  </si>
  <si>
    <t>Sprint 16 2026|Tous|2026-06-15 13:21:52 UTC</t>
  </si>
  <si>
    <t>Sprint 16 2026|Analyse|2026-06-08 08:07:02 UTC</t>
  </si>
  <si>
    <t>Sprint 16 2026|Analyse|2026-06-15 13:21:52 UTC</t>
  </si>
  <si>
    <t>Sprint 16 2026|Backlog|2026-06-08 08:07:02 UTC</t>
  </si>
  <si>
    <t>Sprint 16 2026|Backlog|2026-06-15 13:21:52 UTC</t>
  </si>
  <si>
    <t>Sprint 16 2026|Candidate|2026-06-08 08:07:02 UTC</t>
  </si>
  <si>
    <t>Sprint 16 2026|Candidate|2026-06-15 13:21:52 UTC</t>
  </si>
  <si>
    <t>Sprint 16 2026|Dev in Progress|2026-06-08 08:07:02 UTC</t>
  </si>
  <si>
    <t>Sprint 16 2026|Dev in Progress|2026-06-15 13:21:52 UTC</t>
  </si>
  <si>
    <t>Sprint 16 2026|Go Prod|2026-06-08 08:07:02 UTC</t>
  </si>
  <si>
    <t>Sprint 16 2026|Go Prod|2026-06-15 13:21:52 UTC</t>
  </si>
  <si>
    <t>Sprint 16 2026|In Refinement|2026-06-08 08:07:02 UTC</t>
  </si>
  <si>
    <t>Sprint 16 2026|In Refinement|2026-06-15 13:21:52 UTC</t>
  </si>
  <si>
    <t>Sprint 16 2026|Ready for Development|2026-06-08 08:07:02 UTC</t>
  </si>
  <si>
    <t>Sprint 16 2026|Ready for Development|2026-06-15 13:21:52 UTC</t>
  </si>
  <si>
    <t>Sprint 17 2026|Tous|2026-06-08 08:07:02 UTC</t>
  </si>
  <si>
    <t>Sprint 17 2026|Tous|2026-06-15 13:21:52 UTC</t>
  </si>
  <si>
    <t>Sprint 17 2026|Analyse|2026-06-08 08:07:02 UTC</t>
  </si>
  <si>
    <t>Sprint 17 2026|Analyse|2026-06-15 13:21:52 UTC</t>
  </si>
  <si>
    <t>Sprint 17 2026|Backlog|2026-06-08 08:07:02 UTC</t>
  </si>
  <si>
    <t>Sprint 17 2026|Backlog|2026-06-15 13:21:52 UTC</t>
  </si>
  <si>
    <t>Sprint 17 2026|Candidate|2026-06-08 08:07:02 UTC</t>
  </si>
  <si>
    <t>Sprint 17 2026|Candidate|2026-06-15 13:21:52 UTC</t>
  </si>
  <si>
    <t>Sprint 17 2026|Dev in Progress|2026-06-08 08:07:02 UTC</t>
  </si>
  <si>
    <t>Sprint 17 2026|Dev in Progress|2026-06-15 13:21:52 UTC</t>
  </si>
  <si>
    <t>Sprint 17 2026|Go Prod|2026-06-08 08:07:02 UTC</t>
  </si>
  <si>
    <t>Sprint 17 2026|Go Prod|2026-06-15 13:21:52 UTC</t>
  </si>
  <si>
    <t>Sprint 17 2026|In Refinement|2026-06-08 08:07:02 UTC</t>
  </si>
  <si>
    <t>Sprint 17 2026|In Refinement|2026-06-15 13:21:52 UTC</t>
  </si>
  <si>
    <t>Sprint 17 2026|Ready for Development|2026-06-08 08:07:02 UTC</t>
  </si>
  <si>
    <t>Sprint 17 2026|Ready for Development|2026-06-15 13:21:52 UTC</t>
  </si>
  <si>
    <t>Sprint 17 2026; Sprint 14 2026|Tous|2026-06-08 08:07:02 UTC</t>
  </si>
  <si>
    <t>Sprint 17 2026; Sprint 14 2026|Tous|2026-06-15 13:21:52 UTC</t>
  </si>
  <si>
    <t>Sprint 17 2026; Sprint 14 2026|Analyse|2026-06-08 08:07:02 UTC</t>
  </si>
  <si>
    <t>Sprint 17 2026; Sprint 14 2026|Analyse|2026-06-15 13:21:52 UTC</t>
  </si>
  <si>
    <t>Sprint 17 2026; Sprint 14 2026|Backlog|2026-06-08 08:07:02 UTC</t>
  </si>
  <si>
    <t>Sprint 17 2026; Sprint 14 2026|Backlog|2026-06-15 13:21:52 UTC</t>
  </si>
  <si>
    <t>Sprint 17 2026; Sprint 14 2026|Candidate|2026-06-08 08:07:02 UTC</t>
  </si>
  <si>
    <t>Sprint 17 2026; Sprint 14 2026|Candidate|2026-06-15 13:21:52 UTC</t>
  </si>
  <si>
    <t>Sprint 17 2026; Sprint 14 2026|Dev in Progress|2026-06-08 08:07:02 UTC</t>
  </si>
  <si>
    <t>Sprint 17 2026; Sprint 14 2026|Dev in Progress|2026-06-15 13:21:52 UTC</t>
  </si>
  <si>
    <t>Sprint 17 2026; Sprint 14 2026|Go Prod|2026-06-08 08:07:02 UTC</t>
  </si>
  <si>
    <t>Sprint 17 2026; Sprint 14 2026|Go Prod|2026-06-15 13:21:52 UTC</t>
  </si>
  <si>
    <t>Sprint 17 2026; Sprint 14 2026|In Refinement|2026-06-08 08:07:02 UTC</t>
  </si>
  <si>
    <t>Sprint 17 2026; Sprint 14 2026|In Refinement|2026-06-15 13:21:52 UTC</t>
  </si>
  <si>
    <t>Sprint 17 2026; Sprint 14 2026|Ready for Development|2026-06-08 08:07:02 UTC</t>
  </si>
  <si>
    <t>Sprint 17 2026; Sprint 14 2026|Ready for Development|2026-06-15 13:21:52 UTC</t>
  </si>
  <si>
    <t>Jira key</t>
  </si>
  <si>
    <t>Statut ticket</t>
  </si>
  <si>
    <t>Sprint ticket</t>
  </si>
  <si>
    <t>Fenêtre début</t>
  </si>
  <si>
    <t>Fenêtre fin / détection</t>
  </si>
  <si>
    <t>Key avant</t>
  </si>
  <si>
    <t>Key après</t>
  </si>
  <si>
    <t>Sprint avant</t>
  </si>
  <si>
    <t>Sprint après</t>
  </si>
  <si>
    <t>Sprint effectif</t>
  </si>
  <si>
    <t>Statut avant</t>
  </si>
  <si>
    <t>Statut après</t>
  </si>
  <si>
    <t>Statut effectif</t>
  </si>
  <si>
    <t>Catégorie statut avant</t>
  </si>
  <si>
    <t>Catégorie statut après</t>
  </si>
  <si>
    <t>Type avant</t>
  </si>
  <si>
    <t>Type après</t>
  </si>
  <si>
    <t>Type effectif</t>
  </si>
  <si>
    <t>Assigné avant</t>
  </si>
  <si>
    <t>Assigné après</t>
  </si>
  <si>
    <t>Priorité avant</t>
  </si>
  <si>
    <t>Priorité après</t>
  </si>
  <si>
    <t>Taille avant</t>
  </si>
  <si>
    <t>Taille après</t>
  </si>
  <si>
    <t>Jira updated avant</t>
  </si>
  <si>
    <t>Commentaires ajoutés/modifiés</t>
  </si>
  <si>
    <t>(vide)</t>
  </si>
  <si>
    <t>Aucune donnée</t>
  </si>
  <si>
    <t>Champs modifiés</t>
  </si>
  <si>
    <t>Assigné; Commentaires; Custom fields; Statut</t>
  </si>
  <si>
    <t>Assigné; Catégorie statut; Liens Jira; Résolution; Statut</t>
  </si>
  <si>
    <t>Assigné; Catégorie statut; Résolution; Statut</t>
  </si>
  <si>
    <t>Catégorie statut; Commentaires; Description; Statut</t>
  </si>
  <si>
    <t>Assigné; Commentaires; Sprint</t>
  </si>
  <si>
    <t>Sprint; Statut</t>
  </si>
  <si>
    <t>Liens Jira; Sprint</t>
  </si>
  <si>
    <t>Commentaires; Description</t>
  </si>
  <si>
    <t>Ordre</t>
  </si>
  <si>
    <t>Date export</t>
  </si>
  <si>
    <t>Date source</t>
  </si>
  <si>
    <t>Fichier</t>
  </si>
  <si>
    <t>Chemin</t>
  </si>
  <si>
    <t>Tickets</t>
  </si>
  <si>
    <t>Warnings</t>
  </si>
  <si>
    <t>Fri Jun 05 15:33:16 UTC 2026</t>
  </si>
  <si>
    <t>C:\Users\ciesl\Downloads\rss chrono\ticket non clot (Jira)(2).xml</t>
  </si>
  <si>
    <t>Mon Jun 08 08:07:02 UTC 2026</t>
  </si>
  <si>
    <t>C:\Users\ciesl\Downloads\rss chrono\ticket non clot (Jira)(3).xml</t>
  </si>
  <si>
    <t>Mon Jun 15 13:21:52 UTC 2026</t>
  </si>
  <si>
    <t>C:\Users\ciesl\Downloads\rss chrono\ticket non clot (Jira)(4).xml</t>
  </si>
  <si>
    <t>Created</t>
  </si>
  <si>
    <t>Updated</t>
  </si>
  <si>
    <t>Âge jours</t>
  </si>
  <si>
    <t>Jours depuis update</t>
  </si>
  <si>
    <t>AC présent</t>
  </si>
  <si>
    <t>Source AC</t>
  </si>
  <si>
    <t>Pièces jointes</t>
  </si>
  <si>
    <t>169929</t>
  </si>
  <si>
    <t>PPMG-1027</t>
  </si>
  <si>
    <t>Low</t>
  </si>
  <si>
    <t>Grégory RUGET</t>
  </si>
  <si>
    <t>[Gestion budgétaire V2-P1] Modification de l'option "View &gt; Grouping elements"</t>
  </si>
  <si>
    <t>customfield: Acceptance Criteria</t>
  </si>
  <si>
    <t>https://data-servier.atlassian.net/browse/PPMG-1027</t>
  </si>
  <si>
    <t>224092</t>
  </si>
  <si>
    <t>PPMG-1193</t>
  </si>
  <si>
    <t>Pierre KAYA</t>
  </si>
  <si>
    <t>[A TESTER Servier] Test nouvelle version interface ACTIVITY-VYP</t>
  </si>
  <si>
    <t>missing</t>
  </si>
  <si>
    <t>https://data-servier.atlassian.net/browse/PPMG-1193</t>
  </si>
  <si>
    <t>225874</t>
  </si>
  <si>
    <t>PPMG-1197</t>
  </si>
  <si>
    <t>[Tous les Champs texte enrichi] Taille de police par défaut (OTD 177189)</t>
  </si>
  <si>
    <t>https://data-servier.atlassian.net/browse/PPMG-1197</t>
  </si>
  <si>
    <t>230390</t>
  </si>
  <si>
    <t>PPMG-1205</t>
  </si>
  <si>
    <t>Analyse techniquo fonctionnel pour l'utilisation des budgets lines</t>
  </si>
  <si>
    <t>https://data-servier.atlassian.net/browse/PPMG-1205</t>
  </si>
  <si>
    <t>250815</t>
  </si>
  <si>
    <t>PPMG-1222</t>
  </si>
  <si>
    <t>Définir un nombre maximum de caractères pour les champs texte riche.</t>
  </si>
  <si>
    <t>https://data-servier.atlassian.net/browse/PPMG-1222</t>
  </si>
  <si>
    <t>250970</t>
  </si>
  <si>
    <t>PPMG-1227</t>
  </si>
  <si>
    <t>[Risques] gestion du Mitigation Plan</t>
  </si>
  <si>
    <t>description: expected/acceptance markers</t>
  </si>
  <si>
    <t>https://data-servier.atlassian.net/browse/PPMG-1227</t>
  </si>
  <si>
    <t>250974</t>
  </si>
  <si>
    <t>PPMG-1229</t>
  </si>
  <si>
    <t>[Issues] Plan d'action</t>
  </si>
  <si>
    <t>https://data-servier.atlassian.net/browse/PPMG-1229</t>
  </si>
  <si>
    <t>250977</t>
  </si>
  <si>
    <t>PPMG-1231</t>
  </si>
  <si>
    <t>[Gantt][ON HOLD PLW] OTD - 201933 Affichage par défaut</t>
  </si>
  <si>
    <t>https://data-servier.atlassian.net/browse/PPMG-1231</t>
  </si>
  <si>
    <t>251034</t>
  </si>
  <si>
    <t>PPMG-1233</t>
  </si>
  <si>
    <t>[Risques] [Issues] Gestion des plan d'actions</t>
  </si>
  <si>
    <t>https://data-servier.atlassian.net/browse/PPMG-1233</t>
  </si>
  <si>
    <t>Identifier les couts/payroll/budget erronés sur une initiative</t>
  </si>
  <si>
    <t>258526</t>
  </si>
  <si>
    <t>PPMG-1257</t>
  </si>
  <si>
    <t>Hajar AIT MENDIL</t>
  </si>
  <si>
    <t>[INTERFACE LOG] - Intégrer la création de logs aux interfaces existantes</t>
  </si>
  <si>
    <t>https://data-servier.atlassian.net/browse/PPMG-1257</t>
  </si>
  <si>
    <t>[MDM] [Attribut] Department Lead Domain à rendre monovalué</t>
  </si>
  <si>
    <t>264788</t>
  </si>
  <si>
    <t>PPMG-1269</t>
  </si>
  <si>
    <t>[Suite 2] - Interface DataPlatform - VYP : récupération des valeurs engagé, réalisé et temps passés de Pilot CT</t>
  </si>
  <si>
    <t>https://data-servier.atlassian.net/browse/PPMG-1269</t>
  </si>
  <si>
    <t>OTD - 212664 [INTERFACE VYP -&gt; DP] - Mettre en place un nettoyage des fichiers SFTP</t>
  </si>
  <si>
    <t>307578</t>
  </si>
  <si>
    <t>PPMG-1398</t>
  </si>
  <si>
    <t>BrainstormingACI Amélioration - Amelioration workbox + home projet</t>
  </si>
  <si>
    <t>https://data-servier.atlassian.net/browse/PPMG-1398</t>
  </si>
  <si>
    <t>307603</t>
  </si>
  <si>
    <t>PPMG-1399</t>
  </si>
  <si>
    <t>BrainstormingACI Amélioration - Indicateurs</t>
  </si>
  <si>
    <t>https://data-servier.atlassian.net/browse/PPMG-1399</t>
  </si>
  <si>
    <t>307605</t>
  </si>
  <si>
    <t>PPMG-1400</t>
  </si>
  <si>
    <t>BrainstormingACI Amélioration - Interfaces et intégrations</t>
  </si>
  <si>
    <t>https://data-servier.atlassian.net/browse/PPMG-1400</t>
  </si>
  <si>
    <t>307606</t>
  </si>
  <si>
    <t>PPMG-1401</t>
  </si>
  <si>
    <t>BrainstormingACI Amélioration - ID card et des dashboards</t>
  </si>
  <si>
    <t>https://data-servier.atlassian.net/browse/PPMG-1401</t>
  </si>
  <si>
    <t>307607</t>
  </si>
  <si>
    <t>PPMG-1402</t>
  </si>
  <si>
    <t>BrainstormingACI Amélioration - Amelioration de l'organisation</t>
  </si>
  <si>
    <t>https://data-servier.atlassian.net/browse/PPMG-1402</t>
  </si>
  <si>
    <t>309547</t>
  </si>
  <si>
    <t>PPMG-1411</t>
  </si>
  <si>
    <t>[INTERFACE - VYP -&gt; DP R&amp;D ] Export de la monthly baseline</t>
  </si>
  <si>
    <t>https://data-servier.atlassian.net/browse/PPMG-1411</t>
  </si>
  <si>
    <t>Automatisation des notifications pour le nettoyage des licences inutilisées</t>
  </si>
  <si>
    <t>317409</t>
  </si>
  <si>
    <t>PPMG-1425</t>
  </si>
  <si>
    <t>Lowest</t>
  </si>
  <si>
    <t>[Attributs] Modifications 3/3</t>
  </si>
  <si>
    <t>https://data-servier.atlassian.net/browse/PPMG-1425</t>
  </si>
  <si>
    <t>[Attributs] [Module Project] Champs date</t>
  </si>
  <si>
    <t>[AMOA] [Gantt] Ajout de nouvelles librairies d'activité &amp; Modification template standard</t>
  </si>
  <si>
    <t>329131</t>
  </si>
  <si>
    <t>PPMG-1446</t>
  </si>
  <si>
    <t>[R&amp;D] - Etude de faisabilité - Reporting pour visualiser les Baselines</t>
  </si>
  <si>
    <t>https://data-servier.atlassian.net/browse/PPMG-1446</t>
  </si>
  <si>
    <t>334862</t>
  </si>
  <si>
    <t>PPMG-1454</t>
  </si>
  <si>
    <t>[Value Business Case] VBC – Ajout d’un onglet de synthèse et évolutions associées</t>
  </si>
  <si>
    <t>https://data-servier.atlassian.net/browse/PPMG-1454</t>
  </si>
  <si>
    <t>334886</t>
  </si>
  <si>
    <t>PPMG-1455</t>
  </si>
  <si>
    <t>Ne pas laisser la possibilité de modifier les lignes interfacées dans le module financier</t>
  </si>
  <si>
    <t>https://data-servier.atlassian.net/browse/PPMG-1455</t>
  </si>
  <si>
    <t>335765</t>
  </si>
  <si>
    <t>PPMG-1459</t>
  </si>
  <si>
    <t>Sprint 14 2026</t>
  </si>
  <si>
    <t>Règles de gestion sur le champ "Name" du projet</t>
  </si>
  <si>
    <t>https://data-servier.atlassian.net/browse/PPMG-1459</t>
  </si>
  <si>
    <t>337641</t>
  </si>
  <si>
    <t>PPMG-1460</t>
  </si>
  <si>
    <t>[COST &amp; LOAD] Afficher la vue consolidée (somme verticale) au niveau des regroupements</t>
  </si>
  <si>
    <t>https://data-servier.atlassian.net/browse/PPMG-1460</t>
  </si>
  <si>
    <t>337646</t>
  </si>
  <si>
    <t>PPMG-1461</t>
  </si>
  <si>
    <t>[STAGE &amp; GATE] Ajouter le commentaire obligatoire du passage de gate dans un reporting</t>
  </si>
  <si>
    <t>https://data-servier.atlassian.net/browse/PPMG-1461</t>
  </si>
  <si>
    <t>339819</t>
  </si>
  <si>
    <t>PPMG-1470</t>
  </si>
  <si>
    <t>[SFTP] Accès aux fichiers sur le serveur SFTP OTD 205560</t>
  </si>
  <si>
    <t>https://data-servier.atlassian.net/browse/PPMG-1470</t>
  </si>
  <si>
    <t>342620</t>
  </si>
  <si>
    <t>PPMG-1474</t>
  </si>
  <si>
    <t>[OTD 207474] Trouver la cause du changement du thème des environnements</t>
  </si>
  <si>
    <t>https://data-servier.atlassian.net/browse/PPMG-1474</t>
  </si>
  <si>
    <t>342847</t>
  </si>
  <si>
    <t>PPMG-1476</t>
  </si>
  <si>
    <t>[GLOBAL] Champs attendus en Read-Only</t>
  </si>
  <si>
    <t>https://data-servier.atlassian.net/browse/PPMG-1476</t>
  </si>
  <si>
    <t>VYP – Analyse des droits d’écriture pour les Gatekeepers des programmes SPOT</t>
  </si>
  <si>
    <t>345010</t>
  </si>
  <si>
    <t>PPMG-1479</t>
  </si>
  <si>
    <t>Feature</t>
  </si>
  <si>
    <t>MIGRATION</t>
  </si>
  <si>
    <t>https://data-servier.atlassian.net/browse/PPMG-1479</t>
  </si>
  <si>
    <t>[OTD 208287] Les Key Risks ne s’affichent pas dans l’export PDF de l’Initiative Dashboard (OK dans l’export PPT)</t>
  </si>
  <si>
    <t>347980</t>
  </si>
  <si>
    <t>PPMG-1483</t>
  </si>
  <si>
    <t>Interfaçage MDM</t>
  </si>
  <si>
    <t>https://data-servier.atlassian.net/browse/PPMG-1483</t>
  </si>
  <si>
    <t>351111</t>
  </si>
  <si>
    <t>PPMG-1486</t>
  </si>
  <si>
    <t>[SPM] [Cost&amp;Load] Refonte et harmonisation des notions ETC / EAC dans le module Strategic Portfolios</t>
  </si>
  <si>
    <t>https://data-servier.atlassian.net/browse/PPMG-1486</t>
  </si>
  <si>
    <t>[R&amp;D] - INTERFACE DP - VYP - Remontée du réel</t>
  </si>
  <si>
    <t>360846</t>
  </si>
  <si>
    <t>PPMG-1495</t>
  </si>
  <si>
    <t>[OTD209092] [COST &amp; LOAD] Répartition mensuelle différente entre des Forecast &amp; Actuals identiques sur une saisie à l'année</t>
  </si>
  <si>
    <t>https://data-servier.atlassian.net/browse/PPMG-1495</t>
  </si>
  <si>
    <t>362615</t>
  </si>
  <si>
    <t>PPMG-1498</t>
  </si>
  <si>
    <t>[A compléter] Interface VYP - MDM Group Project</t>
  </si>
  <si>
    <t>https://data-servier.atlassian.net/browse/PPMG-1498</t>
  </si>
  <si>
    <t>362723</t>
  </si>
  <si>
    <t>PPMG-1500</t>
  </si>
  <si>
    <t>[OTD XXX] [INC0853680] - La recherche globale via 'filter' ne retourne aucun résultat après sélection d’un portefeuille dans ALL PROJECTS</t>
  </si>
  <si>
    <t>https://data-servier.atlassian.net/browse/PPMG-1500</t>
  </si>
  <si>
    <t>Double comptabilisation du forecast sur la page Cost &amp; Load ( au niveau Projet + WorkPackages)</t>
  </si>
  <si>
    <t>363485</t>
  </si>
  <si>
    <t>PPMG-1502</t>
  </si>
  <si>
    <t>[Ergonomie] Page Properties - Initiative Summary</t>
  </si>
  <si>
    <t>https://data-servier.atlassian.net/browse/PPMG-1502</t>
  </si>
  <si>
    <t>363513</t>
  </si>
  <si>
    <t>PPMG-1503</t>
  </si>
  <si>
    <t>[Ergonomie] Dashboard &gt; ID Card</t>
  </si>
  <si>
    <t>https://data-servier.atlassian.net/browse/PPMG-1503</t>
  </si>
  <si>
    <t>363523</t>
  </si>
  <si>
    <t>PPMG-1504</t>
  </si>
  <si>
    <t>[Ergonomie] Dashboard &gt; Initiative Dashboard</t>
  </si>
  <si>
    <t>https://data-servier.atlassian.net/browse/PPMG-1504</t>
  </si>
  <si>
    <t>363885</t>
  </si>
  <si>
    <t>PPMG-1505</t>
  </si>
  <si>
    <t>[MDM Référentiel Projet Groupe] Impacts VYP et Interface VYP-MDM ref Projet Groupe</t>
  </si>
  <si>
    <t>https://data-servier.atlassian.net/browse/PPMG-1505</t>
  </si>
  <si>
    <t>366711</t>
  </si>
  <si>
    <t>PPMG-1507</t>
  </si>
  <si>
    <t>"Forecast up to date" - dysfonctionnement</t>
  </si>
  <si>
    <t>https://data-servier.atlassian.net/browse/PPMG-1507</t>
  </si>
  <si>
    <t>[AMOA] [TEST] Création de profils utilisateurs IO et PFM en PROD pour testing</t>
  </si>
  <si>
    <t>371407</t>
  </si>
  <si>
    <t>PPMG-1512</t>
  </si>
  <si>
    <t>[COST&amp;LOAD] Saisie des coûts sur un workpackage</t>
  </si>
  <si>
    <t>https://data-servier.atlassian.net/browse/PPMG-1512</t>
  </si>
  <si>
    <t>372247</t>
  </si>
  <si>
    <t>PPMG-1516</t>
  </si>
  <si>
    <t>[Ergonomie] Page Gantt - Mode Fold</t>
  </si>
  <si>
    <t>https://data-servier.atlassian.net/browse/PPMG-1516</t>
  </si>
  <si>
    <t>[Risques] Risk amelioration/Evolutions - 3 (Export/Import)</t>
  </si>
  <si>
    <t>375988</t>
  </si>
  <si>
    <t>PPMG-1521</t>
  </si>
  <si>
    <t>Ligne dans Planned hours avec un cost account vide</t>
  </si>
  <si>
    <t>https://data-servier.atlassian.net/browse/PPMG-1521</t>
  </si>
  <si>
    <t>[INC0874083] - Changement de catégorie non pris en compte Value Business Case</t>
  </si>
  <si>
    <t>[R&amp;D] Remontée du réel - Evolution du dev suite à reprise du besoin</t>
  </si>
  <si>
    <t>384372</t>
  </si>
  <si>
    <t>PPMG-1530</t>
  </si>
  <si>
    <t>[STAGE &amp; GATE] Empêcher la validation d'une gate si la date de la gate est dans le futur</t>
  </si>
  <si>
    <t>https://data-servier.atlassian.net/browse/PPMG-1530</t>
  </si>
  <si>
    <t>Error message displayed when portfolio applied_Test Environment</t>
  </si>
  <si>
    <t>387351</t>
  </si>
  <si>
    <t>PPMG-1534</t>
  </si>
  <si>
    <t>[Ergonomie] Module Home - Categories/Workboxes​</t>
  </si>
  <si>
    <t>https://data-servier.atlassian.net/browse/PPMG-1534</t>
  </si>
  <si>
    <t>387457</t>
  </si>
  <si>
    <t>PPMG-1535</t>
  </si>
  <si>
    <t>[Ergonomie] Barre de menu principale</t>
  </si>
  <si>
    <t>https://data-servier.atlassian.net/browse/PPMG-1535</t>
  </si>
  <si>
    <t>387523</t>
  </si>
  <si>
    <t>PPMG-1537</t>
  </si>
  <si>
    <t>[Ergonomie] Module Projects - Configuration des pages par profil</t>
  </si>
  <si>
    <t>https://data-servier.atlassian.net/browse/PPMG-1537</t>
  </si>
  <si>
    <t>[INC0879976] Analyse des points d’appel du User Attribute SER_UA_PRJ_TEMPLATE_FILTER</t>
  </si>
  <si>
    <t>390477</t>
  </si>
  <si>
    <t>PPMG-1541</t>
  </si>
  <si>
    <t>Comment Gate Log</t>
  </si>
  <si>
    <t>https://data-servier.atlassian.net/browse/PPMG-1541</t>
  </si>
  <si>
    <t>391357</t>
  </si>
  <si>
    <t>PPMG-1542</t>
  </si>
  <si>
    <t>Write access sur les projets enfants</t>
  </si>
  <si>
    <t>https://data-servier.atlassian.net/browse/PPMG-1542</t>
  </si>
  <si>
    <t>391358</t>
  </si>
  <si>
    <t>PPMG-1543</t>
  </si>
  <si>
    <t>Column to add un the Cost data reporting</t>
  </si>
  <si>
    <t>https://data-servier.atlassian.net/browse/PPMG-1543</t>
  </si>
  <si>
    <t>391359</t>
  </si>
  <si>
    <t>PPMG-1544</t>
  </si>
  <si>
    <t>Cost data reporting evolution</t>
  </si>
  <si>
    <t>https://data-servier.atlassian.net/browse/PPMG-1544</t>
  </si>
  <si>
    <t>391360</t>
  </si>
  <si>
    <t>PPMG-1545</t>
  </si>
  <si>
    <t>Budget Allocation - Filtre External/full costs</t>
  </si>
  <si>
    <t>https://data-servier.atlassian.net/browse/PPMG-1545</t>
  </si>
  <si>
    <t>391361</t>
  </si>
  <si>
    <t>PPMG-1546</t>
  </si>
  <si>
    <t>Rapport Portfolio Timeline - ajout de filtres</t>
  </si>
  <si>
    <t>https://data-servier.atlassian.net/browse/PPMG-1546</t>
  </si>
  <si>
    <t>392012</t>
  </si>
  <si>
    <t>PPMG-1548</t>
  </si>
  <si>
    <t>[AMOA] Suppression des utilisateurs BIOGARAN</t>
  </si>
  <si>
    <t>https://data-servier.atlassian.net/browse/PPMG-1548</t>
  </si>
  <si>
    <t>Gantt - Règles de gestion et contrôles d'intégrité – Librairie "DDIS-MVP"</t>
  </si>
  <si>
    <t>392839</t>
  </si>
  <si>
    <t>PPMG-1550</t>
  </si>
  <si>
    <t>Intégration Data Platform – Librairie "DDIS-MVP"</t>
  </si>
  <si>
    <t>https://data-servier.atlassian.net/browse/PPMG-1550</t>
  </si>
  <si>
    <t>393117</t>
  </si>
  <si>
    <t>PPMG-1551</t>
  </si>
  <si>
    <t>[Ergonomie] Module Portfolio Reporting - Reports</t>
  </si>
  <si>
    <t>https://data-servier.atlassian.net/browse/PPMG-1551</t>
  </si>
  <si>
    <t>393585</t>
  </si>
  <si>
    <t>PPMG-1552</t>
  </si>
  <si>
    <t>[PILOT] Règles de gestion et contrôles pour les champs d'interface PILOT</t>
  </si>
  <si>
    <t>https://data-servier.atlassian.net/browse/PPMG-1552</t>
  </si>
  <si>
    <t>393730</t>
  </si>
  <si>
    <t>PPMG-1553</t>
  </si>
  <si>
    <t>[Ergonomie] Page Properties - Initiative Health Status</t>
  </si>
  <si>
    <t>https://data-servier.atlassian.net/browse/PPMG-1553</t>
  </si>
  <si>
    <t>394246</t>
  </si>
  <si>
    <t>PPMG-1557</t>
  </si>
  <si>
    <t>Exécution Ad-hoc de PPMG-1556</t>
  </si>
  <si>
    <t>https://data-servier.atlassian.net/browse/PPMG-1557</t>
  </si>
  <si>
    <t>395612</t>
  </si>
  <si>
    <t>PPMG-1558</t>
  </si>
  <si>
    <t>Selected</t>
  </si>
  <si>
    <t>ERGONOMIE</t>
  </si>
  <si>
    <t>https://data-servier.atlassian.net/browse/PPMG-1558</t>
  </si>
  <si>
    <t>395624</t>
  </si>
  <si>
    <t>PPMG-1559</t>
  </si>
  <si>
    <t>[Ergonomie] New Project Popup</t>
  </si>
  <si>
    <t>https://data-servier.atlassian.net/browse/PPMG-1559</t>
  </si>
  <si>
    <t>395628</t>
  </si>
  <si>
    <t>PPMG-1560</t>
  </si>
  <si>
    <t>[Ergonomie] Liste des onglets - Task Popup</t>
  </si>
  <si>
    <t>https://data-servier.atlassian.net/browse/PPMG-1560</t>
  </si>
  <si>
    <t>395641</t>
  </si>
  <si>
    <t>PPMG-1561</t>
  </si>
  <si>
    <t>[Ergonomie] New Task/ WBS Element Popup</t>
  </si>
  <si>
    <t>https://data-servier.atlassian.net/browse/PPMG-1561</t>
  </si>
  <si>
    <t>395646</t>
  </si>
  <si>
    <t>PPMG-1562</t>
  </si>
  <si>
    <t>[Ergonomie] New Forecast Popup</t>
  </si>
  <si>
    <t>https://data-servier.atlassian.net/browse/PPMG-1562</t>
  </si>
  <si>
    <t>395656</t>
  </si>
  <si>
    <t>PPMG-1563</t>
  </si>
  <si>
    <t>[Ergonomie] Page Properties - ID Card</t>
  </si>
  <si>
    <t>https://data-servier.atlassian.net/browse/PPMG-1563</t>
  </si>
  <si>
    <t>395880</t>
  </si>
  <si>
    <t>PPMG-1567</t>
  </si>
  <si>
    <t>[MOE] - Lister tables Admin fonctionnel pour faciliter l'administration des données avec version 7.1.6</t>
  </si>
  <si>
    <t>https://data-servier.atlassian.net/browse/PPMG-1567</t>
  </si>
  <si>
    <t>396904</t>
  </si>
  <si>
    <t>PPMG-1568</t>
  </si>
  <si>
    <t>[INTERFACE VYP-DP] - Ajout du champ "Level" dans l'export des activités</t>
  </si>
  <si>
    <t>https://data-servier.atlassian.net/browse/PPMG-1568</t>
  </si>
  <si>
    <t>Restituer l’intégralité des données de référence dans Cost &amp; Load, y compris lorsque des coûts courants ont été supprimés</t>
  </si>
  <si>
    <t>400599</t>
  </si>
  <si>
    <t>PPMG-1571</t>
  </si>
  <si>
    <t>Affichage du menu Planisware Enterprise</t>
  </si>
  <si>
    <t>https://data-servier.atlassian.net/browse/PPMG-1571</t>
  </si>
  <si>
    <t>400607</t>
  </si>
  <si>
    <t>PPMG-1574</t>
  </si>
  <si>
    <t>https://data-servier.atlassian.net/browse/PPMG-1574</t>
  </si>
  <si>
    <t>400608</t>
  </si>
  <si>
    <t>PPMG-1575</t>
  </si>
  <si>
    <t>https://data-servier.atlassian.net/browse/PPMG-1575</t>
  </si>
  <si>
    <t>403089</t>
  </si>
  <si>
    <t>PPMG-1577</t>
  </si>
  <si>
    <t>Exécution Ad-hoc de PPMG-1574</t>
  </si>
  <si>
    <t>https://data-servier.atlassian.net/browse/PPMG-1577</t>
  </si>
  <si>
    <t>403230</t>
  </si>
  <si>
    <t>PPMG-1578</t>
  </si>
  <si>
    <t>https://data-servier.atlassian.net/browse/PPMG-1578</t>
  </si>
  <si>
    <t>403232</t>
  </si>
  <si>
    <t>PPMG-1579</t>
  </si>
  <si>
    <t>https://data-servier.atlassian.net/browse/PPMG-1579</t>
  </si>
  <si>
    <t>403487</t>
  </si>
  <si>
    <t>PPMG-1580</t>
  </si>
  <si>
    <t>TESTING IMPORT</t>
  </si>
  <si>
    <t>https://data-servier.atlassian.net/browse/PPMG-1580</t>
  </si>
  <si>
    <t>403489</t>
  </si>
  <si>
    <t>PPMG-1581</t>
  </si>
  <si>
    <t>https://data-servier.atlassian.net/browse/PPMG-1581</t>
  </si>
  <si>
    <t>403607</t>
  </si>
  <si>
    <t>PPMG-1582</t>
  </si>
  <si>
    <t>https://data-servier.atlassian.net/browse/PPMG-1582</t>
  </si>
  <si>
    <t>403609</t>
  </si>
  <si>
    <t>PPMG-1583</t>
  </si>
  <si>
    <t>https://data-servier.atlassian.net/browse/PPMG-1583</t>
  </si>
  <si>
    <t>403610</t>
  </si>
  <si>
    <t>PPMG-1584</t>
  </si>
  <si>
    <t>https://data-servier.atlassian.net/browse/PPMG-1584</t>
  </si>
  <si>
    <t>404157</t>
  </si>
  <si>
    <t>PPMG-1586</t>
  </si>
  <si>
    <t>Ad-hoc execution for PPMG-518</t>
  </si>
  <si>
    <t>https://data-servier.atlassian.net/browse/PPMG-1586</t>
  </si>
  <si>
    <t>404158</t>
  </si>
  <si>
    <t>PPMG-1587</t>
  </si>
  <si>
    <t>Ad-hoc execution for PPMG-1555</t>
  </si>
  <si>
    <t>https://data-servier.atlassian.net/browse/PPMG-1587</t>
  </si>
  <si>
    <t>Problème d'injection des données</t>
  </si>
  <si>
    <t>410628</t>
  </si>
  <si>
    <t>PPMG-1591</t>
  </si>
  <si>
    <t>Vérification des modules, pages et styles associés</t>
  </si>
  <si>
    <t>https://data-servier.atlassian.net/browse/PPMG-1591</t>
  </si>
  <si>
    <t>[INC0892093-INC0892211] Analyse et correctif – erreur “Submitted Gate Not Found” sur Submit Next Gate</t>
  </si>
  <si>
    <t>Vérification du menu Planisware</t>
  </si>
  <si>
    <t>Vérification du module 'Project' , pages et styles associés</t>
  </si>
  <si>
    <t>Création d'une initiative</t>
  </si>
  <si>
    <t>428469</t>
  </si>
  <si>
    <t>PPMG-1693</t>
  </si>
  <si>
    <t>Création d'une initiative à composante R&amp;D -PILOT</t>
  </si>
  <si>
    <t>https://data-servier.atlassian.net/browse/PPMG-1693</t>
  </si>
  <si>
    <t>428475</t>
  </si>
  <si>
    <t>PPMG-1694</t>
  </si>
  <si>
    <t>Synchronisation d'un projet VYP - ACTIVITY</t>
  </si>
  <si>
    <t>https://data-servier.atlassian.net/browse/PPMG-1694</t>
  </si>
  <si>
    <t>Planification d'une initiative</t>
  </si>
  <si>
    <t>Estimation budgétaire d'une initiative</t>
  </si>
  <si>
    <t>428483</t>
  </si>
  <si>
    <t>PPMG-1697</t>
  </si>
  <si>
    <t>Estimation de la charge</t>
  </si>
  <si>
    <t>https://data-servier.atlassian.net/browse/PPMG-1697</t>
  </si>
  <si>
    <t>Définition de la valeur d'une initiative ( VBC)</t>
  </si>
  <si>
    <t>428489</t>
  </si>
  <si>
    <t>PPMG-1699</t>
  </si>
  <si>
    <t>Carte d'identité de l'initiative</t>
  </si>
  <si>
    <t>https://data-servier.atlassian.net/browse/PPMG-1699</t>
  </si>
  <si>
    <t>Soumission de l'initiative</t>
  </si>
  <si>
    <t>Créer programme</t>
  </si>
  <si>
    <t>428503</t>
  </si>
  <si>
    <t>PPMG-1702</t>
  </si>
  <si>
    <t>Contrôle de l'initiative</t>
  </si>
  <si>
    <t>https://data-servier.atlassian.net/browse/PPMG-1702</t>
  </si>
  <si>
    <t>428506</t>
  </si>
  <si>
    <t>PPMG-1703</t>
  </si>
  <si>
    <t>Evaluer le scoring</t>
  </si>
  <si>
    <t>https://data-servier.atlassian.net/browse/PPMG-1703</t>
  </si>
  <si>
    <t>428507</t>
  </si>
  <si>
    <t>PPMG-1704</t>
  </si>
  <si>
    <t>Allocation de budget</t>
  </si>
  <si>
    <t>https://data-servier.atlassian.net/browse/PPMG-1704</t>
  </si>
  <si>
    <t>428517</t>
  </si>
  <si>
    <t>PPMG-1705</t>
  </si>
  <si>
    <t>Validation de gate</t>
  </si>
  <si>
    <t>https://data-servier.atlassian.net/browse/PPMG-1705</t>
  </si>
  <si>
    <t>428527</t>
  </si>
  <si>
    <t>PPMG-1706</t>
  </si>
  <si>
    <t>Mise à jour de l'avancement</t>
  </si>
  <si>
    <t>https://data-servier.atlassian.net/browse/PPMG-1706</t>
  </si>
  <si>
    <t>Gestion des risques ( Risks)</t>
  </si>
  <si>
    <t>Gestion des problèmes ( Issues)</t>
  </si>
  <si>
    <t>Indicateurs de santé</t>
  </si>
  <si>
    <t>Rapport de l'initiative</t>
  </si>
  <si>
    <t>Suivi des références ( Baselines)</t>
  </si>
  <si>
    <t>Création du portefeuille</t>
  </si>
  <si>
    <t>Contrôle et visualisation des rapports portefeuille</t>
  </si>
  <si>
    <t>428648</t>
  </si>
  <si>
    <t>PPMG-1715</t>
  </si>
  <si>
    <t>Vérification Interface ACTIVITY</t>
  </si>
  <si>
    <t>https://data-servier.atlassian.net/browse/PPMG-1715</t>
  </si>
  <si>
    <t>428649</t>
  </si>
  <si>
    <t>PPMG-1716</t>
  </si>
  <si>
    <t>Vérification Interface FEDERATES (Portal)</t>
  </si>
  <si>
    <t>https://data-servier.atlassian.net/browse/PPMG-1716</t>
  </si>
  <si>
    <t>428651</t>
  </si>
  <si>
    <t>PPMG-1717</t>
  </si>
  <si>
    <t>Vérification Interface PILOT</t>
  </si>
  <si>
    <t>https://data-servier.atlassian.net/browse/PPMG-1717</t>
  </si>
  <si>
    <t>Vérification Interface DATAPLATFORM</t>
  </si>
  <si>
    <t>Vérification des batchs applicatifs</t>
  </si>
  <si>
    <t>Vérification du calcul des dates</t>
  </si>
  <si>
    <t>428741</t>
  </si>
  <si>
    <t>PPMG-1721</t>
  </si>
  <si>
    <t>Contrôle global des modules, pages et onglets visibles après migration 7.1.6</t>
  </si>
  <si>
    <t>https://data-servier.atlassian.net/browse/PPMG-1721</t>
  </si>
  <si>
    <t>428817</t>
  </si>
  <si>
    <t>PPMG-1722</t>
  </si>
  <si>
    <t>Test Set</t>
  </si>
  <si>
    <t>Initialisation d'une initiative</t>
  </si>
  <si>
    <t>https://data-servier.atlassian.net/browse/PPMG-1722</t>
  </si>
  <si>
    <t>428831</t>
  </si>
  <si>
    <t>PPMG-1723</t>
  </si>
  <si>
    <t>HOME - Navigation et visualisation</t>
  </si>
  <si>
    <t>https://data-servier.atlassian.net/browse/PPMG-1723</t>
  </si>
  <si>
    <t>428832</t>
  </si>
  <si>
    <t>PPMG-1724</t>
  </si>
  <si>
    <t>PROJECT - Navigation et visualisation</t>
  </si>
  <si>
    <t>https://data-servier.atlassian.net/browse/PPMG-1724</t>
  </si>
  <si>
    <t>428834</t>
  </si>
  <si>
    <t>PPMG-1725</t>
  </si>
  <si>
    <t>Gestion d'un programme</t>
  </si>
  <si>
    <t>https://data-servier.atlassian.net/browse/PPMG-1725</t>
  </si>
  <si>
    <t>428835</t>
  </si>
  <si>
    <t>PPMG-1726</t>
  </si>
  <si>
    <t>Gestion de l'initiative</t>
  </si>
  <si>
    <t>https://data-servier.atlassian.net/browse/PPMG-1726</t>
  </si>
  <si>
    <t>428839</t>
  </si>
  <si>
    <t>PPMG-1727</t>
  </si>
  <si>
    <t>Pilotage d'une initiative</t>
  </si>
  <si>
    <t>https://data-servier.atlassian.net/browse/PPMG-1727</t>
  </si>
  <si>
    <t>428856</t>
  </si>
  <si>
    <t>PPMG-1728</t>
  </si>
  <si>
    <t>Contrôle du Reporting</t>
  </si>
  <si>
    <t>https://data-servier.atlassian.net/browse/PPMG-1728</t>
  </si>
  <si>
    <t>428857</t>
  </si>
  <si>
    <t>PPMG-1729</t>
  </si>
  <si>
    <t>Administration - Interface</t>
  </si>
  <si>
    <t>https://data-servier.atlassian.net/browse/PPMG-1729</t>
  </si>
  <si>
    <t>428859</t>
  </si>
  <si>
    <t>PPMG-1730</t>
  </si>
  <si>
    <t>Administration - Batchs</t>
  </si>
  <si>
    <t>https://data-servier.atlassian.net/browse/PPMG-1730</t>
  </si>
  <si>
    <t>428860</t>
  </si>
  <si>
    <t>PPMG-1731</t>
  </si>
  <si>
    <t>Contrôle global</t>
  </si>
  <si>
    <t>https://data-servier.atlassian.net/browse/PPMG-1731</t>
  </si>
  <si>
    <t>428893</t>
  </si>
  <si>
    <t>PPMG-1734</t>
  </si>
  <si>
    <t>Exécution Ad-hoc de PPMG-1732</t>
  </si>
  <si>
    <t>https://data-servier.atlassian.net/browse/PPMG-1734</t>
  </si>
  <si>
    <t>Suivi des OTDS corrigés en 7.1.6</t>
  </si>
  <si>
    <t>431337</t>
  </si>
  <si>
    <t>PPMG-1738</t>
  </si>
  <si>
    <t>[INC0894833] [Activity] Analyse et évolution de la gestion des erreurs du batch d'import des coûts</t>
  </si>
  <si>
    <t>https://data-servier.atlassian.net/browse/PPMG-1738</t>
  </si>
  <si>
    <t>431565</t>
  </si>
  <si>
    <t>PPMG-1744</t>
  </si>
  <si>
    <t>Exécution Ad-hoc de PPMG-1721</t>
  </si>
  <si>
    <t>https://data-servier.atlassian.net/browse/PPMG-1744</t>
  </si>
  <si>
    <t>431566</t>
  </si>
  <si>
    <t>PPMG-1745</t>
  </si>
  <si>
    <t>https://data-servier.atlassian.net/browse/PPMG-1745</t>
  </si>
  <si>
    <t>432027</t>
  </si>
  <si>
    <t>PPMG-1747</t>
  </si>
  <si>
    <t>https://data-servier.atlassian.net/browse/PPMG-1747</t>
  </si>
  <si>
    <t>432030</t>
  </si>
  <si>
    <t>PPMG-1748</t>
  </si>
  <si>
    <t>Exécution Ad-hoc de PPMG-1591</t>
  </si>
  <si>
    <t>https://data-servier.atlassian.net/browse/PPMG-1748</t>
  </si>
  <si>
    <t>432142</t>
  </si>
  <si>
    <t>PPMG-1749</t>
  </si>
  <si>
    <t>https://data-servier.atlassian.net/browse/PPMG-1749</t>
  </si>
  <si>
    <t>[MIG 7.1.6] - Masquer certaines pages dans le module Home</t>
  </si>
  <si>
    <t>432193</t>
  </si>
  <si>
    <t>PPMG-1751</t>
  </si>
  <si>
    <t>TEST</t>
  </si>
  <si>
    <t>https://data-servier.atlassian.net/browse/PPMG-1751</t>
  </si>
  <si>
    <t>432196</t>
  </si>
  <si>
    <t>PPMG-1752</t>
  </si>
  <si>
    <t>Exécution Ad-hoc de PPMG-1751</t>
  </si>
  <si>
    <t>https://data-servier.atlassian.net/browse/PPMG-1752</t>
  </si>
  <si>
    <t>432211</t>
  </si>
  <si>
    <t>PPMG-1754</t>
  </si>
  <si>
    <t>[MIG 7.1.6] - Home page - Liste des "Catégories" différente entre 7.0.6 et 7.1.6</t>
  </si>
  <si>
    <t>https://data-servier.atlassian.net/browse/PPMG-1754</t>
  </si>
  <si>
    <t>85724</t>
  </si>
  <si>
    <t>PPMG-333</t>
  </si>
  <si>
    <t>Fabrice MARTEL</t>
  </si>
  <si>
    <t>GESTION BUDGETAIRE/UG</t>
  </si>
  <si>
    <t>https://data-servier.atlassian.net/browse/PPMG-333</t>
  </si>
  <si>
    <t>85725</t>
  </si>
  <si>
    <t>PPMG-334</t>
  </si>
  <si>
    <t>GESTION DE LA VALEUR</t>
  </si>
  <si>
    <t>https://data-servier.atlassian.net/browse/PPMG-334</t>
  </si>
  <si>
    <t>85727</t>
  </si>
  <si>
    <t>PPMG-336</t>
  </si>
  <si>
    <t>PILOTAGE &amp; PLANIFICATION</t>
  </si>
  <si>
    <t>https://data-servier.atlassian.net/browse/PPMG-336</t>
  </si>
  <si>
    <t>85730</t>
  </si>
  <si>
    <t>PPMG-339</t>
  </si>
  <si>
    <t>SIMULATION DU PORTEFEUILLE</t>
  </si>
  <si>
    <t>https://data-servier.atlassian.net/browse/PPMG-339</t>
  </si>
  <si>
    <t>85731</t>
  </si>
  <si>
    <t>PPMG-340</t>
  </si>
  <si>
    <t>GESTION DU PORTEFEUILLE</t>
  </si>
  <si>
    <t>https://data-servier.atlassian.net/browse/PPMG-340</t>
  </si>
  <si>
    <t>85774</t>
  </si>
  <si>
    <t>PPMG-373</t>
  </si>
  <si>
    <t>Allouer/Affecter les ressources sur la WBS (activités)</t>
  </si>
  <si>
    <t>https://data-servier.atlassian.net/browse/PPMG-373</t>
  </si>
  <si>
    <t>85777</t>
  </si>
  <si>
    <t>PPMG-376</t>
  </si>
  <si>
    <t>Clôturer / Archiver le projet/programme</t>
  </si>
  <si>
    <t>https://data-servier.atlassian.net/browse/PPMG-376</t>
  </si>
  <si>
    <t>85783</t>
  </si>
  <si>
    <t>PPMG-382</t>
  </si>
  <si>
    <t>Gérer les alertes / notifications</t>
  </si>
  <si>
    <t>https://data-servier.atlassian.net/browse/PPMG-382</t>
  </si>
  <si>
    <t>85795</t>
  </si>
  <si>
    <t>PPMG-394</t>
  </si>
  <si>
    <t>Corinne THOMAS</t>
  </si>
  <si>
    <t>Création d'un scénario / simulation du portefeuille</t>
  </si>
  <si>
    <t>https://data-servier.atlassian.net/browse/PPMG-394</t>
  </si>
  <si>
    <t>85796</t>
  </si>
  <si>
    <t>PPMG-395</t>
  </si>
  <si>
    <t>Comparer un scenario avec mon portefeuille courant ou comparer des scenarii entre eux</t>
  </si>
  <si>
    <t>https://data-servier.atlassian.net/browse/PPMG-395</t>
  </si>
  <si>
    <t>85797</t>
  </si>
  <si>
    <t>PPMG-396</t>
  </si>
  <si>
    <t>Appliquer / Valider un scenario</t>
  </si>
  <si>
    <t>https://data-servier.atlassian.net/browse/PPMG-396</t>
  </si>
  <si>
    <t>85798</t>
  </si>
  <si>
    <t>PPMG-397</t>
  </si>
  <si>
    <t>Gestion des interdépendances dans le portefeuille</t>
  </si>
  <si>
    <t>https://data-servier.atlassian.net/browse/PPMG-397</t>
  </si>
  <si>
    <t>87564</t>
  </si>
  <si>
    <t>PPMG-408</t>
  </si>
  <si>
    <t>jean-marc.delabriere</t>
  </si>
  <si>
    <t>ADMINISTRATION</t>
  </si>
  <si>
    <t>https://data-servier.atlassian.net/browse/PPMG-408</t>
  </si>
  <si>
    <t>87568</t>
  </si>
  <si>
    <t>PPMG-412</t>
  </si>
  <si>
    <t>Ahmed TOUBALINE</t>
  </si>
  <si>
    <t>Administrer le Portfolio</t>
  </si>
  <si>
    <t>https://data-servier.atlassian.net/browse/PPMG-412</t>
  </si>
  <si>
    <t>89702</t>
  </si>
  <si>
    <t>PPMG-434</t>
  </si>
  <si>
    <t>[PPMG-407] Test : Administrer les profils utilisateurs</t>
  </si>
  <si>
    <t>https://data-servier.atlassian.net/browse/PPMG-434</t>
  </si>
  <si>
    <t>90203</t>
  </si>
  <si>
    <t>PPMG-491</t>
  </si>
  <si>
    <t>Mustapha DJEBBAR</t>
  </si>
  <si>
    <t>INTERFACES</t>
  </si>
  <si>
    <t>https://data-servier.atlassian.net/browse/PPMG-491</t>
  </si>
  <si>
    <t>154451</t>
  </si>
  <si>
    <t>PPMG-984</t>
  </si>
  <si>
    <t>Synchronisation des Comptes avec l'AD</t>
  </si>
  <si>
    <t>https://data-servier.atlassian.net/browse/PPMG-984</t>
  </si>
  <si>
    <t>Sujet</t>
  </si>
  <si>
    <t>Message</t>
  </si>
  <si>
    <t>Nature de la date</t>
  </si>
  <si>
    <t>Les dates de modification sont des fenêtres de détection entre deux exports RSS. Le RSS ne donne pas l'heure exacte ni l'auteur exact de chaque changement de champ.</t>
  </si>
  <si>
    <t>Identifiant ticket</t>
  </si>
  <si>
    <t>La comparaison utilise l'id technique de &lt;key id=...&gt;. Si absent, le script utilise la key Jira et l'indique dans les warnings.</t>
  </si>
  <si>
    <t>Un ticket disparu signifie qu'il est absent de l'export suivant. Cela peut venir d'une clôture, d'un changement de filtre Jira, d'un droit d'accès ou d'une suppression.</t>
  </si>
  <si>
    <t>Filtres Jira</t>
  </si>
  <si>
    <t>Pour des comparaisons fiables, tous les fichiers du répertoire doivent provenir du même filtre Jira ou d'un périmètre fonctionnel comparable.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</si>
</sst>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name val="Calibri"/>
    </font>
    <font>
      <b/>
      <sz val="18"/>
      <color rgb="FF17365D"/>
      <name val="Calibri"/>
    </font>
    <font>
      <b/>
      <sz val="12"/>
      <color rgb="FF1F4E78"/>
      <name val="Calibri"/>
    </font>
    <font>
      <b/>
      <sz val="12"/>
      <color rgb="FF17365D"/>
      <name val="Calibri"/>
    </font>
    <font>
      <b/>
      <sz val="11"/>
      <color rgb="FF17365D"/>
      <name val="Calibri"/>
    </font>
    <font>
      <b/>
      <sz val="17"/>
      <color rgb="FF17365D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8FBFD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2" xfId="0" applyFont="1" applyFill="1" applyBorder="1"/>
    <xf numFmtId="0" fontId="0" fillId="0" borderId="2" xfId="0" applyBorder="1"/>
    <xf numFmtId="165" fontId="0" fillId="0" borderId="2" xfId="0" applyNumberFormat="1" applyBorder="1"/>
    <xf numFmtId="0" fontId="1" fillId="5" borderId="2" xfId="0" applyFont="1" applyFill="1" applyBorder="1" applyAlignment="1">
      <alignment horizontal="center" vertical="center" wrapText="1"/>
    </xf>
    <xf numFmtId="0" fontId="5" fillId="0" borderId="0" xfId="0" applyFont="1"/>
    <xf numFmtId="0" fontId="7" fillId="9" borderId="2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/>
    <xf numFmtId="2" fontId="0" fillId="0" borderId="1" xfId="0" applyNumberFormat="1" applyBorder="1" applyAlignment="1">
      <alignment vertical="top" wrapText="1"/>
    </xf>
    <xf numFmtId="0" fontId="6" fillId="9" borderId="2" xfId="0" applyFont="1" applyFill="1" applyBorder="1" applyAlignment="1">
      <alignment horizontal="center" vertical="center" wrapText="1"/>
    </xf>
    <xf numFmtId="0" fontId="0" fillId="0" borderId="0" xfId="0"/>
    <xf numFmtId="0" fontId="1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7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left" vertical="top" wrapText="1"/>
    </xf>
    <xf numFmtId="9" fontId="8" fillId="9" borderId="2" xfId="0" applyNumberFormat="1" applyFont="1" applyFill="1" applyBorder="1" applyAlignment="1">
      <alignment horizontal="center" vertical="center" wrapText="1"/>
    </xf>
    <xf numFmtId="1" fontId="8" fillId="6" borderId="2" xfId="0" applyNumberFormat="1" applyFont="1" applyFill="1" applyBorder="1" applyAlignment="1">
      <alignment horizontal="center" vertical="center" wrapText="1"/>
    </xf>
    <xf numFmtId="1" fontId="8" fillId="8" borderId="2" xfId="0" applyNumberFormat="1" applyFont="1" applyFill="1" applyBorder="1" applyAlignment="1">
      <alignment horizontal="center" vertical="center" wrapText="1"/>
    </xf>
    <xf numFmtId="1" fontId="8" fillId="7" borderId="2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top" wrapText="1"/>
    </xf>
    <xf numFmtId="165" fontId="8" fillId="7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Modifications par champ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Synthese!$B$25</c:f>
              <c:strCache>
                <c:ptCount val="1"/>
                <c:pt idx="0">
                  <c:v>Modifications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Synthese!$A$26:$A$36</c:f>
              <c:strCache>
                <c:ptCount val="11"/>
                <c:pt idx="0">
                  <c:v>Ticket</c:v>
                </c:pt>
                <c:pt idx="1">
                  <c:v>Sprint</c:v>
                </c:pt>
                <c:pt idx="2">
                  <c:v>Assigné</c:v>
                </c:pt>
                <c:pt idx="3">
                  <c:v>Statut</c:v>
                </c:pt>
                <c:pt idx="4">
                  <c:v>Catégorie statut</c:v>
                </c:pt>
                <c:pt idx="5">
                  <c:v>Résolution</c:v>
                </c:pt>
                <c:pt idx="6">
                  <c:v>Liens Jira</c:v>
                </c:pt>
                <c:pt idx="7">
                  <c:v>Commentaires</c:v>
                </c:pt>
                <c:pt idx="8">
                  <c:v>Description</c:v>
                </c:pt>
                <c:pt idx="9">
                  <c:v>Custom fields</c:v>
                </c:pt>
                <c:pt idx="10">
                  <c:v>Résumé</c:v>
                </c:pt>
              </c:strCache>
            </c:strRef>
          </c:cat>
          <c:val>
            <c:numRef>
              <c:f>Synthese!$B$26:$B$36</c:f>
              <c:numCache>
                <c:formatCode>General</c:formatCode>
                <c:ptCount val="11"/>
                <c:pt idx="0">
                  <c:v>45</c:v>
                </c:pt>
                <c:pt idx="1">
                  <c:v>19</c:v>
                </c:pt>
                <c:pt idx="2">
                  <c:v>16</c:v>
                </c:pt>
                <c:pt idx="3">
                  <c:v>16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A-450C-9A85-1E38CC9CD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Nombre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Description vs Acceptance Criteria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Slide_2_Story_AC!$B$21</c:f>
              <c:strCache>
                <c:ptCount val="1"/>
                <c:pt idx="0">
                  <c:v>Modifications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Slide_2_Story_AC!$A$22:$A$23</c:f>
              <c:strCache>
                <c:ptCount val="2"/>
                <c:pt idx="0">
                  <c:v>Description</c:v>
                </c:pt>
                <c:pt idx="1">
                  <c:v>Acceptance Criteria</c:v>
                </c:pt>
              </c:strCache>
            </c:strRef>
          </c:cat>
          <c:val>
            <c:numRef>
              <c:f>Slide_2_Story_AC!$B$22:$B$23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2-4D3F-A514-13E33A66B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Modifications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Tendance des modifications Story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6977124183006535E-2"/>
          <c:y val="4.3117283950617286E-2"/>
          <c:w val="0.95434640522875813"/>
          <c:h val="0.91376543209876548"/>
        </c:manualLayout>
      </c:layout>
      <c:lineChart>
        <c:grouping val="standard"/>
        <c:varyColors val="1"/>
        <c:ser>
          <c:idx val="0"/>
          <c:order val="0"/>
          <c:tx>
            <c:strRef>
              <c:f>Slide_2_Story_AC!$B$35</c:f>
              <c:strCache>
                <c:ptCount val="1"/>
                <c:pt idx="0">
                  <c:v>Descriptions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Slide_2_Story_AC!$A$36:$A$37</c:f>
              <c:strCache>
                <c:ptCount val="2"/>
                <c:pt idx="0">
                  <c:v>2026-06-08 08:07:02 UTC</c:v>
                </c:pt>
                <c:pt idx="1">
                  <c:v>2026-06-15 13:21:52 UTC</c:v>
                </c:pt>
              </c:strCache>
            </c:strRef>
          </c:cat>
          <c:val>
            <c:numRef>
              <c:f>Slide_2_Story_AC!$B$36:$B$37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F2-4038-84AC-8E8A75ABAFB8}"/>
            </c:ext>
          </c:extLst>
        </c:ser>
        <c:ser>
          <c:idx val="1"/>
          <c:order val="1"/>
          <c:tx>
            <c:strRef>
              <c:f>Slide_2_Story_AC!$C$35</c:f>
              <c:strCache>
                <c:ptCount val="1"/>
                <c:pt idx="0">
                  <c:v>AC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Slide_2_Story_AC!$A$36:$A$37</c:f>
              <c:strCache>
                <c:ptCount val="2"/>
                <c:pt idx="0">
                  <c:v>2026-06-08 08:07:02 UTC</c:v>
                </c:pt>
                <c:pt idx="1">
                  <c:v>2026-06-15 13:21:52 UTC</c:v>
                </c:pt>
              </c:strCache>
            </c:strRef>
          </c:cat>
          <c:val>
            <c:numRef>
              <c:f>Slide_2_Story_AC!$C$36:$C$37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F2-4038-84AC-8E8A75ABAFB8}"/>
            </c:ext>
          </c:extLst>
        </c:ser>
        <c:ser>
          <c:idx val="2"/>
          <c:order val="2"/>
          <c:tx>
            <c:strRef>
              <c:f>Slide_2_Story_AC!$D$35</c:f>
              <c:strCache>
                <c:ptCount val="1"/>
                <c:pt idx="0">
                  <c:v>Tickets impactés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Slide_2_Story_AC!$A$36:$A$37</c:f>
              <c:strCache>
                <c:ptCount val="2"/>
                <c:pt idx="0">
                  <c:v>2026-06-08 08:07:02 UTC</c:v>
                </c:pt>
                <c:pt idx="1">
                  <c:v>2026-06-15 13:21:52 UTC</c:v>
                </c:pt>
              </c:strCache>
            </c:strRef>
          </c:cat>
          <c:val>
            <c:numRef>
              <c:f>Slide_2_Story_AC!$D$36:$D$37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AF2-4038-84AC-8E8A75ABA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Nombre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19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806824</xdr:colOff>
      <xdr:row>36</xdr:row>
      <xdr:rowOff>29882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showGridLines="0" tabSelected="1" workbookViewId="0">
      <pane ySplit="3" topLeftCell="A16" activePane="bottomLeft" state="frozen"/>
      <selection pane="bottomLeft" activeCell="D36" sqref="D36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5" customWidth="1"/>
    <col min="4" max="4" width="18" customWidth="1"/>
    <col min="5" max="14" width="15" customWidth="1"/>
  </cols>
  <sheetData>
    <row r="1" spans="1:14" ht="28" customHeight="1" x14ac:dyDescent="0.35">
      <c r="A1" s="23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8" customHeight="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1:14" x14ac:dyDescent="0.35">
      <c r="A4" s="1" t="s">
        <v>1</v>
      </c>
      <c r="B4" s="2">
        <v>3</v>
      </c>
      <c r="D4" s="24" t="s">
        <v>2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x14ac:dyDescent="0.35">
      <c r="A5" s="1" t="s">
        <v>3</v>
      </c>
      <c r="B5" s="3">
        <v>46178.648101851853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35">
      <c r="A6" s="1" t="s">
        <v>4</v>
      </c>
      <c r="B6" s="3">
        <v>46188.556851851848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x14ac:dyDescent="0.35">
      <c r="A7" s="1" t="s">
        <v>5</v>
      </c>
      <c r="B7" s="2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x14ac:dyDescent="0.35">
      <c r="A8" s="1" t="s">
        <v>6</v>
      </c>
      <c r="B8" s="2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x14ac:dyDescent="0.35">
      <c r="A9" s="1" t="s">
        <v>7</v>
      </c>
      <c r="B9" s="2" t="s">
        <v>8</v>
      </c>
    </row>
    <row r="12" spans="1:14" x14ac:dyDescent="0.35">
      <c r="A12" s="18" t="s">
        <v>9</v>
      </c>
      <c r="B12" s="19"/>
      <c r="D12" s="18" t="s">
        <v>10</v>
      </c>
      <c r="E12" s="19"/>
      <c r="G12" s="18" t="s">
        <v>11</v>
      </c>
      <c r="H12" s="19"/>
      <c r="J12" s="18" t="s">
        <v>12</v>
      </c>
      <c r="K12" s="19"/>
    </row>
    <row r="13" spans="1:14" x14ac:dyDescent="0.35">
      <c r="A13" s="21">
        <v>86</v>
      </c>
      <c r="B13" s="19"/>
      <c r="D13" s="20">
        <v>140</v>
      </c>
      <c r="E13" s="19"/>
      <c r="G13" s="22">
        <v>2</v>
      </c>
      <c r="H13" s="19"/>
      <c r="J13" s="22">
        <v>0</v>
      </c>
      <c r="K13" s="19"/>
    </row>
    <row r="14" spans="1:14" x14ac:dyDescent="0.35">
      <c r="A14" s="19"/>
      <c r="B14" s="19"/>
      <c r="D14" s="19"/>
      <c r="E14" s="19"/>
      <c r="G14" s="19"/>
      <c r="H14" s="19"/>
      <c r="J14" s="19"/>
      <c r="K14" s="19"/>
    </row>
    <row r="16" spans="1:14" x14ac:dyDescent="0.35">
      <c r="A16" s="18" t="s">
        <v>13</v>
      </c>
      <c r="B16" s="19"/>
      <c r="D16" s="18" t="s">
        <v>14</v>
      </c>
      <c r="E16" s="19"/>
      <c r="G16" s="18" t="s">
        <v>15</v>
      </c>
      <c r="H16" s="19"/>
      <c r="J16" s="18" t="s">
        <v>16</v>
      </c>
      <c r="K16" s="19"/>
    </row>
    <row r="17" spans="1:11" x14ac:dyDescent="0.35">
      <c r="A17" s="20">
        <v>16</v>
      </c>
      <c r="B17" s="19"/>
      <c r="D17" s="20">
        <v>19</v>
      </c>
      <c r="E17" s="19"/>
      <c r="G17" s="21">
        <v>39</v>
      </c>
      <c r="H17" s="19"/>
      <c r="J17" s="22">
        <v>6</v>
      </c>
      <c r="K17" s="19"/>
    </row>
    <row r="18" spans="1:11" x14ac:dyDescent="0.35">
      <c r="A18" s="19"/>
      <c r="B18" s="19"/>
      <c r="D18" s="19"/>
      <c r="E18" s="19"/>
      <c r="G18" s="19"/>
      <c r="H18" s="19"/>
      <c r="J18" s="19"/>
      <c r="K18" s="19"/>
    </row>
    <row r="24" spans="1:11" ht="15.5" x14ac:dyDescent="0.35">
      <c r="A24" s="5" t="s">
        <v>17</v>
      </c>
    </row>
    <row r="25" spans="1:11" ht="29" x14ac:dyDescent="0.35">
      <c r="A25" s="4" t="s">
        <v>18</v>
      </c>
      <c r="B25" s="4" t="s">
        <v>19</v>
      </c>
      <c r="C25" s="4" t="s">
        <v>20</v>
      </c>
    </row>
    <row r="26" spans="1:11" x14ac:dyDescent="0.35">
      <c r="A26" s="2" t="s">
        <v>21</v>
      </c>
      <c r="B26" s="2">
        <v>45</v>
      </c>
      <c r="C26" s="2">
        <v>45</v>
      </c>
    </row>
    <row r="27" spans="1:11" x14ac:dyDescent="0.35">
      <c r="A27" s="2" t="s">
        <v>22</v>
      </c>
      <c r="B27" s="2">
        <v>19</v>
      </c>
      <c r="C27" s="2">
        <v>19</v>
      </c>
    </row>
    <row r="28" spans="1:11" x14ac:dyDescent="0.35">
      <c r="A28" s="2" t="s">
        <v>23</v>
      </c>
      <c r="B28" s="2">
        <v>16</v>
      </c>
      <c r="C28" s="2">
        <v>16</v>
      </c>
    </row>
    <row r="29" spans="1:11" x14ac:dyDescent="0.35">
      <c r="A29" s="2" t="s">
        <v>24</v>
      </c>
      <c r="B29" s="2">
        <v>16</v>
      </c>
      <c r="C29" s="2">
        <v>15</v>
      </c>
    </row>
    <row r="30" spans="1:11" x14ac:dyDescent="0.35">
      <c r="A30" s="2" t="s">
        <v>25</v>
      </c>
      <c r="B30" s="2">
        <v>13</v>
      </c>
      <c r="C30" s="2">
        <v>13</v>
      </c>
    </row>
    <row r="31" spans="1:11" x14ac:dyDescent="0.35">
      <c r="A31" s="2" t="s">
        <v>26</v>
      </c>
      <c r="B31" s="2">
        <v>12</v>
      </c>
      <c r="C31" s="2">
        <v>12</v>
      </c>
    </row>
    <row r="32" spans="1:11" x14ac:dyDescent="0.35">
      <c r="A32" s="2" t="s">
        <v>27</v>
      </c>
      <c r="B32" s="2">
        <v>11</v>
      </c>
      <c r="C32" s="2">
        <v>11</v>
      </c>
    </row>
    <row r="33" spans="1:14" x14ac:dyDescent="0.35">
      <c r="A33" s="2" t="s">
        <v>28</v>
      </c>
      <c r="B33" s="2">
        <v>4</v>
      </c>
      <c r="C33" s="2">
        <v>4</v>
      </c>
    </row>
    <row r="34" spans="1:14" x14ac:dyDescent="0.35">
      <c r="A34" s="2" t="s">
        <v>29</v>
      </c>
      <c r="B34" s="2">
        <v>2</v>
      </c>
      <c r="C34" s="2">
        <v>2</v>
      </c>
    </row>
    <row r="35" spans="1:14" x14ac:dyDescent="0.35">
      <c r="A35" s="2" t="s">
        <v>30</v>
      </c>
      <c r="B35" s="2">
        <v>1</v>
      </c>
      <c r="C35" s="2">
        <v>1</v>
      </c>
    </row>
    <row r="36" spans="1:14" x14ac:dyDescent="0.35">
      <c r="A36" s="2" t="s">
        <v>31</v>
      </c>
      <c r="B36" s="2">
        <v>1</v>
      </c>
      <c r="C36" s="2">
        <v>1</v>
      </c>
    </row>
    <row r="40" spans="1:14" x14ac:dyDescent="0.35">
      <c r="A40" s="16" t="s">
        <v>32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</sheetData>
  <mergeCells count="19">
    <mergeCell ref="A1:N2"/>
    <mergeCell ref="G13:H14"/>
    <mergeCell ref="J12:K12"/>
    <mergeCell ref="G16:H16"/>
    <mergeCell ref="D17:E18"/>
    <mergeCell ref="D4:N8"/>
    <mergeCell ref="D13:E14"/>
    <mergeCell ref="A40:N40"/>
    <mergeCell ref="G12:H12"/>
    <mergeCell ref="A17:B18"/>
    <mergeCell ref="A13:B14"/>
    <mergeCell ref="A16:B16"/>
    <mergeCell ref="A12:B12"/>
    <mergeCell ref="J17:K18"/>
    <mergeCell ref="D16:E16"/>
    <mergeCell ref="J16:K16"/>
    <mergeCell ref="J13:K14"/>
    <mergeCell ref="D12:E12"/>
    <mergeCell ref="G17:H1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5"/>
  <sheetViews>
    <sheetView showGridLines="0" zoomScale="85" zoomScaleNormal="85" workbookViewId="0">
      <pane ySplit="8" topLeftCell="A26" activePane="bottomLeft" state="frozen"/>
      <selection pane="bottomLeft" activeCell="G32" sqref="G32"/>
    </sheetView>
  </sheetViews>
  <sheetFormatPr baseColWidth="10" defaultColWidth="8.7265625" defaultRowHeight="14.5" x14ac:dyDescent="0.35"/>
  <cols>
    <col min="1" max="1" width="15" customWidth="1"/>
    <col min="2" max="2" width="18" customWidth="1"/>
    <col min="3" max="3" width="16" customWidth="1"/>
    <col min="4" max="5" width="18" customWidth="1"/>
    <col min="6" max="7" width="42" customWidth="1"/>
    <col min="8" max="8" width="36" customWidth="1"/>
    <col min="9" max="9" width="28" customWidth="1"/>
    <col min="10" max="14" width="15" customWidth="1"/>
  </cols>
  <sheetData>
    <row r="1" spans="1:14" x14ac:dyDescent="0.35">
      <c r="A1" s="23" t="s">
        <v>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1:14" x14ac:dyDescent="0.35">
      <c r="A4" s="24" t="s">
        <v>34</v>
      </c>
      <c r="B4" s="17"/>
      <c r="C4" s="17"/>
      <c r="D4" s="4" t="s">
        <v>35</v>
      </c>
      <c r="E4" s="6" t="s">
        <v>36</v>
      </c>
      <c r="H4" s="4" t="s">
        <v>24</v>
      </c>
      <c r="I4" s="6" t="s">
        <v>36</v>
      </c>
    </row>
    <row r="5" spans="1:14" x14ac:dyDescent="0.35">
      <c r="A5" s="17"/>
      <c r="B5" s="17"/>
      <c r="C5" s="17"/>
    </row>
    <row r="6" spans="1:14" x14ac:dyDescent="0.35">
      <c r="A6" s="17"/>
      <c r="B6" s="17"/>
      <c r="C6" s="17"/>
      <c r="D6" s="29" t="s">
        <v>37</v>
      </c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10" spans="1:14" x14ac:dyDescent="0.35">
      <c r="A10" s="18" t="s">
        <v>38</v>
      </c>
      <c r="B10" s="19"/>
      <c r="D10" s="18" t="s">
        <v>39</v>
      </c>
      <c r="E10" s="19"/>
      <c r="G10" s="18" t="s">
        <v>40</v>
      </c>
      <c r="H10" s="19"/>
      <c r="J10" s="18" t="s">
        <v>11</v>
      </c>
      <c r="K10" s="19"/>
    </row>
    <row r="11" spans="1:14" x14ac:dyDescent="0.35">
      <c r="A11" s="28">
        <f>IFERROR(INDEX(_Story_AC_KPI!$D:$D,MATCH($E$4&amp;"|"&amp;$I$4,_Story_AC_KPI!$A:$A,0)),0)</f>
        <v>61</v>
      </c>
      <c r="B11" s="19"/>
      <c r="D11" s="26">
        <f>IFERROR(INDEX(_Story_AC_KPI!$E:$E,MATCH($E$4&amp;"|"&amp;$I$4,_Story_AC_KPI!$A:$A,0)),0)</f>
        <v>0</v>
      </c>
      <c r="E11" s="19"/>
      <c r="G11" s="28">
        <f>IFERROR(INDEX(_Story_AC_KPI!$F:$F,MATCH($E$4&amp;"|"&amp;$I$4,_Story_AC_KPI!$A:$A,0)),0)</f>
        <v>0</v>
      </c>
      <c r="H11" s="19"/>
      <c r="J11" s="27">
        <f>IFERROR(INDEX(_Story_AC_KPI!$G:$G,MATCH($E$4&amp;"|"&amp;$I$4,_Story_AC_KPI!$A:$A,0)),0)</f>
        <v>0</v>
      </c>
      <c r="K11" s="19"/>
    </row>
    <row r="12" spans="1:14" x14ac:dyDescent="0.35">
      <c r="A12" s="19"/>
      <c r="B12" s="19"/>
      <c r="D12" s="19"/>
      <c r="E12" s="19"/>
      <c r="G12" s="19"/>
      <c r="H12" s="19"/>
      <c r="J12" s="19"/>
      <c r="K12" s="19"/>
    </row>
    <row r="14" spans="1:14" x14ac:dyDescent="0.35">
      <c r="A14" s="18" t="s">
        <v>12</v>
      </c>
      <c r="B14" s="19"/>
      <c r="D14" s="18" t="s">
        <v>41</v>
      </c>
      <c r="E14" s="19"/>
      <c r="G14" s="18" t="s">
        <v>42</v>
      </c>
      <c r="H14" s="19"/>
      <c r="J14" s="18" t="s">
        <v>43</v>
      </c>
      <c r="K14" s="19"/>
    </row>
    <row r="15" spans="1:14" x14ac:dyDescent="0.35">
      <c r="A15" s="27">
        <f>IFERROR(INDEX(_Story_AC_KPI!$H:$H,MATCH($E$4&amp;"|"&amp;$I$4,_Story_AC_KPI!$A:$A,0)),0)</f>
        <v>0</v>
      </c>
      <c r="B15" s="19"/>
      <c r="D15" s="26">
        <f>IFERROR(INDEX(_Story_AC_KPI!$K:$K,MATCH($E$4&amp;"|"&amp;$I$4,_Story_AC_KPI!$A:$A,0)),0)</f>
        <v>0</v>
      </c>
      <c r="E15" s="19"/>
      <c r="G15" s="25">
        <f>IFERROR(INDEX(_Story_AC_KPI!$L:$L,MATCH($E$4&amp;"|"&amp;$I$4,_Story_AC_KPI!$A:$A,0)),0)</f>
        <v>0</v>
      </c>
      <c r="H15" s="19"/>
      <c r="J15" s="30">
        <f>IFERROR(INDEX(_Story_AC_KPI!$N:$N,MATCH($E$4&amp;"|"&amp;$I$4,_Story_AC_KPI!$A:$A,0)),"")</f>
        <v>0</v>
      </c>
      <c r="K15" s="19"/>
    </row>
    <row r="16" spans="1:14" x14ac:dyDescent="0.35">
      <c r="A16" s="19"/>
      <c r="B16" s="19"/>
      <c r="D16" s="19"/>
      <c r="E16" s="19"/>
      <c r="G16" s="19"/>
      <c r="H16" s="19"/>
      <c r="J16" s="19"/>
      <c r="K16" s="19"/>
    </row>
    <row r="20" spans="1:3" ht="15.5" x14ac:dyDescent="0.35">
      <c r="A20" s="7" t="s">
        <v>44</v>
      </c>
    </row>
    <row r="21" spans="1:3" x14ac:dyDescent="0.35">
      <c r="A21" s="4" t="s">
        <v>45</v>
      </c>
      <c r="B21" s="4" t="s">
        <v>19</v>
      </c>
      <c r="C21" s="4" t="s">
        <v>20</v>
      </c>
    </row>
    <row r="22" spans="1:3" x14ac:dyDescent="0.35">
      <c r="A22" s="2" t="s">
        <v>29</v>
      </c>
      <c r="B22" s="2">
        <f>IFERROR(INDEX(_Story_AC_Field!$E:$E,MATCH($E$4&amp;"|"&amp;$I$4&amp;"|"&amp;A22,_Story_AC_Field!$A:$A,0)),0)</f>
        <v>0</v>
      </c>
      <c r="C22" s="2">
        <f>IFERROR(INDEX(_Story_AC_Field!$F:$F,MATCH($E$4&amp;"|"&amp;$I$4&amp;"|"&amp;A22,_Story_AC_Field!$A:$A,0)),0)</f>
        <v>0</v>
      </c>
    </row>
    <row r="23" spans="1:3" x14ac:dyDescent="0.35">
      <c r="A23" s="2" t="s">
        <v>46</v>
      </c>
      <c r="B23" s="2">
        <f>IFERROR(INDEX(_Story_AC_Field!$E:$E,MATCH($E$4&amp;"|"&amp;$I$4&amp;"|"&amp;A23,_Story_AC_Field!$A:$A,0)),0)</f>
        <v>0</v>
      </c>
      <c r="C23" s="2">
        <f>IFERROR(INDEX(_Story_AC_Field!$F:$F,MATCH($E$4&amp;"|"&amp;$I$4&amp;"|"&amp;A23,_Story_AC_Field!$A:$A,0)),0)</f>
        <v>0</v>
      </c>
    </row>
    <row r="34" spans="1:4" ht="15.5" x14ac:dyDescent="0.35">
      <c r="A34" s="7" t="s">
        <v>47</v>
      </c>
    </row>
    <row r="35" spans="1:4" ht="29" x14ac:dyDescent="0.35">
      <c r="A35" s="4" t="s">
        <v>48</v>
      </c>
      <c r="B35" s="4" t="s">
        <v>49</v>
      </c>
      <c r="C35" s="4" t="s">
        <v>50</v>
      </c>
      <c r="D35" s="4" t="s">
        <v>51</v>
      </c>
    </row>
    <row r="36" spans="1:4" x14ac:dyDescent="0.35">
      <c r="A36" s="2" t="s">
        <v>52</v>
      </c>
      <c r="B36" s="2">
        <f>IFERROR(INDEX(_Story_AC_Evo!$E:$E,MATCH($E$4&amp;"|"&amp;$I$4&amp;"|"&amp;A36,_Story_AC_Evo!$A:$A,0)),0)</f>
        <v>0</v>
      </c>
      <c r="C36" s="2">
        <f>IFERROR(INDEX(_Story_AC_Evo!$F:$F,MATCH($E$4&amp;"|"&amp;$I$4&amp;"|"&amp;A36,_Story_AC_Evo!$A:$A,0)),0)</f>
        <v>0</v>
      </c>
      <c r="D36" s="2">
        <f>IFERROR(INDEX(_Story_AC_Evo!$G:$G,MATCH($E$4&amp;"|"&amp;$I$4&amp;"|"&amp;A36,_Story_AC_Evo!$A:$A,0)),0)</f>
        <v>0</v>
      </c>
    </row>
    <row r="37" spans="1:4" x14ac:dyDescent="0.35">
      <c r="A37" s="2" t="s">
        <v>53</v>
      </c>
      <c r="B37" s="2">
        <f>IFERROR(INDEX(_Story_AC_Evo!$E:$E,MATCH($E$4&amp;"|"&amp;$I$4&amp;"|"&amp;A37,_Story_AC_Evo!$A:$A,0)),0)</f>
        <v>0</v>
      </c>
      <c r="C37" s="2">
        <f>IFERROR(INDEX(_Story_AC_Evo!$F:$F,MATCH($E$4&amp;"|"&amp;$I$4&amp;"|"&amp;A37,_Story_AC_Evo!$A:$A,0)),0)</f>
        <v>0</v>
      </c>
      <c r="D37" s="2">
        <f>IFERROR(INDEX(_Story_AC_Evo!$G:$G,MATCH($E$4&amp;"|"&amp;$I$4&amp;"|"&amp;A37,_Story_AC_Evo!$A:$A,0)),0)</f>
        <v>0</v>
      </c>
    </row>
    <row r="68" spans="1:9" ht="15.5" x14ac:dyDescent="0.35">
      <c r="A68" s="7" t="s">
        <v>54</v>
      </c>
    </row>
    <row r="69" spans="1:9" x14ac:dyDescent="0.35">
      <c r="A69" s="4" t="s">
        <v>55</v>
      </c>
      <c r="B69" s="4" t="s">
        <v>56</v>
      </c>
      <c r="C69" s="4" t="s">
        <v>24</v>
      </c>
      <c r="D69" s="4" t="s">
        <v>57</v>
      </c>
      <c r="E69" s="4" t="s">
        <v>50</v>
      </c>
      <c r="F69" s="4" t="s">
        <v>58</v>
      </c>
      <c r="G69" s="4" t="s">
        <v>43</v>
      </c>
      <c r="H69" s="4" t="s">
        <v>31</v>
      </c>
      <c r="I69" s="4" t="s">
        <v>59</v>
      </c>
    </row>
    <row r="70" spans="1:9" x14ac:dyDescent="0.35">
      <c r="A70" s="8">
        <v>1</v>
      </c>
      <c r="B70" s="8" t="str">
        <f>IFERROR(INDEX(_Story_AC_Top!$F:$F,MATCH($E$4&amp;"|"&amp;$I$4&amp;"|"&amp;A70,_Story_AC_Top!$A:$A,0)),"")</f>
        <v/>
      </c>
      <c r="C70" s="8" t="str">
        <f>IFERROR(INDEX(_Story_AC_Top!$H:$H,MATCH($E$4&amp;"|"&amp;$I$4&amp;"|"&amp;A70,_Story_AC_Top!$A:$A,0)),"")</f>
        <v/>
      </c>
      <c r="D70" s="8">
        <f>IFERROR(INDEX(_Story_AC_Top!$I:$I,MATCH($E$4&amp;"|"&amp;$I$4&amp;"|"&amp;A70,_Story_AC_Top!$A:$A,0)),0)</f>
        <v>0</v>
      </c>
      <c r="E70" s="8">
        <f>IFERROR(INDEX(_Story_AC_Top!$J:$J,MATCH($E$4&amp;"|"&amp;$I$4&amp;"|"&amp;A70,_Story_AC_Top!$A:$A,0)),0)</f>
        <v>0</v>
      </c>
      <c r="F70" s="8">
        <f>IFERROR(INDEX(_Story_AC_Top!$K:$K,MATCH($E$4&amp;"|"&amp;$I$4&amp;"|"&amp;A70,_Story_AC_Top!$A:$A,0)),0)</f>
        <v>0</v>
      </c>
      <c r="G70" s="8" t="str">
        <f>IFERROR(INDEX(_Story_AC_Top!$L:$L,MATCH($E$4&amp;"|"&amp;$I$4&amp;"|"&amp;A70,_Story_AC_Top!$A:$A,0)),"")</f>
        <v/>
      </c>
      <c r="H70" s="9" t="str">
        <f>IFERROR(INDEX(_Story_AC_Top!$G:$G,MATCH($E$4&amp;"|"&amp;$I$4&amp;"|"&amp;A70,_Story_AC_Top!$A:$A,0)),"")</f>
        <v/>
      </c>
      <c r="I70" s="9" t="str">
        <f>IFERROR(INDEX(_Story_AC_Top!$M:$M,MATCH($E$4&amp;"|"&amp;$I$4&amp;"|"&amp;A70,_Story_AC_Top!$A:$A,0)),"")</f>
        <v/>
      </c>
    </row>
    <row r="71" spans="1:9" x14ac:dyDescent="0.35">
      <c r="A71" s="8">
        <v>2</v>
      </c>
      <c r="B71" s="8" t="str">
        <f>IFERROR(INDEX(_Story_AC_Top!$F:$F,MATCH($E$4&amp;"|"&amp;$I$4&amp;"|"&amp;A71,_Story_AC_Top!$A:$A,0)),"")</f>
        <v/>
      </c>
      <c r="C71" s="8" t="str">
        <f>IFERROR(INDEX(_Story_AC_Top!$H:$H,MATCH($E$4&amp;"|"&amp;$I$4&amp;"|"&amp;A71,_Story_AC_Top!$A:$A,0)),"")</f>
        <v/>
      </c>
      <c r="D71" s="8">
        <f>IFERROR(INDEX(_Story_AC_Top!$I:$I,MATCH($E$4&amp;"|"&amp;$I$4&amp;"|"&amp;A71,_Story_AC_Top!$A:$A,0)),0)</f>
        <v>0</v>
      </c>
      <c r="E71" s="8">
        <f>IFERROR(INDEX(_Story_AC_Top!$J:$J,MATCH($E$4&amp;"|"&amp;$I$4&amp;"|"&amp;A71,_Story_AC_Top!$A:$A,0)),0)</f>
        <v>0</v>
      </c>
      <c r="F71" s="8">
        <f>IFERROR(INDEX(_Story_AC_Top!$K:$K,MATCH($E$4&amp;"|"&amp;$I$4&amp;"|"&amp;A71,_Story_AC_Top!$A:$A,0)),0)</f>
        <v>0</v>
      </c>
      <c r="G71" s="8" t="str">
        <f>IFERROR(INDEX(_Story_AC_Top!$L:$L,MATCH($E$4&amp;"|"&amp;$I$4&amp;"|"&amp;A71,_Story_AC_Top!$A:$A,0)),"")</f>
        <v/>
      </c>
      <c r="H71" s="9" t="str">
        <f>IFERROR(INDEX(_Story_AC_Top!$G:$G,MATCH($E$4&amp;"|"&amp;$I$4&amp;"|"&amp;A71,_Story_AC_Top!$A:$A,0)),"")</f>
        <v/>
      </c>
      <c r="I71" s="9" t="str">
        <f>IFERROR(INDEX(_Story_AC_Top!$M:$M,MATCH($E$4&amp;"|"&amp;$I$4&amp;"|"&amp;A71,_Story_AC_Top!$A:$A,0)),"")</f>
        <v/>
      </c>
    </row>
    <row r="72" spans="1:9" x14ac:dyDescent="0.35">
      <c r="A72" s="8">
        <v>3</v>
      </c>
      <c r="B72" s="8" t="str">
        <f>IFERROR(INDEX(_Story_AC_Top!$F:$F,MATCH($E$4&amp;"|"&amp;$I$4&amp;"|"&amp;A72,_Story_AC_Top!$A:$A,0)),"")</f>
        <v/>
      </c>
      <c r="C72" s="8" t="str">
        <f>IFERROR(INDEX(_Story_AC_Top!$H:$H,MATCH($E$4&amp;"|"&amp;$I$4&amp;"|"&amp;A72,_Story_AC_Top!$A:$A,0)),"")</f>
        <v/>
      </c>
      <c r="D72" s="8">
        <f>IFERROR(INDEX(_Story_AC_Top!$I:$I,MATCH($E$4&amp;"|"&amp;$I$4&amp;"|"&amp;A72,_Story_AC_Top!$A:$A,0)),0)</f>
        <v>0</v>
      </c>
      <c r="E72" s="8">
        <f>IFERROR(INDEX(_Story_AC_Top!$J:$J,MATCH($E$4&amp;"|"&amp;$I$4&amp;"|"&amp;A72,_Story_AC_Top!$A:$A,0)),0)</f>
        <v>0</v>
      </c>
      <c r="F72" s="8">
        <f>IFERROR(INDEX(_Story_AC_Top!$K:$K,MATCH($E$4&amp;"|"&amp;$I$4&amp;"|"&amp;A72,_Story_AC_Top!$A:$A,0)),0)</f>
        <v>0</v>
      </c>
      <c r="G72" s="8" t="str">
        <f>IFERROR(INDEX(_Story_AC_Top!$L:$L,MATCH($E$4&amp;"|"&amp;$I$4&amp;"|"&amp;A72,_Story_AC_Top!$A:$A,0)),"")</f>
        <v/>
      </c>
      <c r="H72" s="9" t="str">
        <f>IFERROR(INDEX(_Story_AC_Top!$G:$G,MATCH($E$4&amp;"|"&amp;$I$4&amp;"|"&amp;A72,_Story_AC_Top!$A:$A,0)),"")</f>
        <v/>
      </c>
      <c r="I72" s="9" t="str">
        <f>IFERROR(INDEX(_Story_AC_Top!$M:$M,MATCH($E$4&amp;"|"&amp;$I$4&amp;"|"&amp;A72,_Story_AC_Top!$A:$A,0)),"")</f>
        <v/>
      </c>
    </row>
    <row r="73" spans="1:9" x14ac:dyDescent="0.35">
      <c r="A73" s="8">
        <v>4</v>
      </c>
      <c r="B73" s="8" t="str">
        <f>IFERROR(INDEX(_Story_AC_Top!$F:$F,MATCH($E$4&amp;"|"&amp;$I$4&amp;"|"&amp;A73,_Story_AC_Top!$A:$A,0)),"")</f>
        <v/>
      </c>
      <c r="C73" s="8" t="str">
        <f>IFERROR(INDEX(_Story_AC_Top!$H:$H,MATCH($E$4&amp;"|"&amp;$I$4&amp;"|"&amp;A73,_Story_AC_Top!$A:$A,0)),"")</f>
        <v/>
      </c>
      <c r="D73" s="8">
        <f>IFERROR(INDEX(_Story_AC_Top!$I:$I,MATCH($E$4&amp;"|"&amp;$I$4&amp;"|"&amp;A73,_Story_AC_Top!$A:$A,0)),0)</f>
        <v>0</v>
      </c>
      <c r="E73" s="8">
        <f>IFERROR(INDEX(_Story_AC_Top!$J:$J,MATCH($E$4&amp;"|"&amp;$I$4&amp;"|"&amp;A73,_Story_AC_Top!$A:$A,0)),0)</f>
        <v>0</v>
      </c>
      <c r="F73" s="8">
        <f>IFERROR(INDEX(_Story_AC_Top!$K:$K,MATCH($E$4&amp;"|"&amp;$I$4&amp;"|"&amp;A73,_Story_AC_Top!$A:$A,0)),0)</f>
        <v>0</v>
      </c>
      <c r="G73" s="8" t="str">
        <f>IFERROR(INDEX(_Story_AC_Top!$L:$L,MATCH($E$4&amp;"|"&amp;$I$4&amp;"|"&amp;A73,_Story_AC_Top!$A:$A,0)),"")</f>
        <v/>
      </c>
      <c r="H73" s="9" t="str">
        <f>IFERROR(INDEX(_Story_AC_Top!$G:$G,MATCH($E$4&amp;"|"&amp;$I$4&amp;"|"&amp;A73,_Story_AC_Top!$A:$A,0)),"")</f>
        <v/>
      </c>
      <c r="I73" s="9" t="str">
        <f>IFERROR(INDEX(_Story_AC_Top!$M:$M,MATCH($E$4&amp;"|"&amp;$I$4&amp;"|"&amp;A73,_Story_AC_Top!$A:$A,0)),"")</f>
        <v/>
      </c>
    </row>
    <row r="74" spans="1:9" x14ac:dyDescent="0.35">
      <c r="A74" s="8">
        <v>5</v>
      </c>
      <c r="B74" s="8" t="str">
        <f>IFERROR(INDEX(_Story_AC_Top!$F:$F,MATCH($E$4&amp;"|"&amp;$I$4&amp;"|"&amp;A74,_Story_AC_Top!$A:$A,0)),"")</f>
        <v/>
      </c>
      <c r="C74" s="8" t="str">
        <f>IFERROR(INDEX(_Story_AC_Top!$H:$H,MATCH($E$4&amp;"|"&amp;$I$4&amp;"|"&amp;A74,_Story_AC_Top!$A:$A,0)),"")</f>
        <v/>
      </c>
      <c r="D74" s="8">
        <f>IFERROR(INDEX(_Story_AC_Top!$I:$I,MATCH($E$4&amp;"|"&amp;$I$4&amp;"|"&amp;A74,_Story_AC_Top!$A:$A,0)),0)</f>
        <v>0</v>
      </c>
      <c r="E74" s="8">
        <f>IFERROR(INDEX(_Story_AC_Top!$J:$J,MATCH($E$4&amp;"|"&amp;$I$4&amp;"|"&amp;A74,_Story_AC_Top!$A:$A,0)),0)</f>
        <v>0</v>
      </c>
      <c r="F74" s="8">
        <f>IFERROR(INDEX(_Story_AC_Top!$K:$K,MATCH($E$4&amp;"|"&amp;$I$4&amp;"|"&amp;A74,_Story_AC_Top!$A:$A,0)),0)</f>
        <v>0</v>
      </c>
      <c r="G74" s="8" t="str">
        <f>IFERROR(INDEX(_Story_AC_Top!$L:$L,MATCH($E$4&amp;"|"&amp;$I$4&amp;"|"&amp;A74,_Story_AC_Top!$A:$A,0)),"")</f>
        <v/>
      </c>
      <c r="H74" s="9" t="str">
        <f>IFERROR(INDEX(_Story_AC_Top!$G:$G,MATCH($E$4&amp;"|"&amp;$I$4&amp;"|"&amp;A74,_Story_AC_Top!$A:$A,0)),"")</f>
        <v/>
      </c>
      <c r="I74" s="9" t="str">
        <f>IFERROR(INDEX(_Story_AC_Top!$M:$M,MATCH($E$4&amp;"|"&amp;$I$4&amp;"|"&amp;A74,_Story_AC_Top!$A:$A,0)),"")</f>
        <v/>
      </c>
    </row>
    <row r="75" spans="1:9" x14ac:dyDescent="0.35">
      <c r="A75" s="8">
        <v>6</v>
      </c>
      <c r="B75" s="8" t="str">
        <f>IFERROR(INDEX(_Story_AC_Top!$F:$F,MATCH($E$4&amp;"|"&amp;$I$4&amp;"|"&amp;A75,_Story_AC_Top!$A:$A,0)),"")</f>
        <v/>
      </c>
      <c r="C75" s="8" t="str">
        <f>IFERROR(INDEX(_Story_AC_Top!$H:$H,MATCH($E$4&amp;"|"&amp;$I$4&amp;"|"&amp;A75,_Story_AC_Top!$A:$A,0)),"")</f>
        <v/>
      </c>
      <c r="D75" s="8">
        <f>IFERROR(INDEX(_Story_AC_Top!$I:$I,MATCH($E$4&amp;"|"&amp;$I$4&amp;"|"&amp;A75,_Story_AC_Top!$A:$A,0)),0)</f>
        <v>0</v>
      </c>
      <c r="E75" s="8">
        <f>IFERROR(INDEX(_Story_AC_Top!$J:$J,MATCH($E$4&amp;"|"&amp;$I$4&amp;"|"&amp;A75,_Story_AC_Top!$A:$A,0)),0)</f>
        <v>0</v>
      </c>
      <c r="F75" s="8">
        <f>IFERROR(INDEX(_Story_AC_Top!$K:$K,MATCH($E$4&amp;"|"&amp;$I$4&amp;"|"&amp;A75,_Story_AC_Top!$A:$A,0)),0)</f>
        <v>0</v>
      </c>
      <c r="G75" s="8" t="str">
        <f>IFERROR(INDEX(_Story_AC_Top!$L:$L,MATCH($E$4&amp;"|"&amp;$I$4&amp;"|"&amp;A75,_Story_AC_Top!$A:$A,0)),"")</f>
        <v/>
      </c>
      <c r="H75" s="9" t="str">
        <f>IFERROR(INDEX(_Story_AC_Top!$G:$G,MATCH($E$4&amp;"|"&amp;$I$4&amp;"|"&amp;A75,_Story_AC_Top!$A:$A,0)),"")</f>
        <v/>
      </c>
      <c r="I75" s="9" t="str">
        <f>IFERROR(INDEX(_Story_AC_Top!$M:$M,MATCH($E$4&amp;"|"&amp;$I$4&amp;"|"&amp;A75,_Story_AC_Top!$A:$A,0)),"")</f>
        <v/>
      </c>
    </row>
    <row r="76" spans="1:9" x14ac:dyDescent="0.35">
      <c r="A76" s="8">
        <v>7</v>
      </c>
      <c r="B76" s="8" t="str">
        <f>IFERROR(INDEX(_Story_AC_Top!$F:$F,MATCH($E$4&amp;"|"&amp;$I$4&amp;"|"&amp;A76,_Story_AC_Top!$A:$A,0)),"")</f>
        <v/>
      </c>
      <c r="C76" s="8" t="str">
        <f>IFERROR(INDEX(_Story_AC_Top!$H:$H,MATCH($E$4&amp;"|"&amp;$I$4&amp;"|"&amp;A76,_Story_AC_Top!$A:$A,0)),"")</f>
        <v/>
      </c>
      <c r="D76" s="8">
        <f>IFERROR(INDEX(_Story_AC_Top!$I:$I,MATCH($E$4&amp;"|"&amp;$I$4&amp;"|"&amp;A76,_Story_AC_Top!$A:$A,0)),0)</f>
        <v>0</v>
      </c>
      <c r="E76" s="8">
        <f>IFERROR(INDEX(_Story_AC_Top!$J:$J,MATCH($E$4&amp;"|"&amp;$I$4&amp;"|"&amp;A76,_Story_AC_Top!$A:$A,0)),0)</f>
        <v>0</v>
      </c>
      <c r="F76" s="8">
        <f>IFERROR(INDEX(_Story_AC_Top!$K:$K,MATCH($E$4&amp;"|"&amp;$I$4&amp;"|"&amp;A76,_Story_AC_Top!$A:$A,0)),0)</f>
        <v>0</v>
      </c>
      <c r="G76" s="8" t="str">
        <f>IFERROR(INDEX(_Story_AC_Top!$L:$L,MATCH($E$4&amp;"|"&amp;$I$4&amp;"|"&amp;A76,_Story_AC_Top!$A:$A,0)),"")</f>
        <v/>
      </c>
      <c r="H76" s="9" t="str">
        <f>IFERROR(INDEX(_Story_AC_Top!$G:$G,MATCH($E$4&amp;"|"&amp;$I$4&amp;"|"&amp;A76,_Story_AC_Top!$A:$A,0)),"")</f>
        <v/>
      </c>
      <c r="I76" s="9" t="str">
        <f>IFERROR(INDEX(_Story_AC_Top!$M:$M,MATCH($E$4&amp;"|"&amp;$I$4&amp;"|"&amp;A76,_Story_AC_Top!$A:$A,0)),"")</f>
        <v/>
      </c>
    </row>
    <row r="77" spans="1:9" x14ac:dyDescent="0.35">
      <c r="A77" s="8">
        <v>8</v>
      </c>
      <c r="B77" s="8" t="str">
        <f>IFERROR(INDEX(_Story_AC_Top!$F:$F,MATCH($E$4&amp;"|"&amp;$I$4&amp;"|"&amp;A77,_Story_AC_Top!$A:$A,0)),"")</f>
        <v/>
      </c>
      <c r="C77" s="8" t="str">
        <f>IFERROR(INDEX(_Story_AC_Top!$H:$H,MATCH($E$4&amp;"|"&amp;$I$4&amp;"|"&amp;A77,_Story_AC_Top!$A:$A,0)),"")</f>
        <v/>
      </c>
      <c r="D77" s="8">
        <f>IFERROR(INDEX(_Story_AC_Top!$I:$I,MATCH($E$4&amp;"|"&amp;$I$4&amp;"|"&amp;A77,_Story_AC_Top!$A:$A,0)),0)</f>
        <v>0</v>
      </c>
      <c r="E77" s="8">
        <f>IFERROR(INDEX(_Story_AC_Top!$J:$J,MATCH($E$4&amp;"|"&amp;$I$4&amp;"|"&amp;A77,_Story_AC_Top!$A:$A,0)),0)</f>
        <v>0</v>
      </c>
      <c r="F77" s="8">
        <f>IFERROR(INDEX(_Story_AC_Top!$K:$K,MATCH($E$4&amp;"|"&amp;$I$4&amp;"|"&amp;A77,_Story_AC_Top!$A:$A,0)),0)</f>
        <v>0</v>
      </c>
      <c r="G77" s="8" t="str">
        <f>IFERROR(INDEX(_Story_AC_Top!$L:$L,MATCH($E$4&amp;"|"&amp;$I$4&amp;"|"&amp;A77,_Story_AC_Top!$A:$A,0)),"")</f>
        <v/>
      </c>
      <c r="H77" s="9" t="str">
        <f>IFERROR(INDEX(_Story_AC_Top!$G:$G,MATCH($E$4&amp;"|"&amp;$I$4&amp;"|"&amp;A77,_Story_AC_Top!$A:$A,0)),"")</f>
        <v/>
      </c>
      <c r="I77" s="9" t="str">
        <f>IFERROR(INDEX(_Story_AC_Top!$M:$M,MATCH($E$4&amp;"|"&amp;$I$4&amp;"|"&amp;A77,_Story_AC_Top!$A:$A,0)),"")</f>
        <v/>
      </c>
    </row>
    <row r="78" spans="1:9" x14ac:dyDescent="0.35">
      <c r="A78" s="8">
        <v>9</v>
      </c>
      <c r="B78" s="8" t="str">
        <f>IFERROR(INDEX(_Story_AC_Top!$F:$F,MATCH($E$4&amp;"|"&amp;$I$4&amp;"|"&amp;A78,_Story_AC_Top!$A:$A,0)),"")</f>
        <v/>
      </c>
      <c r="C78" s="8" t="str">
        <f>IFERROR(INDEX(_Story_AC_Top!$H:$H,MATCH($E$4&amp;"|"&amp;$I$4&amp;"|"&amp;A78,_Story_AC_Top!$A:$A,0)),"")</f>
        <v/>
      </c>
      <c r="D78" s="8">
        <f>IFERROR(INDEX(_Story_AC_Top!$I:$I,MATCH($E$4&amp;"|"&amp;$I$4&amp;"|"&amp;A78,_Story_AC_Top!$A:$A,0)),0)</f>
        <v>0</v>
      </c>
      <c r="E78" s="8">
        <f>IFERROR(INDEX(_Story_AC_Top!$J:$J,MATCH($E$4&amp;"|"&amp;$I$4&amp;"|"&amp;A78,_Story_AC_Top!$A:$A,0)),0)</f>
        <v>0</v>
      </c>
      <c r="F78" s="8">
        <f>IFERROR(INDEX(_Story_AC_Top!$K:$K,MATCH($E$4&amp;"|"&amp;$I$4&amp;"|"&amp;A78,_Story_AC_Top!$A:$A,0)),0)</f>
        <v>0</v>
      </c>
      <c r="G78" s="8" t="str">
        <f>IFERROR(INDEX(_Story_AC_Top!$L:$L,MATCH($E$4&amp;"|"&amp;$I$4&amp;"|"&amp;A78,_Story_AC_Top!$A:$A,0)),"")</f>
        <v/>
      </c>
      <c r="H78" s="9" t="str">
        <f>IFERROR(INDEX(_Story_AC_Top!$G:$G,MATCH($E$4&amp;"|"&amp;$I$4&amp;"|"&amp;A78,_Story_AC_Top!$A:$A,0)),"")</f>
        <v/>
      </c>
      <c r="I78" s="9" t="str">
        <f>IFERROR(INDEX(_Story_AC_Top!$M:$M,MATCH($E$4&amp;"|"&amp;$I$4&amp;"|"&amp;A78,_Story_AC_Top!$A:$A,0)),"")</f>
        <v/>
      </c>
    </row>
    <row r="79" spans="1:9" x14ac:dyDescent="0.35">
      <c r="A79" s="8">
        <v>10</v>
      </c>
      <c r="B79" s="8" t="str">
        <f>IFERROR(INDEX(_Story_AC_Top!$F:$F,MATCH($E$4&amp;"|"&amp;$I$4&amp;"|"&amp;A79,_Story_AC_Top!$A:$A,0)),"")</f>
        <v/>
      </c>
      <c r="C79" s="8" t="str">
        <f>IFERROR(INDEX(_Story_AC_Top!$H:$H,MATCH($E$4&amp;"|"&amp;$I$4&amp;"|"&amp;A79,_Story_AC_Top!$A:$A,0)),"")</f>
        <v/>
      </c>
      <c r="D79" s="8">
        <f>IFERROR(INDEX(_Story_AC_Top!$I:$I,MATCH($E$4&amp;"|"&amp;$I$4&amp;"|"&amp;A79,_Story_AC_Top!$A:$A,0)),0)</f>
        <v>0</v>
      </c>
      <c r="E79" s="8">
        <f>IFERROR(INDEX(_Story_AC_Top!$J:$J,MATCH($E$4&amp;"|"&amp;$I$4&amp;"|"&amp;A79,_Story_AC_Top!$A:$A,0)),0)</f>
        <v>0</v>
      </c>
      <c r="F79" s="8">
        <f>IFERROR(INDEX(_Story_AC_Top!$K:$K,MATCH($E$4&amp;"|"&amp;$I$4&amp;"|"&amp;A79,_Story_AC_Top!$A:$A,0)),0)</f>
        <v>0</v>
      </c>
      <c r="G79" s="8" t="str">
        <f>IFERROR(INDEX(_Story_AC_Top!$L:$L,MATCH($E$4&amp;"|"&amp;$I$4&amp;"|"&amp;A79,_Story_AC_Top!$A:$A,0)),"")</f>
        <v/>
      </c>
      <c r="H79" s="9" t="str">
        <f>IFERROR(INDEX(_Story_AC_Top!$G:$G,MATCH($E$4&amp;"|"&amp;$I$4&amp;"|"&amp;A79,_Story_AC_Top!$A:$A,0)),"")</f>
        <v/>
      </c>
      <c r="I79" s="9" t="str">
        <f>IFERROR(INDEX(_Story_AC_Top!$M:$M,MATCH($E$4&amp;"|"&amp;$I$4&amp;"|"&amp;A79,_Story_AC_Top!$A:$A,0)),"")</f>
        <v/>
      </c>
    </row>
    <row r="83" spans="1:8" ht="42" customHeight="1" x14ac:dyDescent="0.35">
      <c r="A83" s="7" t="s">
        <v>60</v>
      </c>
    </row>
    <row r="84" spans="1:8" ht="42" customHeight="1" x14ac:dyDescent="0.35">
      <c r="A84" s="4" t="s">
        <v>55</v>
      </c>
      <c r="B84" s="4" t="s">
        <v>61</v>
      </c>
      <c r="C84" s="4" t="s">
        <v>56</v>
      </c>
      <c r="D84" s="4" t="s">
        <v>45</v>
      </c>
      <c r="E84" s="4" t="s">
        <v>24</v>
      </c>
      <c r="F84" s="4" t="s">
        <v>62</v>
      </c>
      <c r="G84" s="4" t="s">
        <v>63</v>
      </c>
      <c r="H84" s="4" t="s">
        <v>59</v>
      </c>
    </row>
    <row r="85" spans="1:8" ht="42" customHeight="1" x14ac:dyDescent="0.35">
      <c r="A85" s="8">
        <v>1</v>
      </c>
      <c r="B85" s="8" t="str">
        <f>IFERROR(INDEX(_Story_AC_Recent!$E:$E,MATCH($E$4&amp;"|"&amp;$I$4&amp;"|"&amp;A85,_Story_AC_Recent!$A:$A,0)),"")</f>
        <v/>
      </c>
      <c r="C85" s="8" t="str">
        <f>IFERROR(INDEX(_Story_AC_Recent!$F:$F,MATCH($E$4&amp;"|"&amp;$I$4&amp;"|"&amp;A85,_Story_AC_Recent!$A:$A,0)),"")</f>
        <v/>
      </c>
      <c r="D85" s="8" t="str">
        <f>IFERROR(INDEX(_Story_AC_Recent!$G:$G,MATCH($E$4&amp;"|"&amp;$I$4&amp;"|"&amp;A85,_Story_AC_Recent!$A:$A,0)),"")</f>
        <v/>
      </c>
      <c r="E85" s="8" t="str">
        <f>IFERROR(INDEX(_Story_AC_Recent!$H:$H,MATCH($E$4&amp;"|"&amp;$I$4&amp;"|"&amp;A85,_Story_AC_Recent!$A:$A,0)),"")</f>
        <v/>
      </c>
      <c r="F85" s="9" t="str">
        <f>IFERROR(INDEX(_Story_AC_Recent!$J:$J,MATCH($E$4&amp;"|"&amp;$I$4&amp;"|"&amp;A85,_Story_AC_Recent!$A:$A,0)),"")</f>
        <v/>
      </c>
      <c r="G85" s="9" t="str">
        <f>IFERROR(INDEX(_Story_AC_Recent!$K:$K,MATCH($E$4&amp;"|"&amp;$I$4&amp;"|"&amp;A85,_Story_AC_Recent!$A:$A,0)),"")</f>
        <v/>
      </c>
      <c r="H85" s="9" t="str">
        <f>IFERROR(INDEX(_Story_AC_Recent!$L:$L,MATCH($E$4&amp;"|"&amp;$I$4&amp;"|"&amp;A85,_Story_AC_Recent!$A:$A,0)),"")</f>
        <v/>
      </c>
    </row>
    <row r="86" spans="1:8" ht="42" customHeight="1" x14ac:dyDescent="0.35">
      <c r="A86" s="8">
        <v>2</v>
      </c>
      <c r="B86" s="8" t="str">
        <f>IFERROR(INDEX(_Story_AC_Recent!$E:$E,MATCH($E$4&amp;"|"&amp;$I$4&amp;"|"&amp;A86,_Story_AC_Recent!$A:$A,0)),"")</f>
        <v/>
      </c>
      <c r="C86" s="8" t="str">
        <f>IFERROR(INDEX(_Story_AC_Recent!$F:$F,MATCH($E$4&amp;"|"&amp;$I$4&amp;"|"&amp;A86,_Story_AC_Recent!$A:$A,0)),"")</f>
        <v/>
      </c>
      <c r="D86" s="8" t="str">
        <f>IFERROR(INDEX(_Story_AC_Recent!$G:$G,MATCH($E$4&amp;"|"&amp;$I$4&amp;"|"&amp;A86,_Story_AC_Recent!$A:$A,0)),"")</f>
        <v/>
      </c>
      <c r="E86" s="8" t="str">
        <f>IFERROR(INDEX(_Story_AC_Recent!$H:$H,MATCH($E$4&amp;"|"&amp;$I$4&amp;"|"&amp;A86,_Story_AC_Recent!$A:$A,0)),"")</f>
        <v/>
      </c>
      <c r="F86" s="9" t="str">
        <f>IFERROR(INDEX(_Story_AC_Recent!$J:$J,MATCH($E$4&amp;"|"&amp;$I$4&amp;"|"&amp;A86,_Story_AC_Recent!$A:$A,0)),"")</f>
        <v/>
      </c>
      <c r="G86" s="9" t="str">
        <f>IFERROR(INDEX(_Story_AC_Recent!$K:$K,MATCH($E$4&amp;"|"&amp;$I$4&amp;"|"&amp;A86,_Story_AC_Recent!$A:$A,0)),"")</f>
        <v/>
      </c>
      <c r="H86" s="9" t="str">
        <f>IFERROR(INDEX(_Story_AC_Recent!$L:$L,MATCH($E$4&amp;"|"&amp;$I$4&amp;"|"&amp;A86,_Story_AC_Recent!$A:$A,0)),"")</f>
        <v/>
      </c>
    </row>
    <row r="87" spans="1:8" ht="42" customHeight="1" x14ac:dyDescent="0.35">
      <c r="A87" s="8">
        <v>3</v>
      </c>
      <c r="B87" s="8" t="str">
        <f>IFERROR(INDEX(_Story_AC_Recent!$E:$E,MATCH($E$4&amp;"|"&amp;$I$4&amp;"|"&amp;A87,_Story_AC_Recent!$A:$A,0)),"")</f>
        <v/>
      </c>
      <c r="C87" s="8" t="str">
        <f>IFERROR(INDEX(_Story_AC_Recent!$F:$F,MATCH($E$4&amp;"|"&amp;$I$4&amp;"|"&amp;A87,_Story_AC_Recent!$A:$A,0)),"")</f>
        <v/>
      </c>
      <c r="D87" s="8" t="str">
        <f>IFERROR(INDEX(_Story_AC_Recent!$G:$G,MATCH($E$4&amp;"|"&amp;$I$4&amp;"|"&amp;A87,_Story_AC_Recent!$A:$A,0)),"")</f>
        <v/>
      </c>
      <c r="E87" s="8" t="str">
        <f>IFERROR(INDEX(_Story_AC_Recent!$H:$H,MATCH($E$4&amp;"|"&amp;$I$4&amp;"|"&amp;A87,_Story_AC_Recent!$A:$A,0)),"")</f>
        <v/>
      </c>
      <c r="F87" s="9" t="str">
        <f>IFERROR(INDEX(_Story_AC_Recent!$J:$J,MATCH($E$4&amp;"|"&amp;$I$4&amp;"|"&amp;A87,_Story_AC_Recent!$A:$A,0)),"")</f>
        <v/>
      </c>
      <c r="G87" s="9" t="str">
        <f>IFERROR(INDEX(_Story_AC_Recent!$K:$K,MATCH($E$4&amp;"|"&amp;$I$4&amp;"|"&amp;A87,_Story_AC_Recent!$A:$A,0)),"")</f>
        <v/>
      </c>
      <c r="H87" s="9" t="str">
        <f>IFERROR(INDEX(_Story_AC_Recent!$L:$L,MATCH($E$4&amp;"|"&amp;$I$4&amp;"|"&amp;A87,_Story_AC_Recent!$A:$A,0)),"")</f>
        <v/>
      </c>
    </row>
    <row r="88" spans="1:8" ht="42" customHeight="1" x14ac:dyDescent="0.35">
      <c r="A88" s="8">
        <v>4</v>
      </c>
      <c r="B88" s="8" t="str">
        <f>IFERROR(INDEX(_Story_AC_Recent!$E:$E,MATCH($E$4&amp;"|"&amp;$I$4&amp;"|"&amp;A88,_Story_AC_Recent!$A:$A,0)),"")</f>
        <v/>
      </c>
      <c r="C88" s="8" t="str">
        <f>IFERROR(INDEX(_Story_AC_Recent!$F:$F,MATCH($E$4&amp;"|"&amp;$I$4&amp;"|"&amp;A88,_Story_AC_Recent!$A:$A,0)),"")</f>
        <v/>
      </c>
      <c r="D88" s="8" t="str">
        <f>IFERROR(INDEX(_Story_AC_Recent!$G:$G,MATCH($E$4&amp;"|"&amp;$I$4&amp;"|"&amp;A88,_Story_AC_Recent!$A:$A,0)),"")</f>
        <v/>
      </c>
      <c r="E88" s="8" t="str">
        <f>IFERROR(INDEX(_Story_AC_Recent!$H:$H,MATCH($E$4&amp;"|"&amp;$I$4&amp;"|"&amp;A88,_Story_AC_Recent!$A:$A,0)),"")</f>
        <v/>
      </c>
      <c r="F88" s="9" t="str">
        <f>IFERROR(INDEX(_Story_AC_Recent!$J:$J,MATCH($E$4&amp;"|"&amp;$I$4&amp;"|"&amp;A88,_Story_AC_Recent!$A:$A,0)),"")</f>
        <v/>
      </c>
      <c r="G88" s="9" t="str">
        <f>IFERROR(INDEX(_Story_AC_Recent!$K:$K,MATCH($E$4&amp;"|"&amp;$I$4&amp;"|"&amp;A88,_Story_AC_Recent!$A:$A,0)),"")</f>
        <v/>
      </c>
      <c r="H88" s="9" t="str">
        <f>IFERROR(INDEX(_Story_AC_Recent!$L:$L,MATCH($E$4&amp;"|"&amp;$I$4&amp;"|"&amp;A88,_Story_AC_Recent!$A:$A,0)),"")</f>
        <v/>
      </c>
    </row>
    <row r="89" spans="1:8" ht="42" customHeight="1" x14ac:dyDescent="0.35">
      <c r="A89" s="8">
        <v>5</v>
      </c>
      <c r="B89" s="8" t="str">
        <f>IFERROR(INDEX(_Story_AC_Recent!$E:$E,MATCH($E$4&amp;"|"&amp;$I$4&amp;"|"&amp;A89,_Story_AC_Recent!$A:$A,0)),"")</f>
        <v/>
      </c>
      <c r="C89" s="8" t="str">
        <f>IFERROR(INDEX(_Story_AC_Recent!$F:$F,MATCH($E$4&amp;"|"&amp;$I$4&amp;"|"&amp;A89,_Story_AC_Recent!$A:$A,0)),"")</f>
        <v/>
      </c>
      <c r="D89" s="8" t="str">
        <f>IFERROR(INDEX(_Story_AC_Recent!$G:$G,MATCH($E$4&amp;"|"&amp;$I$4&amp;"|"&amp;A89,_Story_AC_Recent!$A:$A,0)),"")</f>
        <v/>
      </c>
      <c r="E89" s="8" t="str">
        <f>IFERROR(INDEX(_Story_AC_Recent!$H:$H,MATCH($E$4&amp;"|"&amp;$I$4&amp;"|"&amp;A89,_Story_AC_Recent!$A:$A,0)),"")</f>
        <v/>
      </c>
      <c r="F89" s="9" t="str">
        <f>IFERROR(INDEX(_Story_AC_Recent!$J:$J,MATCH($E$4&amp;"|"&amp;$I$4&amp;"|"&amp;A89,_Story_AC_Recent!$A:$A,0)),"")</f>
        <v/>
      </c>
      <c r="G89" s="9" t="str">
        <f>IFERROR(INDEX(_Story_AC_Recent!$K:$K,MATCH($E$4&amp;"|"&amp;$I$4&amp;"|"&amp;A89,_Story_AC_Recent!$A:$A,0)),"")</f>
        <v/>
      </c>
      <c r="H89" s="9" t="str">
        <f>IFERROR(INDEX(_Story_AC_Recent!$L:$L,MATCH($E$4&amp;"|"&amp;$I$4&amp;"|"&amp;A89,_Story_AC_Recent!$A:$A,0)),"")</f>
        <v/>
      </c>
    </row>
    <row r="90" spans="1:8" ht="42" customHeight="1" x14ac:dyDescent="0.35">
      <c r="A90" s="8">
        <v>6</v>
      </c>
      <c r="B90" s="8" t="str">
        <f>IFERROR(INDEX(_Story_AC_Recent!$E:$E,MATCH($E$4&amp;"|"&amp;$I$4&amp;"|"&amp;A90,_Story_AC_Recent!$A:$A,0)),"")</f>
        <v/>
      </c>
      <c r="C90" s="8" t="str">
        <f>IFERROR(INDEX(_Story_AC_Recent!$F:$F,MATCH($E$4&amp;"|"&amp;$I$4&amp;"|"&amp;A90,_Story_AC_Recent!$A:$A,0)),"")</f>
        <v/>
      </c>
      <c r="D90" s="8" t="str">
        <f>IFERROR(INDEX(_Story_AC_Recent!$G:$G,MATCH($E$4&amp;"|"&amp;$I$4&amp;"|"&amp;A90,_Story_AC_Recent!$A:$A,0)),"")</f>
        <v/>
      </c>
      <c r="E90" s="8" t="str">
        <f>IFERROR(INDEX(_Story_AC_Recent!$H:$H,MATCH($E$4&amp;"|"&amp;$I$4&amp;"|"&amp;A90,_Story_AC_Recent!$A:$A,0)),"")</f>
        <v/>
      </c>
      <c r="F90" s="9" t="str">
        <f>IFERROR(INDEX(_Story_AC_Recent!$J:$J,MATCH($E$4&amp;"|"&amp;$I$4&amp;"|"&amp;A90,_Story_AC_Recent!$A:$A,0)),"")</f>
        <v/>
      </c>
      <c r="G90" s="9" t="str">
        <f>IFERROR(INDEX(_Story_AC_Recent!$K:$K,MATCH($E$4&amp;"|"&amp;$I$4&amp;"|"&amp;A90,_Story_AC_Recent!$A:$A,0)),"")</f>
        <v/>
      </c>
      <c r="H90" s="9" t="str">
        <f>IFERROR(INDEX(_Story_AC_Recent!$L:$L,MATCH($E$4&amp;"|"&amp;$I$4&amp;"|"&amp;A90,_Story_AC_Recent!$A:$A,0)),"")</f>
        <v/>
      </c>
    </row>
    <row r="91" spans="1:8" ht="42" customHeight="1" x14ac:dyDescent="0.35">
      <c r="A91" s="8">
        <v>7</v>
      </c>
      <c r="B91" s="8" t="str">
        <f>IFERROR(INDEX(_Story_AC_Recent!$E:$E,MATCH($E$4&amp;"|"&amp;$I$4&amp;"|"&amp;A91,_Story_AC_Recent!$A:$A,0)),"")</f>
        <v/>
      </c>
      <c r="C91" s="8" t="str">
        <f>IFERROR(INDEX(_Story_AC_Recent!$F:$F,MATCH($E$4&amp;"|"&amp;$I$4&amp;"|"&amp;A91,_Story_AC_Recent!$A:$A,0)),"")</f>
        <v/>
      </c>
      <c r="D91" s="8" t="str">
        <f>IFERROR(INDEX(_Story_AC_Recent!$G:$G,MATCH($E$4&amp;"|"&amp;$I$4&amp;"|"&amp;A91,_Story_AC_Recent!$A:$A,0)),"")</f>
        <v/>
      </c>
      <c r="E91" s="8" t="str">
        <f>IFERROR(INDEX(_Story_AC_Recent!$H:$H,MATCH($E$4&amp;"|"&amp;$I$4&amp;"|"&amp;A91,_Story_AC_Recent!$A:$A,0)),"")</f>
        <v/>
      </c>
      <c r="F91" s="9" t="str">
        <f>IFERROR(INDEX(_Story_AC_Recent!$J:$J,MATCH($E$4&amp;"|"&amp;$I$4&amp;"|"&amp;A91,_Story_AC_Recent!$A:$A,0)),"")</f>
        <v/>
      </c>
      <c r="G91" s="9" t="str">
        <f>IFERROR(INDEX(_Story_AC_Recent!$K:$K,MATCH($E$4&amp;"|"&amp;$I$4&amp;"|"&amp;A91,_Story_AC_Recent!$A:$A,0)),"")</f>
        <v/>
      </c>
      <c r="H91" s="9" t="str">
        <f>IFERROR(INDEX(_Story_AC_Recent!$L:$L,MATCH($E$4&amp;"|"&amp;$I$4&amp;"|"&amp;A91,_Story_AC_Recent!$A:$A,0)),"")</f>
        <v/>
      </c>
    </row>
    <row r="92" spans="1:8" ht="42" customHeight="1" x14ac:dyDescent="0.35">
      <c r="A92" s="8">
        <v>8</v>
      </c>
      <c r="B92" s="8" t="str">
        <f>IFERROR(INDEX(_Story_AC_Recent!$E:$E,MATCH($E$4&amp;"|"&amp;$I$4&amp;"|"&amp;A92,_Story_AC_Recent!$A:$A,0)),"")</f>
        <v/>
      </c>
      <c r="C92" s="8" t="str">
        <f>IFERROR(INDEX(_Story_AC_Recent!$F:$F,MATCH($E$4&amp;"|"&amp;$I$4&amp;"|"&amp;A92,_Story_AC_Recent!$A:$A,0)),"")</f>
        <v/>
      </c>
      <c r="D92" s="8" t="str">
        <f>IFERROR(INDEX(_Story_AC_Recent!$G:$G,MATCH($E$4&amp;"|"&amp;$I$4&amp;"|"&amp;A92,_Story_AC_Recent!$A:$A,0)),"")</f>
        <v/>
      </c>
      <c r="E92" s="8" t="str">
        <f>IFERROR(INDEX(_Story_AC_Recent!$H:$H,MATCH($E$4&amp;"|"&amp;$I$4&amp;"|"&amp;A92,_Story_AC_Recent!$A:$A,0)),"")</f>
        <v/>
      </c>
      <c r="F92" s="9" t="str">
        <f>IFERROR(INDEX(_Story_AC_Recent!$J:$J,MATCH($E$4&amp;"|"&amp;$I$4&amp;"|"&amp;A92,_Story_AC_Recent!$A:$A,0)),"")</f>
        <v/>
      </c>
      <c r="G92" s="9" t="str">
        <f>IFERROR(INDEX(_Story_AC_Recent!$K:$K,MATCH($E$4&amp;"|"&amp;$I$4&amp;"|"&amp;A92,_Story_AC_Recent!$A:$A,0)),"")</f>
        <v/>
      </c>
      <c r="H92" s="9" t="str">
        <f>IFERROR(INDEX(_Story_AC_Recent!$L:$L,MATCH($E$4&amp;"|"&amp;$I$4&amp;"|"&amp;A92,_Story_AC_Recent!$A:$A,0)),"")</f>
        <v/>
      </c>
    </row>
    <row r="93" spans="1:8" ht="42" customHeight="1" x14ac:dyDescent="0.35">
      <c r="A93" s="8">
        <v>9</v>
      </c>
      <c r="B93" s="8" t="str">
        <f>IFERROR(INDEX(_Story_AC_Recent!$E:$E,MATCH($E$4&amp;"|"&amp;$I$4&amp;"|"&amp;A93,_Story_AC_Recent!$A:$A,0)),"")</f>
        <v/>
      </c>
      <c r="C93" s="8" t="str">
        <f>IFERROR(INDEX(_Story_AC_Recent!$F:$F,MATCH($E$4&amp;"|"&amp;$I$4&amp;"|"&amp;A93,_Story_AC_Recent!$A:$A,0)),"")</f>
        <v/>
      </c>
      <c r="D93" s="8" t="str">
        <f>IFERROR(INDEX(_Story_AC_Recent!$G:$G,MATCH($E$4&amp;"|"&amp;$I$4&amp;"|"&amp;A93,_Story_AC_Recent!$A:$A,0)),"")</f>
        <v/>
      </c>
      <c r="E93" s="8" t="str">
        <f>IFERROR(INDEX(_Story_AC_Recent!$H:$H,MATCH($E$4&amp;"|"&amp;$I$4&amp;"|"&amp;A93,_Story_AC_Recent!$A:$A,0)),"")</f>
        <v/>
      </c>
      <c r="F93" s="9" t="str">
        <f>IFERROR(INDEX(_Story_AC_Recent!$J:$J,MATCH($E$4&amp;"|"&amp;$I$4&amp;"|"&amp;A93,_Story_AC_Recent!$A:$A,0)),"")</f>
        <v/>
      </c>
      <c r="G93" s="9" t="str">
        <f>IFERROR(INDEX(_Story_AC_Recent!$K:$K,MATCH($E$4&amp;"|"&amp;$I$4&amp;"|"&amp;A93,_Story_AC_Recent!$A:$A,0)),"")</f>
        <v/>
      </c>
      <c r="H93" s="9" t="str">
        <f>IFERROR(INDEX(_Story_AC_Recent!$L:$L,MATCH($E$4&amp;"|"&amp;$I$4&amp;"|"&amp;A93,_Story_AC_Recent!$A:$A,0)),"")</f>
        <v/>
      </c>
    </row>
    <row r="94" spans="1:8" ht="42" customHeight="1" x14ac:dyDescent="0.35">
      <c r="A94" s="8">
        <v>10</v>
      </c>
      <c r="B94" s="8" t="str">
        <f>IFERROR(INDEX(_Story_AC_Recent!$E:$E,MATCH($E$4&amp;"|"&amp;$I$4&amp;"|"&amp;A94,_Story_AC_Recent!$A:$A,0)),"")</f>
        <v/>
      </c>
      <c r="C94" s="8" t="str">
        <f>IFERROR(INDEX(_Story_AC_Recent!$F:$F,MATCH($E$4&amp;"|"&amp;$I$4&amp;"|"&amp;A94,_Story_AC_Recent!$A:$A,0)),"")</f>
        <v/>
      </c>
      <c r="D94" s="8" t="str">
        <f>IFERROR(INDEX(_Story_AC_Recent!$G:$G,MATCH($E$4&amp;"|"&amp;$I$4&amp;"|"&amp;A94,_Story_AC_Recent!$A:$A,0)),"")</f>
        <v/>
      </c>
      <c r="E94" s="8" t="str">
        <f>IFERROR(INDEX(_Story_AC_Recent!$H:$H,MATCH($E$4&amp;"|"&amp;$I$4&amp;"|"&amp;A94,_Story_AC_Recent!$A:$A,0)),"")</f>
        <v/>
      </c>
      <c r="F94" s="9" t="str">
        <f>IFERROR(INDEX(_Story_AC_Recent!$J:$J,MATCH($E$4&amp;"|"&amp;$I$4&amp;"|"&amp;A94,_Story_AC_Recent!$A:$A,0)),"")</f>
        <v/>
      </c>
      <c r="G94" s="9" t="str">
        <f>IFERROR(INDEX(_Story_AC_Recent!$K:$K,MATCH($E$4&amp;"|"&amp;$I$4&amp;"|"&amp;A94,_Story_AC_Recent!$A:$A,0)),"")</f>
        <v/>
      </c>
      <c r="H94" s="9" t="str">
        <f>IFERROR(INDEX(_Story_AC_Recent!$L:$L,MATCH($E$4&amp;"|"&amp;$I$4&amp;"|"&amp;A94,_Story_AC_Recent!$A:$A,0)),"")</f>
        <v/>
      </c>
    </row>
    <row r="95" spans="1:8" ht="42" customHeight="1" x14ac:dyDescent="0.35"/>
  </sheetData>
  <mergeCells count="19">
    <mergeCell ref="A1:N2"/>
    <mergeCell ref="A10:B10"/>
    <mergeCell ref="D11:E12"/>
    <mergeCell ref="J15:K16"/>
    <mergeCell ref="D14:E14"/>
    <mergeCell ref="J11:K12"/>
    <mergeCell ref="D10:E10"/>
    <mergeCell ref="J14:K14"/>
    <mergeCell ref="G15:H16"/>
    <mergeCell ref="J10:K10"/>
    <mergeCell ref="A4:C7"/>
    <mergeCell ref="D15:E16"/>
    <mergeCell ref="G10:H10"/>
    <mergeCell ref="A15:B16"/>
    <mergeCell ref="A11:B12"/>
    <mergeCell ref="G11:H12"/>
    <mergeCell ref="A14:B14"/>
    <mergeCell ref="G14:H14"/>
    <mergeCell ref="D6:N7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Title="Valeur invalide" error="Choisis une valeur de la liste." xr:uid="{00000000-0002-0000-0100-000000000000}">
          <x14:formula1>
            <xm:f>_Story_AC_Lists!$A$2:$A$11</xm:f>
          </x14:formula1>
          <xm:sqref>E4</xm:sqref>
        </x14:dataValidation>
        <x14:dataValidation type="list" errorTitle="Valeur invalide" error="Choisis une valeur de la liste." xr:uid="{00000000-0002-0000-0100-000001000000}">
          <x14:formula1>
            <xm:f>_Story_AC_Lists!$B$2:$B$9</xm:f>
          </x14:formula1>
          <xm:sqref>I4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T141"/>
  <sheetViews>
    <sheetView showGridLines="0" workbookViewId="0">
      <pane ySplit="1" topLeftCell="A2" activePane="bottomLeft" state="frozen"/>
      <selection pane="bottomLeft" activeCell="M145" sqref="M145"/>
    </sheetView>
  </sheetViews>
  <sheetFormatPr baseColWidth="10" defaultColWidth="8.7265625" defaultRowHeight="14.5" x14ac:dyDescent="0.35"/>
  <cols>
    <col min="1" max="2" width="21" customWidth="1"/>
    <col min="3" max="4" width="11" customWidth="1"/>
    <col min="5" max="5" width="46" customWidth="1"/>
    <col min="6" max="6" width="23" customWidth="1"/>
    <col min="7" max="8" width="18" customWidth="1"/>
    <col min="9" max="9" width="29" customWidth="1"/>
    <col min="10" max="10" width="11" customWidth="1"/>
    <col min="11" max="11" width="24" customWidth="1"/>
    <col min="12" max="12" width="11" customWidth="1"/>
    <col min="13" max="17" width="46" customWidth="1"/>
    <col min="18" max="19" width="31" customWidth="1"/>
    <col min="20" max="20" width="21" customWidth="1"/>
  </cols>
  <sheetData>
    <row r="1" spans="1:20" x14ac:dyDescent="0.35">
      <c r="A1" s="10" t="s">
        <v>61</v>
      </c>
      <c r="B1" s="10" t="s">
        <v>64</v>
      </c>
      <c r="C1" s="10" t="s">
        <v>65</v>
      </c>
      <c r="D1" s="10" t="s">
        <v>56</v>
      </c>
      <c r="E1" s="10" t="s">
        <v>22</v>
      </c>
      <c r="F1" s="10" t="s">
        <v>24</v>
      </c>
      <c r="G1" s="10" t="s">
        <v>66</v>
      </c>
      <c r="H1" s="10" t="s">
        <v>18</v>
      </c>
      <c r="I1" s="10" t="s">
        <v>67</v>
      </c>
      <c r="J1" s="10" t="s">
        <v>68</v>
      </c>
      <c r="K1" s="10" t="s">
        <v>23</v>
      </c>
      <c r="L1" s="10" t="s">
        <v>69</v>
      </c>
      <c r="M1" s="10" t="s">
        <v>70</v>
      </c>
      <c r="N1" s="10" t="s">
        <v>71</v>
      </c>
      <c r="O1" s="10" t="s">
        <v>62</v>
      </c>
      <c r="P1" s="10" t="s">
        <v>63</v>
      </c>
      <c r="Q1" s="10" t="s">
        <v>59</v>
      </c>
      <c r="R1" s="10" t="s">
        <v>72</v>
      </c>
      <c r="S1" s="10" t="s">
        <v>73</v>
      </c>
      <c r="T1" s="10" t="s">
        <v>74</v>
      </c>
    </row>
    <row r="2" spans="1:20" ht="29" x14ac:dyDescent="0.35">
      <c r="A2" s="11">
        <v>46181.338217592587</v>
      </c>
      <c r="B2" s="11">
        <v>46178.648101851853</v>
      </c>
      <c r="C2" s="12" t="s">
        <v>75</v>
      </c>
      <c r="D2" s="12" t="s">
        <v>76</v>
      </c>
      <c r="E2" s="12" t="s">
        <v>77</v>
      </c>
      <c r="F2" s="12" t="s">
        <v>78</v>
      </c>
      <c r="G2" s="12" t="s">
        <v>79</v>
      </c>
      <c r="H2" s="12" t="s">
        <v>23</v>
      </c>
      <c r="I2" s="12" t="s">
        <v>80</v>
      </c>
      <c r="J2" s="12" t="s">
        <v>81</v>
      </c>
      <c r="K2" s="12" t="s">
        <v>82</v>
      </c>
      <c r="L2" s="12" t="s">
        <v>83</v>
      </c>
      <c r="M2" s="12" t="s">
        <v>84</v>
      </c>
      <c r="N2" s="12" t="s">
        <v>82</v>
      </c>
      <c r="O2" s="12" t="s">
        <v>84</v>
      </c>
      <c r="P2" s="12" t="s">
        <v>82</v>
      </c>
      <c r="Q2" s="12" t="s">
        <v>85</v>
      </c>
      <c r="R2" s="12" t="s">
        <v>86</v>
      </c>
      <c r="S2" s="12" t="s">
        <v>87</v>
      </c>
      <c r="T2" s="11">
        <v>46178.661608796298</v>
      </c>
    </row>
    <row r="3" spans="1:20" ht="29" x14ac:dyDescent="0.35">
      <c r="A3" s="11">
        <v>46181.338217592587</v>
      </c>
      <c r="B3" s="11">
        <v>46178.648101851853</v>
      </c>
      <c r="C3" s="12" t="s">
        <v>75</v>
      </c>
      <c r="D3" s="12" t="s">
        <v>76</v>
      </c>
      <c r="E3" s="12" t="s">
        <v>77</v>
      </c>
      <c r="F3" s="12" t="s">
        <v>78</v>
      </c>
      <c r="G3" s="12" t="s">
        <v>79</v>
      </c>
      <c r="H3" s="12" t="s">
        <v>28</v>
      </c>
      <c r="I3" s="12" t="s">
        <v>88</v>
      </c>
      <c r="J3" s="12" t="s">
        <v>81</v>
      </c>
      <c r="K3" s="12" t="s">
        <v>82</v>
      </c>
      <c r="L3" s="12" t="s">
        <v>83</v>
      </c>
      <c r="M3" s="12" t="s">
        <v>89</v>
      </c>
      <c r="N3" s="12" t="s">
        <v>89</v>
      </c>
      <c r="O3" s="12" t="s">
        <v>89</v>
      </c>
      <c r="P3" s="12" t="s">
        <v>89</v>
      </c>
      <c r="Q3" s="12" t="s">
        <v>85</v>
      </c>
      <c r="R3" s="12" t="s">
        <v>86</v>
      </c>
      <c r="S3" s="12" t="s">
        <v>87</v>
      </c>
      <c r="T3" s="11">
        <v>46178.661608796298</v>
      </c>
    </row>
    <row r="4" spans="1:20" ht="29" x14ac:dyDescent="0.35">
      <c r="A4" s="11">
        <v>46181.338217592587</v>
      </c>
      <c r="B4" s="11">
        <v>46178.648101851853</v>
      </c>
      <c r="C4" s="12" t="s">
        <v>75</v>
      </c>
      <c r="D4" s="12" t="s">
        <v>76</v>
      </c>
      <c r="E4" s="12" t="s">
        <v>77</v>
      </c>
      <c r="F4" s="12" t="s">
        <v>78</v>
      </c>
      <c r="G4" s="12" t="s">
        <v>79</v>
      </c>
      <c r="H4" s="12" t="s">
        <v>30</v>
      </c>
      <c r="I4" s="12" t="s">
        <v>90</v>
      </c>
      <c r="J4" s="12" t="s">
        <v>81</v>
      </c>
      <c r="K4" s="12" t="s">
        <v>82</v>
      </c>
      <c r="L4" s="12" t="s">
        <v>83</v>
      </c>
      <c r="M4" s="12" t="s">
        <v>91</v>
      </c>
      <c r="N4" s="12" t="s">
        <v>91</v>
      </c>
      <c r="O4" s="12" t="s">
        <v>91</v>
      </c>
      <c r="P4" s="12" t="s">
        <v>91</v>
      </c>
      <c r="Q4" s="12" t="s">
        <v>85</v>
      </c>
      <c r="R4" s="12" t="s">
        <v>86</v>
      </c>
      <c r="S4" s="12" t="s">
        <v>87</v>
      </c>
      <c r="T4" s="11">
        <v>46178.661608796298</v>
      </c>
    </row>
    <row r="5" spans="1:20" ht="29" x14ac:dyDescent="0.35">
      <c r="A5" s="11">
        <v>46181.338217592587</v>
      </c>
      <c r="B5" s="11">
        <v>46178.648101851853</v>
      </c>
      <c r="C5" s="12" t="s">
        <v>75</v>
      </c>
      <c r="D5" s="12" t="s">
        <v>76</v>
      </c>
      <c r="E5" s="12" t="s">
        <v>77</v>
      </c>
      <c r="F5" s="12" t="s">
        <v>78</v>
      </c>
      <c r="G5" s="12" t="s">
        <v>79</v>
      </c>
      <c r="H5" s="12" t="s">
        <v>24</v>
      </c>
      <c r="I5" s="12" t="s">
        <v>92</v>
      </c>
      <c r="J5" s="12" t="s">
        <v>81</v>
      </c>
      <c r="K5" s="12" t="s">
        <v>82</v>
      </c>
      <c r="L5" s="12" t="s">
        <v>83</v>
      </c>
      <c r="M5" s="12" t="s">
        <v>93</v>
      </c>
      <c r="N5" s="12" t="s">
        <v>78</v>
      </c>
      <c r="O5" s="12" t="s">
        <v>93</v>
      </c>
      <c r="P5" s="12" t="s">
        <v>78</v>
      </c>
      <c r="Q5" s="12" t="s">
        <v>85</v>
      </c>
      <c r="R5" s="12" t="s">
        <v>86</v>
      </c>
      <c r="S5" s="12" t="s">
        <v>87</v>
      </c>
      <c r="T5" s="11">
        <v>46178.661608796298</v>
      </c>
    </row>
    <row r="6" spans="1:20" ht="29" hidden="1" x14ac:dyDescent="0.35">
      <c r="A6" s="11">
        <v>46188.556851851848</v>
      </c>
      <c r="B6" s="11">
        <v>46181.338217592587</v>
      </c>
      <c r="C6" s="12" t="s">
        <v>94</v>
      </c>
      <c r="D6" s="12" t="s">
        <v>95</v>
      </c>
      <c r="E6" s="12"/>
      <c r="F6" s="12" t="s">
        <v>96</v>
      </c>
      <c r="G6" s="12" t="s">
        <v>97</v>
      </c>
      <c r="H6" s="12" t="s">
        <v>21</v>
      </c>
      <c r="I6" s="12" t="s">
        <v>98</v>
      </c>
      <c r="J6" s="12" t="s">
        <v>81</v>
      </c>
      <c r="K6" s="12" t="s">
        <v>99</v>
      </c>
      <c r="L6" s="12" t="s">
        <v>100</v>
      </c>
      <c r="M6" s="12"/>
      <c r="N6" s="12" t="s">
        <v>101</v>
      </c>
      <c r="O6" s="12"/>
      <c r="P6" s="12" t="s">
        <v>101</v>
      </c>
      <c r="Q6" s="12" t="s">
        <v>102</v>
      </c>
      <c r="R6" s="12" t="s">
        <v>87</v>
      </c>
      <c r="S6" s="12" t="s">
        <v>103</v>
      </c>
      <c r="T6" s="11">
        <v>46181.353078703702</v>
      </c>
    </row>
    <row r="7" spans="1:20" ht="29" hidden="1" x14ac:dyDescent="0.35">
      <c r="A7" s="11">
        <v>46188.556851851848</v>
      </c>
      <c r="B7" s="11">
        <v>46181.338217592587</v>
      </c>
      <c r="C7" s="12" t="s">
        <v>104</v>
      </c>
      <c r="D7" s="12" t="s">
        <v>105</v>
      </c>
      <c r="E7" s="12"/>
      <c r="F7" s="12" t="s">
        <v>96</v>
      </c>
      <c r="G7" s="12" t="s">
        <v>97</v>
      </c>
      <c r="H7" s="12" t="s">
        <v>21</v>
      </c>
      <c r="I7" s="12" t="s">
        <v>98</v>
      </c>
      <c r="J7" s="12" t="s">
        <v>81</v>
      </c>
      <c r="K7" s="12" t="s">
        <v>99</v>
      </c>
      <c r="L7" s="12" t="s">
        <v>100</v>
      </c>
      <c r="M7" s="12"/>
      <c r="N7" s="12" t="s">
        <v>106</v>
      </c>
      <c r="O7" s="12"/>
      <c r="P7" s="12" t="s">
        <v>106</v>
      </c>
      <c r="Q7" s="12" t="s">
        <v>107</v>
      </c>
      <c r="R7" s="12" t="s">
        <v>87</v>
      </c>
      <c r="S7" s="12" t="s">
        <v>103</v>
      </c>
      <c r="T7" s="11">
        <v>46181.589791666673</v>
      </c>
    </row>
    <row r="8" spans="1:20" ht="29" hidden="1" x14ac:dyDescent="0.35">
      <c r="A8" s="11">
        <v>46188.556851851848</v>
      </c>
      <c r="B8" s="11">
        <v>46181.338217592587</v>
      </c>
      <c r="C8" s="12" t="s">
        <v>108</v>
      </c>
      <c r="D8" s="12" t="s">
        <v>109</v>
      </c>
      <c r="E8" s="12"/>
      <c r="F8" s="12" t="s">
        <v>96</v>
      </c>
      <c r="G8" s="12" t="s">
        <v>97</v>
      </c>
      <c r="H8" s="12" t="s">
        <v>21</v>
      </c>
      <c r="I8" s="12" t="s">
        <v>98</v>
      </c>
      <c r="J8" s="12" t="s">
        <v>81</v>
      </c>
      <c r="K8" s="12" t="s">
        <v>110</v>
      </c>
      <c r="L8" s="12" t="s">
        <v>100</v>
      </c>
      <c r="M8" s="12"/>
      <c r="N8" s="12" t="s">
        <v>111</v>
      </c>
      <c r="O8" s="12"/>
      <c r="P8" s="12" t="s">
        <v>111</v>
      </c>
      <c r="Q8" s="12" t="s">
        <v>112</v>
      </c>
      <c r="R8" s="12" t="s">
        <v>87</v>
      </c>
      <c r="S8" s="12" t="s">
        <v>103</v>
      </c>
      <c r="T8" s="11">
        <v>46182.635706018518</v>
      </c>
    </row>
    <row r="9" spans="1:20" ht="29" hidden="1" x14ac:dyDescent="0.35">
      <c r="A9" s="11">
        <v>46188.556851851848</v>
      </c>
      <c r="B9" s="11">
        <v>46181.338217592587</v>
      </c>
      <c r="C9" s="12" t="s">
        <v>113</v>
      </c>
      <c r="D9" s="12" t="s">
        <v>114</v>
      </c>
      <c r="E9" s="12"/>
      <c r="F9" s="12" t="s">
        <v>96</v>
      </c>
      <c r="G9" s="12" t="s">
        <v>97</v>
      </c>
      <c r="H9" s="12" t="s">
        <v>21</v>
      </c>
      <c r="I9" s="12" t="s">
        <v>98</v>
      </c>
      <c r="J9" s="12" t="s">
        <v>81</v>
      </c>
      <c r="K9" s="12" t="s">
        <v>110</v>
      </c>
      <c r="L9" s="12" t="s">
        <v>100</v>
      </c>
      <c r="M9" s="12"/>
      <c r="N9" s="12" t="s">
        <v>115</v>
      </c>
      <c r="O9" s="12"/>
      <c r="P9" s="12" t="s">
        <v>115</v>
      </c>
      <c r="Q9" s="12" t="s">
        <v>116</v>
      </c>
      <c r="R9" s="12" t="s">
        <v>87</v>
      </c>
      <c r="S9" s="12" t="s">
        <v>103</v>
      </c>
      <c r="T9" s="11">
        <v>46182.413715277777</v>
      </c>
    </row>
    <row r="10" spans="1:20" ht="29" hidden="1" x14ac:dyDescent="0.35">
      <c r="A10" s="11">
        <v>46188.556851851848</v>
      </c>
      <c r="B10" s="11">
        <v>46181.338217592587</v>
      </c>
      <c r="C10" s="12" t="s">
        <v>117</v>
      </c>
      <c r="D10" s="12" t="s">
        <v>118</v>
      </c>
      <c r="E10" s="12"/>
      <c r="F10" s="12" t="s">
        <v>96</v>
      </c>
      <c r="G10" s="12" t="s">
        <v>97</v>
      </c>
      <c r="H10" s="12" t="s">
        <v>21</v>
      </c>
      <c r="I10" s="12" t="s">
        <v>98</v>
      </c>
      <c r="J10" s="12" t="s">
        <v>81</v>
      </c>
      <c r="K10" s="12" t="s">
        <v>99</v>
      </c>
      <c r="L10" s="12" t="s">
        <v>100</v>
      </c>
      <c r="M10" s="12"/>
      <c r="N10" s="12" t="s">
        <v>119</v>
      </c>
      <c r="O10" s="12"/>
      <c r="P10" s="12" t="s">
        <v>119</v>
      </c>
      <c r="Q10" s="12" t="s">
        <v>120</v>
      </c>
      <c r="R10" s="12" t="s">
        <v>87</v>
      </c>
      <c r="S10" s="12" t="s">
        <v>103</v>
      </c>
      <c r="T10" s="11">
        <v>46182.644918981481</v>
      </c>
    </row>
    <row r="11" spans="1:20" ht="29" hidden="1" x14ac:dyDescent="0.35">
      <c r="A11" s="11">
        <v>46188.556851851848</v>
      </c>
      <c r="B11" s="11">
        <v>46181.338217592587</v>
      </c>
      <c r="C11" s="12" t="s">
        <v>121</v>
      </c>
      <c r="D11" s="12" t="s">
        <v>122</v>
      </c>
      <c r="E11" s="12"/>
      <c r="F11" s="12" t="s">
        <v>96</v>
      </c>
      <c r="G11" s="12" t="s">
        <v>97</v>
      </c>
      <c r="H11" s="12" t="s">
        <v>21</v>
      </c>
      <c r="I11" s="12" t="s">
        <v>98</v>
      </c>
      <c r="J11" s="12" t="s">
        <v>81</v>
      </c>
      <c r="K11" s="12" t="s">
        <v>110</v>
      </c>
      <c r="L11" s="12" t="s">
        <v>100</v>
      </c>
      <c r="M11" s="12"/>
      <c r="N11" s="12" t="s">
        <v>123</v>
      </c>
      <c r="O11" s="12"/>
      <c r="P11" s="12" t="s">
        <v>123</v>
      </c>
      <c r="Q11" s="12" t="s">
        <v>124</v>
      </c>
      <c r="R11" s="12" t="s">
        <v>87</v>
      </c>
      <c r="S11" s="12" t="s">
        <v>103</v>
      </c>
      <c r="T11" s="11">
        <v>46183.52847222222</v>
      </c>
    </row>
    <row r="12" spans="1:20" ht="29" hidden="1" x14ac:dyDescent="0.35">
      <c r="A12" s="11">
        <v>46188.556851851848</v>
      </c>
      <c r="B12" s="11">
        <v>46181.338217592587</v>
      </c>
      <c r="C12" s="12" t="s">
        <v>125</v>
      </c>
      <c r="D12" s="12" t="s">
        <v>126</v>
      </c>
      <c r="E12" s="12"/>
      <c r="F12" s="12" t="s">
        <v>96</v>
      </c>
      <c r="G12" s="12" t="s">
        <v>97</v>
      </c>
      <c r="H12" s="12" t="s">
        <v>21</v>
      </c>
      <c r="I12" s="12" t="s">
        <v>98</v>
      </c>
      <c r="J12" s="12" t="s">
        <v>81</v>
      </c>
      <c r="K12" s="12" t="s">
        <v>99</v>
      </c>
      <c r="L12" s="12" t="s">
        <v>100</v>
      </c>
      <c r="M12" s="12"/>
      <c r="N12" s="12" t="s">
        <v>127</v>
      </c>
      <c r="O12" s="12"/>
      <c r="P12" s="12" t="s">
        <v>127</v>
      </c>
      <c r="Q12" s="12" t="s">
        <v>128</v>
      </c>
      <c r="R12" s="12" t="s">
        <v>87</v>
      </c>
      <c r="S12" s="12" t="s">
        <v>103</v>
      </c>
      <c r="T12" s="11">
        <v>46183.360590277778</v>
      </c>
    </row>
    <row r="13" spans="1:20" ht="29" hidden="1" x14ac:dyDescent="0.35">
      <c r="A13" s="11">
        <v>46188.556851851848</v>
      </c>
      <c r="B13" s="11">
        <v>46181.338217592587</v>
      </c>
      <c r="C13" s="12" t="s">
        <v>129</v>
      </c>
      <c r="D13" s="12" t="s">
        <v>130</v>
      </c>
      <c r="E13" s="12"/>
      <c r="F13" s="12" t="s">
        <v>96</v>
      </c>
      <c r="G13" s="12" t="s">
        <v>97</v>
      </c>
      <c r="H13" s="12" t="s">
        <v>21</v>
      </c>
      <c r="I13" s="12" t="s">
        <v>98</v>
      </c>
      <c r="J13" s="12" t="s">
        <v>81</v>
      </c>
      <c r="K13" s="12" t="s">
        <v>99</v>
      </c>
      <c r="L13" s="12" t="s">
        <v>100</v>
      </c>
      <c r="M13" s="12"/>
      <c r="N13" s="12" t="s">
        <v>131</v>
      </c>
      <c r="O13" s="12"/>
      <c r="P13" s="12" t="s">
        <v>131</v>
      </c>
      <c r="Q13" s="12" t="s">
        <v>132</v>
      </c>
      <c r="R13" s="12" t="s">
        <v>87</v>
      </c>
      <c r="S13" s="12" t="s">
        <v>103</v>
      </c>
      <c r="T13" s="11">
        <v>46183.540821759263</v>
      </c>
    </row>
    <row r="14" spans="1:20" ht="29" hidden="1" x14ac:dyDescent="0.35">
      <c r="A14" s="11">
        <v>46188.556851851848</v>
      </c>
      <c r="B14" s="11">
        <v>46181.338217592587</v>
      </c>
      <c r="C14" s="12" t="s">
        <v>133</v>
      </c>
      <c r="D14" s="12" t="s">
        <v>134</v>
      </c>
      <c r="E14" s="12"/>
      <c r="F14" s="12" t="s">
        <v>96</v>
      </c>
      <c r="G14" s="12" t="s">
        <v>97</v>
      </c>
      <c r="H14" s="12" t="s">
        <v>21</v>
      </c>
      <c r="I14" s="12" t="s">
        <v>98</v>
      </c>
      <c r="J14" s="12" t="s">
        <v>81</v>
      </c>
      <c r="K14" s="12" t="s">
        <v>99</v>
      </c>
      <c r="L14" s="12" t="s">
        <v>100</v>
      </c>
      <c r="M14" s="12"/>
      <c r="N14" s="12" t="s">
        <v>135</v>
      </c>
      <c r="O14" s="12"/>
      <c r="P14" s="12" t="s">
        <v>135</v>
      </c>
      <c r="Q14" s="12" t="s">
        <v>136</v>
      </c>
      <c r="R14" s="12" t="s">
        <v>87</v>
      </c>
      <c r="S14" s="12" t="s">
        <v>103</v>
      </c>
      <c r="T14" s="11">
        <v>46183.587442129632</v>
      </c>
    </row>
    <row r="15" spans="1:20" ht="29" hidden="1" x14ac:dyDescent="0.35">
      <c r="A15" s="11">
        <v>46188.556851851848</v>
      </c>
      <c r="B15" s="11">
        <v>46181.338217592587</v>
      </c>
      <c r="C15" s="12" t="s">
        <v>137</v>
      </c>
      <c r="D15" s="12" t="s">
        <v>138</v>
      </c>
      <c r="E15" s="12"/>
      <c r="F15" s="12" t="s">
        <v>96</v>
      </c>
      <c r="G15" s="12" t="s">
        <v>97</v>
      </c>
      <c r="H15" s="12" t="s">
        <v>21</v>
      </c>
      <c r="I15" s="12" t="s">
        <v>98</v>
      </c>
      <c r="J15" s="12" t="s">
        <v>81</v>
      </c>
      <c r="K15" s="12" t="s">
        <v>110</v>
      </c>
      <c r="L15" s="12" t="s">
        <v>100</v>
      </c>
      <c r="M15" s="12"/>
      <c r="N15" s="12" t="s">
        <v>139</v>
      </c>
      <c r="O15" s="12"/>
      <c r="P15" s="12" t="s">
        <v>139</v>
      </c>
      <c r="Q15" s="12" t="s">
        <v>140</v>
      </c>
      <c r="R15" s="12" t="s">
        <v>87</v>
      </c>
      <c r="S15" s="12" t="s">
        <v>103</v>
      </c>
      <c r="T15" s="11">
        <v>46183.601145833331</v>
      </c>
    </row>
    <row r="16" spans="1:20" ht="29" hidden="1" x14ac:dyDescent="0.35">
      <c r="A16" s="11">
        <v>46188.556851851848</v>
      </c>
      <c r="B16" s="11">
        <v>46181.338217592587</v>
      </c>
      <c r="C16" s="12" t="s">
        <v>141</v>
      </c>
      <c r="D16" s="12" t="s">
        <v>142</v>
      </c>
      <c r="E16" s="12"/>
      <c r="F16" s="12" t="s">
        <v>96</v>
      </c>
      <c r="G16" s="12" t="s">
        <v>97</v>
      </c>
      <c r="H16" s="12" t="s">
        <v>21</v>
      </c>
      <c r="I16" s="12" t="s">
        <v>98</v>
      </c>
      <c r="J16" s="12" t="s">
        <v>81</v>
      </c>
      <c r="K16" s="12" t="s">
        <v>110</v>
      </c>
      <c r="L16" s="12" t="s">
        <v>100</v>
      </c>
      <c r="M16" s="12"/>
      <c r="N16" s="12" t="s">
        <v>143</v>
      </c>
      <c r="O16" s="12"/>
      <c r="P16" s="12" t="s">
        <v>143</v>
      </c>
      <c r="Q16" s="12" t="s">
        <v>144</v>
      </c>
      <c r="R16" s="12" t="s">
        <v>87</v>
      </c>
      <c r="S16" s="12" t="s">
        <v>103</v>
      </c>
      <c r="T16" s="11">
        <v>46183.62672453704</v>
      </c>
    </row>
    <row r="17" spans="1:20" ht="29" hidden="1" x14ac:dyDescent="0.35">
      <c r="A17" s="11">
        <v>46188.556851851848</v>
      </c>
      <c r="B17" s="11">
        <v>46181.338217592587</v>
      </c>
      <c r="C17" s="12" t="s">
        <v>145</v>
      </c>
      <c r="D17" s="12" t="s">
        <v>146</v>
      </c>
      <c r="E17" s="12"/>
      <c r="F17" s="12" t="s">
        <v>96</v>
      </c>
      <c r="G17" s="12" t="s">
        <v>97</v>
      </c>
      <c r="H17" s="12" t="s">
        <v>21</v>
      </c>
      <c r="I17" s="12" t="s">
        <v>98</v>
      </c>
      <c r="J17" s="12" t="s">
        <v>81</v>
      </c>
      <c r="K17" s="12" t="s">
        <v>99</v>
      </c>
      <c r="L17" s="12" t="s">
        <v>100</v>
      </c>
      <c r="M17" s="12"/>
      <c r="N17" s="12" t="s">
        <v>147</v>
      </c>
      <c r="O17" s="12"/>
      <c r="P17" s="12" t="s">
        <v>147</v>
      </c>
      <c r="Q17" s="12" t="s">
        <v>148</v>
      </c>
      <c r="R17" s="12" t="s">
        <v>87</v>
      </c>
      <c r="S17" s="12" t="s">
        <v>103</v>
      </c>
      <c r="T17" s="11">
        <v>46184.613645833328</v>
      </c>
    </row>
    <row r="18" spans="1:20" ht="29" hidden="1" x14ac:dyDescent="0.35">
      <c r="A18" s="11">
        <v>46188.556851851848</v>
      </c>
      <c r="B18" s="11">
        <v>46181.338217592587</v>
      </c>
      <c r="C18" s="12" t="s">
        <v>149</v>
      </c>
      <c r="D18" s="12" t="s">
        <v>150</v>
      </c>
      <c r="E18" s="12"/>
      <c r="F18" s="12" t="s">
        <v>96</v>
      </c>
      <c r="G18" s="12" t="s">
        <v>97</v>
      </c>
      <c r="H18" s="12" t="s">
        <v>21</v>
      </c>
      <c r="I18" s="12" t="s">
        <v>98</v>
      </c>
      <c r="J18" s="12" t="s">
        <v>81</v>
      </c>
      <c r="K18" s="12" t="s">
        <v>110</v>
      </c>
      <c r="L18" s="12" t="s">
        <v>100</v>
      </c>
      <c r="M18" s="12"/>
      <c r="N18" s="12" t="s">
        <v>151</v>
      </c>
      <c r="O18" s="12"/>
      <c r="P18" s="12" t="s">
        <v>151</v>
      </c>
      <c r="Q18" s="12" t="s">
        <v>152</v>
      </c>
      <c r="R18" s="12" t="s">
        <v>87</v>
      </c>
      <c r="S18" s="12" t="s">
        <v>103</v>
      </c>
      <c r="T18" s="11">
        <v>46184.515659722223</v>
      </c>
    </row>
    <row r="19" spans="1:20" ht="29" hidden="1" x14ac:dyDescent="0.35">
      <c r="A19" s="11">
        <v>46188.556851851848</v>
      </c>
      <c r="B19" s="11">
        <v>46181.338217592587</v>
      </c>
      <c r="C19" s="12" t="s">
        <v>153</v>
      </c>
      <c r="D19" s="12" t="s">
        <v>154</v>
      </c>
      <c r="E19" s="12"/>
      <c r="F19" s="12" t="s">
        <v>96</v>
      </c>
      <c r="G19" s="12" t="s">
        <v>97</v>
      </c>
      <c r="H19" s="12" t="s">
        <v>21</v>
      </c>
      <c r="I19" s="12" t="s">
        <v>98</v>
      </c>
      <c r="J19" s="12" t="s">
        <v>81</v>
      </c>
      <c r="K19" s="12" t="s">
        <v>99</v>
      </c>
      <c r="L19" s="12" t="s">
        <v>100</v>
      </c>
      <c r="M19" s="12"/>
      <c r="N19" s="12" t="s">
        <v>151</v>
      </c>
      <c r="O19" s="12"/>
      <c r="P19" s="12" t="s">
        <v>151</v>
      </c>
      <c r="Q19" s="12" t="s">
        <v>155</v>
      </c>
      <c r="R19" s="12" t="s">
        <v>87</v>
      </c>
      <c r="S19" s="12" t="s">
        <v>103</v>
      </c>
      <c r="T19" s="11">
        <v>46184.526597222219</v>
      </c>
    </row>
    <row r="20" spans="1:20" ht="29" hidden="1" x14ac:dyDescent="0.35">
      <c r="A20" s="11">
        <v>46188.556851851848</v>
      </c>
      <c r="B20" s="11">
        <v>46181.338217592587</v>
      </c>
      <c r="C20" s="12" t="s">
        <v>156</v>
      </c>
      <c r="D20" s="12" t="s">
        <v>157</v>
      </c>
      <c r="E20" s="12"/>
      <c r="F20" s="12" t="s">
        <v>96</v>
      </c>
      <c r="G20" s="12" t="s">
        <v>97</v>
      </c>
      <c r="H20" s="12" t="s">
        <v>21</v>
      </c>
      <c r="I20" s="12" t="s">
        <v>98</v>
      </c>
      <c r="J20" s="12" t="s">
        <v>81</v>
      </c>
      <c r="K20" s="12" t="s">
        <v>99</v>
      </c>
      <c r="L20" s="12" t="s">
        <v>100</v>
      </c>
      <c r="M20" s="12"/>
      <c r="N20" s="12" t="s">
        <v>158</v>
      </c>
      <c r="O20" s="12"/>
      <c r="P20" s="12" t="s">
        <v>158</v>
      </c>
      <c r="Q20" s="12" t="s">
        <v>159</v>
      </c>
      <c r="R20" s="12" t="s">
        <v>87</v>
      </c>
      <c r="S20" s="12" t="s">
        <v>103</v>
      </c>
      <c r="T20" s="11">
        <v>46184.583668981482</v>
      </c>
    </row>
    <row r="21" spans="1:20" ht="29" hidden="1" x14ac:dyDescent="0.35">
      <c r="A21" s="11">
        <v>46188.556851851848</v>
      </c>
      <c r="B21" s="11">
        <v>46181.338217592587</v>
      </c>
      <c r="C21" s="12" t="s">
        <v>160</v>
      </c>
      <c r="D21" s="12" t="s">
        <v>161</v>
      </c>
      <c r="E21" s="12"/>
      <c r="F21" s="12" t="s">
        <v>96</v>
      </c>
      <c r="G21" s="12" t="s">
        <v>97</v>
      </c>
      <c r="H21" s="12" t="s">
        <v>21</v>
      </c>
      <c r="I21" s="12" t="s">
        <v>98</v>
      </c>
      <c r="J21" s="12" t="s">
        <v>81</v>
      </c>
      <c r="K21" s="12" t="s">
        <v>110</v>
      </c>
      <c r="L21" s="12" t="s">
        <v>100</v>
      </c>
      <c r="M21" s="12"/>
      <c r="N21" s="12" t="s">
        <v>162</v>
      </c>
      <c r="O21" s="12"/>
      <c r="P21" s="12" t="s">
        <v>162</v>
      </c>
      <c r="Q21" s="12" t="s">
        <v>163</v>
      </c>
      <c r="R21" s="12" t="s">
        <v>87</v>
      </c>
      <c r="S21" s="12" t="s">
        <v>103</v>
      </c>
      <c r="T21" s="11">
        <v>46184.596967592603</v>
      </c>
    </row>
    <row r="22" spans="1:20" ht="29" hidden="1" x14ac:dyDescent="0.35">
      <c r="A22" s="11">
        <v>46188.556851851848</v>
      </c>
      <c r="B22" s="11">
        <v>46181.338217592587</v>
      </c>
      <c r="C22" s="12" t="s">
        <v>164</v>
      </c>
      <c r="D22" s="12" t="s">
        <v>165</v>
      </c>
      <c r="E22" s="12"/>
      <c r="F22" s="12" t="s">
        <v>96</v>
      </c>
      <c r="G22" s="12" t="s">
        <v>97</v>
      </c>
      <c r="H22" s="12" t="s">
        <v>21</v>
      </c>
      <c r="I22" s="12" t="s">
        <v>98</v>
      </c>
      <c r="J22" s="12" t="s">
        <v>81</v>
      </c>
      <c r="K22" s="12" t="s">
        <v>110</v>
      </c>
      <c r="L22" s="12" t="s">
        <v>100</v>
      </c>
      <c r="M22" s="12"/>
      <c r="N22" s="12" t="s">
        <v>166</v>
      </c>
      <c r="O22" s="12"/>
      <c r="P22" s="12" t="s">
        <v>166</v>
      </c>
      <c r="Q22" s="12" t="s">
        <v>167</v>
      </c>
      <c r="R22" s="12" t="s">
        <v>87</v>
      </c>
      <c r="S22" s="12" t="s">
        <v>103</v>
      </c>
      <c r="T22" s="11">
        <v>46185.367361111108</v>
      </c>
    </row>
    <row r="23" spans="1:20" ht="29" hidden="1" x14ac:dyDescent="0.35">
      <c r="A23" s="11">
        <v>46188.556851851848</v>
      </c>
      <c r="B23" s="11">
        <v>46181.338217592587</v>
      </c>
      <c r="C23" s="12" t="s">
        <v>168</v>
      </c>
      <c r="D23" s="12" t="s">
        <v>169</v>
      </c>
      <c r="E23" s="12"/>
      <c r="F23" s="12" t="s">
        <v>96</v>
      </c>
      <c r="G23" s="12" t="s">
        <v>97</v>
      </c>
      <c r="H23" s="12" t="s">
        <v>21</v>
      </c>
      <c r="I23" s="12" t="s">
        <v>98</v>
      </c>
      <c r="J23" s="12" t="s">
        <v>81</v>
      </c>
      <c r="K23" s="12" t="s">
        <v>99</v>
      </c>
      <c r="L23" s="12" t="s">
        <v>100</v>
      </c>
      <c r="M23" s="12"/>
      <c r="N23" s="12" t="s">
        <v>170</v>
      </c>
      <c r="O23" s="12"/>
      <c r="P23" s="12" t="s">
        <v>170</v>
      </c>
      <c r="Q23" s="12" t="s">
        <v>171</v>
      </c>
      <c r="R23" s="12" t="s">
        <v>87</v>
      </c>
      <c r="S23" s="12" t="s">
        <v>103</v>
      </c>
      <c r="T23" s="11">
        <v>46185.515381944453</v>
      </c>
    </row>
    <row r="24" spans="1:20" ht="29" hidden="1" x14ac:dyDescent="0.35">
      <c r="A24" s="11">
        <v>46188.556851851848</v>
      </c>
      <c r="B24" s="11">
        <v>46181.338217592587</v>
      </c>
      <c r="C24" s="12" t="s">
        <v>172</v>
      </c>
      <c r="D24" s="12" t="s">
        <v>173</v>
      </c>
      <c r="E24" s="12"/>
      <c r="F24" s="12" t="s">
        <v>96</v>
      </c>
      <c r="G24" s="12" t="s">
        <v>97</v>
      </c>
      <c r="H24" s="12" t="s">
        <v>21</v>
      </c>
      <c r="I24" s="12" t="s">
        <v>98</v>
      </c>
      <c r="J24" s="12" t="s">
        <v>81</v>
      </c>
      <c r="K24" s="12" t="s">
        <v>99</v>
      </c>
      <c r="L24" s="12" t="s">
        <v>100</v>
      </c>
      <c r="M24" s="12"/>
      <c r="N24" s="12" t="s">
        <v>174</v>
      </c>
      <c r="O24" s="12"/>
      <c r="P24" s="12" t="s">
        <v>174</v>
      </c>
      <c r="Q24" s="12" t="s">
        <v>175</v>
      </c>
      <c r="R24" s="12" t="s">
        <v>87</v>
      </c>
      <c r="S24" s="12" t="s">
        <v>103</v>
      </c>
      <c r="T24" s="11">
        <v>46185.587673611109</v>
      </c>
    </row>
    <row r="25" spans="1:20" ht="29" hidden="1" x14ac:dyDescent="0.35">
      <c r="A25" s="11">
        <v>46188.556851851848</v>
      </c>
      <c r="B25" s="11">
        <v>46181.338217592587</v>
      </c>
      <c r="C25" s="12" t="s">
        <v>176</v>
      </c>
      <c r="D25" s="12" t="s">
        <v>177</v>
      </c>
      <c r="E25" s="12"/>
      <c r="F25" s="12" t="s">
        <v>96</v>
      </c>
      <c r="G25" s="12" t="s">
        <v>97</v>
      </c>
      <c r="H25" s="12" t="s">
        <v>21</v>
      </c>
      <c r="I25" s="12" t="s">
        <v>98</v>
      </c>
      <c r="J25" s="12" t="s">
        <v>81</v>
      </c>
      <c r="K25" s="12" t="s">
        <v>99</v>
      </c>
      <c r="L25" s="12" t="s">
        <v>100</v>
      </c>
      <c r="M25" s="12"/>
      <c r="N25" s="12" t="s">
        <v>178</v>
      </c>
      <c r="O25" s="12"/>
      <c r="P25" s="12" t="s">
        <v>178</v>
      </c>
      <c r="Q25" s="12" t="s">
        <v>179</v>
      </c>
      <c r="R25" s="12" t="s">
        <v>87</v>
      </c>
      <c r="S25" s="12" t="s">
        <v>103</v>
      </c>
      <c r="T25" s="11">
        <v>46185.595775462964</v>
      </c>
    </row>
    <row r="26" spans="1:20" ht="29" hidden="1" x14ac:dyDescent="0.35">
      <c r="A26" s="11">
        <v>46188.556851851848</v>
      </c>
      <c r="B26" s="11">
        <v>46181.338217592587</v>
      </c>
      <c r="C26" s="12" t="s">
        <v>180</v>
      </c>
      <c r="D26" s="12" t="s">
        <v>181</v>
      </c>
      <c r="E26" s="12"/>
      <c r="F26" s="12" t="s">
        <v>96</v>
      </c>
      <c r="G26" s="12" t="s">
        <v>97</v>
      </c>
      <c r="H26" s="12" t="s">
        <v>21</v>
      </c>
      <c r="I26" s="12" t="s">
        <v>98</v>
      </c>
      <c r="J26" s="12" t="s">
        <v>81</v>
      </c>
      <c r="K26" s="12" t="s">
        <v>99</v>
      </c>
      <c r="L26" s="12" t="s">
        <v>100</v>
      </c>
      <c r="M26" s="12"/>
      <c r="N26" s="12" t="s">
        <v>182</v>
      </c>
      <c r="O26" s="12"/>
      <c r="P26" s="12" t="s">
        <v>182</v>
      </c>
      <c r="Q26" s="12" t="s">
        <v>183</v>
      </c>
      <c r="R26" s="12" t="s">
        <v>87</v>
      </c>
      <c r="S26" s="12" t="s">
        <v>103</v>
      </c>
      <c r="T26" s="11">
        <v>46188.42732638889</v>
      </c>
    </row>
    <row r="27" spans="1:20" ht="29" hidden="1" x14ac:dyDescent="0.35">
      <c r="A27" s="11">
        <v>46188.556851851848</v>
      </c>
      <c r="B27" s="11">
        <v>46181.338217592587</v>
      </c>
      <c r="C27" s="12" t="s">
        <v>184</v>
      </c>
      <c r="D27" s="12" t="s">
        <v>185</v>
      </c>
      <c r="E27" s="12"/>
      <c r="F27" s="12" t="s">
        <v>96</v>
      </c>
      <c r="G27" s="12" t="s">
        <v>97</v>
      </c>
      <c r="H27" s="12" t="s">
        <v>21</v>
      </c>
      <c r="I27" s="12" t="s">
        <v>98</v>
      </c>
      <c r="J27" s="12" t="s">
        <v>81</v>
      </c>
      <c r="K27" s="12" t="s">
        <v>99</v>
      </c>
      <c r="L27" s="12" t="s">
        <v>100</v>
      </c>
      <c r="M27" s="12"/>
      <c r="N27" s="12" t="s">
        <v>186</v>
      </c>
      <c r="O27" s="12"/>
      <c r="P27" s="12" t="s">
        <v>186</v>
      </c>
      <c r="Q27" s="12" t="s">
        <v>187</v>
      </c>
      <c r="R27" s="12" t="s">
        <v>87</v>
      </c>
      <c r="S27" s="12" t="s">
        <v>103</v>
      </c>
      <c r="T27" s="11">
        <v>46188.43236111111</v>
      </c>
    </row>
    <row r="28" spans="1:20" ht="29" hidden="1" x14ac:dyDescent="0.35">
      <c r="A28" s="11">
        <v>46188.556851851848</v>
      </c>
      <c r="B28" s="11">
        <v>46181.338217592587</v>
      </c>
      <c r="C28" s="12" t="s">
        <v>188</v>
      </c>
      <c r="D28" s="12" t="s">
        <v>189</v>
      </c>
      <c r="E28" s="12"/>
      <c r="F28" s="12" t="s">
        <v>96</v>
      </c>
      <c r="G28" s="12" t="s">
        <v>97</v>
      </c>
      <c r="H28" s="12" t="s">
        <v>21</v>
      </c>
      <c r="I28" s="12" t="s">
        <v>98</v>
      </c>
      <c r="J28" s="12" t="s">
        <v>81</v>
      </c>
      <c r="K28" s="12" t="s">
        <v>110</v>
      </c>
      <c r="L28" s="12" t="s">
        <v>100</v>
      </c>
      <c r="M28" s="12"/>
      <c r="N28" s="12" t="s">
        <v>190</v>
      </c>
      <c r="O28" s="12"/>
      <c r="P28" s="12" t="s">
        <v>190</v>
      </c>
      <c r="Q28" s="12" t="s">
        <v>191</v>
      </c>
      <c r="R28" s="12" t="s">
        <v>87</v>
      </c>
      <c r="S28" s="12" t="s">
        <v>103</v>
      </c>
      <c r="T28" s="11">
        <v>46188.53402777778</v>
      </c>
    </row>
    <row r="29" spans="1:20" ht="29" hidden="1" x14ac:dyDescent="0.35">
      <c r="A29" s="11">
        <v>46188.556851851848</v>
      </c>
      <c r="B29" s="11">
        <v>46181.338217592587</v>
      </c>
      <c r="C29" s="12" t="s">
        <v>192</v>
      </c>
      <c r="D29" s="12" t="s">
        <v>193</v>
      </c>
      <c r="E29" s="12"/>
      <c r="F29" s="12" t="s">
        <v>194</v>
      </c>
      <c r="G29" s="12" t="s">
        <v>195</v>
      </c>
      <c r="H29" s="12" t="s">
        <v>21</v>
      </c>
      <c r="I29" s="12" t="s">
        <v>196</v>
      </c>
      <c r="J29" s="12" t="s">
        <v>81</v>
      </c>
      <c r="K29" s="12" t="s">
        <v>197</v>
      </c>
      <c r="L29" s="12" t="s">
        <v>100</v>
      </c>
      <c r="M29" s="12" t="s">
        <v>198</v>
      </c>
      <c r="N29" s="12"/>
      <c r="O29" s="12" t="s">
        <v>198</v>
      </c>
      <c r="P29" s="12"/>
      <c r="Q29" s="12" t="s">
        <v>199</v>
      </c>
      <c r="R29" s="12" t="s">
        <v>87</v>
      </c>
      <c r="S29" s="12" t="s">
        <v>103</v>
      </c>
      <c r="T29" s="12"/>
    </row>
    <row r="30" spans="1:20" ht="29" hidden="1" x14ac:dyDescent="0.35">
      <c r="A30" s="11">
        <v>46188.556851851848</v>
      </c>
      <c r="B30" s="11">
        <v>46181.338217592587</v>
      </c>
      <c r="C30" s="12" t="s">
        <v>200</v>
      </c>
      <c r="D30" s="12" t="s">
        <v>201</v>
      </c>
      <c r="E30" s="12"/>
      <c r="F30" s="12" t="s">
        <v>194</v>
      </c>
      <c r="G30" s="12" t="s">
        <v>195</v>
      </c>
      <c r="H30" s="12" t="s">
        <v>21</v>
      </c>
      <c r="I30" s="12" t="s">
        <v>196</v>
      </c>
      <c r="J30" s="12" t="s">
        <v>81</v>
      </c>
      <c r="K30" s="12" t="s">
        <v>197</v>
      </c>
      <c r="L30" s="12" t="s">
        <v>100</v>
      </c>
      <c r="M30" s="12" t="s">
        <v>202</v>
      </c>
      <c r="N30" s="12"/>
      <c r="O30" s="12" t="s">
        <v>202</v>
      </c>
      <c r="P30" s="12"/>
      <c r="Q30" s="12" t="s">
        <v>203</v>
      </c>
      <c r="R30" s="12" t="s">
        <v>87</v>
      </c>
      <c r="S30" s="12" t="s">
        <v>103</v>
      </c>
      <c r="T30" s="12"/>
    </row>
    <row r="31" spans="1:20" ht="29" hidden="1" x14ac:dyDescent="0.35">
      <c r="A31" s="11">
        <v>46188.556851851848</v>
      </c>
      <c r="B31" s="11">
        <v>46181.338217592587</v>
      </c>
      <c r="C31" s="12" t="s">
        <v>204</v>
      </c>
      <c r="D31" s="12" t="s">
        <v>205</v>
      </c>
      <c r="E31" s="12"/>
      <c r="F31" s="12" t="s">
        <v>194</v>
      </c>
      <c r="G31" s="12" t="s">
        <v>195</v>
      </c>
      <c r="H31" s="12" t="s">
        <v>27</v>
      </c>
      <c r="I31" s="12" t="s">
        <v>206</v>
      </c>
      <c r="J31" s="12" t="s">
        <v>81</v>
      </c>
      <c r="K31" s="12" t="s">
        <v>197</v>
      </c>
      <c r="L31" s="12" t="s">
        <v>100</v>
      </c>
      <c r="M31" s="12" t="s">
        <v>207</v>
      </c>
      <c r="N31" s="12" t="s">
        <v>208</v>
      </c>
      <c r="O31" s="12" t="s">
        <v>207</v>
      </c>
      <c r="P31" s="12" t="s">
        <v>208</v>
      </c>
      <c r="Q31" s="12" t="s">
        <v>209</v>
      </c>
      <c r="R31" s="12" t="s">
        <v>87</v>
      </c>
      <c r="S31" s="12" t="s">
        <v>103</v>
      </c>
      <c r="T31" s="11">
        <v>46183.528483796297</v>
      </c>
    </row>
    <row r="32" spans="1:20" ht="29" hidden="1" x14ac:dyDescent="0.35">
      <c r="A32" s="11">
        <v>46188.556851851848</v>
      </c>
      <c r="B32" s="11">
        <v>46181.338217592587</v>
      </c>
      <c r="C32" s="12" t="s">
        <v>210</v>
      </c>
      <c r="D32" s="12" t="s">
        <v>211</v>
      </c>
      <c r="E32" s="12"/>
      <c r="F32" s="12" t="s">
        <v>194</v>
      </c>
      <c r="G32" s="12" t="s">
        <v>195</v>
      </c>
      <c r="H32" s="12" t="s">
        <v>23</v>
      </c>
      <c r="I32" s="12" t="s">
        <v>80</v>
      </c>
      <c r="J32" s="12" t="s">
        <v>81</v>
      </c>
      <c r="K32" s="12" t="s">
        <v>99</v>
      </c>
      <c r="L32" s="12" t="s">
        <v>100</v>
      </c>
      <c r="M32" s="12" t="s">
        <v>197</v>
      </c>
      <c r="N32" s="12" t="s">
        <v>99</v>
      </c>
      <c r="O32" s="12" t="s">
        <v>197</v>
      </c>
      <c r="P32" s="12" t="s">
        <v>99</v>
      </c>
      <c r="Q32" s="12" t="s">
        <v>212</v>
      </c>
      <c r="R32" s="12" t="s">
        <v>87</v>
      </c>
      <c r="S32" s="12" t="s">
        <v>103</v>
      </c>
      <c r="T32" s="11">
        <v>46184.583414351851</v>
      </c>
    </row>
    <row r="33" spans="1:20" ht="29" hidden="1" x14ac:dyDescent="0.35">
      <c r="A33" s="11">
        <v>46188.556851851848</v>
      </c>
      <c r="B33" s="11">
        <v>46181.338217592587</v>
      </c>
      <c r="C33" s="12" t="s">
        <v>213</v>
      </c>
      <c r="D33" s="12" t="s">
        <v>214</v>
      </c>
      <c r="E33" s="12"/>
      <c r="F33" s="12" t="s">
        <v>194</v>
      </c>
      <c r="G33" s="12" t="s">
        <v>195</v>
      </c>
      <c r="H33" s="12" t="s">
        <v>27</v>
      </c>
      <c r="I33" s="12" t="s">
        <v>206</v>
      </c>
      <c r="J33" s="12" t="s">
        <v>81</v>
      </c>
      <c r="K33" s="12" t="s">
        <v>197</v>
      </c>
      <c r="L33" s="12" t="s">
        <v>100</v>
      </c>
      <c r="M33" s="12" t="s">
        <v>207</v>
      </c>
      <c r="N33" s="12" t="s">
        <v>215</v>
      </c>
      <c r="O33" s="12" t="s">
        <v>207</v>
      </c>
      <c r="P33" s="12" t="s">
        <v>215</v>
      </c>
      <c r="Q33" s="12" t="s">
        <v>216</v>
      </c>
      <c r="R33" s="12" t="s">
        <v>87</v>
      </c>
      <c r="S33" s="12" t="s">
        <v>103</v>
      </c>
      <c r="T33" s="11">
        <v>46182.635706018518</v>
      </c>
    </row>
    <row r="34" spans="1:20" ht="29" hidden="1" x14ac:dyDescent="0.35">
      <c r="A34" s="11">
        <v>46188.556851851848</v>
      </c>
      <c r="B34" s="11">
        <v>46181.338217592587</v>
      </c>
      <c r="C34" s="12" t="s">
        <v>217</v>
      </c>
      <c r="D34" s="12" t="s">
        <v>218</v>
      </c>
      <c r="E34" s="12"/>
      <c r="F34" s="12" t="s">
        <v>194</v>
      </c>
      <c r="G34" s="12" t="s">
        <v>195</v>
      </c>
      <c r="H34" s="12" t="s">
        <v>27</v>
      </c>
      <c r="I34" s="12" t="s">
        <v>206</v>
      </c>
      <c r="J34" s="12" t="s">
        <v>81</v>
      </c>
      <c r="K34" s="12" t="s">
        <v>197</v>
      </c>
      <c r="L34" s="12" t="s">
        <v>100</v>
      </c>
      <c r="M34" s="12" t="s">
        <v>207</v>
      </c>
      <c r="N34" s="12" t="s">
        <v>215</v>
      </c>
      <c r="O34" s="12" t="s">
        <v>207</v>
      </c>
      <c r="P34" s="12" t="s">
        <v>215</v>
      </c>
      <c r="Q34" s="12" t="s">
        <v>219</v>
      </c>
      <c r="R34" s="12" t="s">
        <v>87</v>
      </c>
      <c r="S34" s="12" t="s">
        <v>103</v>
      </c>
      <c r="T34" s="11">
        <v>46182.413715277777</v>
      </c>
    </row>
    <row r="35" spans="1:20" ht="29" hidden="1" x14ac:dyDescent="0.35">
      <c r="A35" s="11">
        <v>46188.556851851848</v>
      </c>
      <c r="B35" s="11">
        <v>46181.338217592587</v>
      </c>
      <c r="C35" s="12" t="s">
        <v>220</v>
      </c>
      <c r="D35" s="12" t="s">
        <v>221</v>
      </c>
      <c r="E35" s="12"/>
      <c r="F35" s="12" t="s">
        <v>194</v>
      </c>
      <c r="G35" s="12" t="s">
        <v>195</v>
      </c>
      <c r="H35" s="12" t="s">
        <v>27</v>
      </c>
      <c r="I35" s="12" t="s">
        <v>206</v>
      </c>
      <c r="J35" s="12" t="s">
        <v>81</v>
      </c>
      <c r="K35" s="12" t="s">
        <v>197</v>
      </c>
      <c r="L35" s="12" t="s">
        <v>100</v>
      </c>
      <c r="M35" s="12" t="s">
        <v>207</v>
      </c>
      <c r="N35" s="12" t="s">
        <v>208</v>
      </c>
      <c r="O35" s="12" t="s">
        <v>207</v>
      </c>
      <c r="P35" s="12" t="s">
        <v>208</v>
      </c>
      <c r="Q35" s="12" t="s">
        <v>222</v>
      </c>
      <c r="R35" s="12" t="s">
        <v>87</v>
      </c>
      <c r="S35" s="12" t="s">
        <v>103</v>
      </c>
      <c r="T35" s="11">
        <v>46188.53402777778</v>
      </c>
    </row>
    <row r="36" spans="1:20" ht="29" hidden="1" x14ac:dyDescent="0.35">
      <c r="A36" s="11">
        <v>46188.556851851848</v>
      </c>
      <c r="B36" s="11">
        <v>46181.338217592587</v>
      </c>
      <c r="C36" s="12" t="s">
        <v>223</v>
      </c>
      <c r="D36" s="12" t="s">
        <v>224</v>
      </c>
      <c r="E36" s="12"/>
      <c r="F36" s="12" t="s">
        <v>194</v>
      </c>
      <c r="G36" s="12" t="s">
        <v>195</v>
      </c>
      <c r="H36" s="12" t="s">
        <v>23</v>
      </c>
      <c r="I36" s="12" t="s">
        <v>80</v>
      </c>
      <c r="J36" s="12" t="s">
        <v>81</v>
      </c>
      <c r="K36" s="12" t="s">
        <v>99</v>
      </c>
      <c r="L36" s="12" t="s">
        <v>100</v>
      </c>
      <c r="M36" s="12" t="s">
        <v>197</v>
      </c>
      <c r="N36" s="12" t="s">
        <v>99</v>
      </c>
      <c r="O36" s="12" t="s">
        <v>197</v>
      </c>
      <c r="P36" s="12" t="s">
        <v>99</v>
      </c>
      <c r="Q36" s="12" t="s">
        <v>225</v>
      </c>
      <c r="R36" s="12" t="s">
        <v>87</v>
      </c>
      <c r="S36" s="12" t="s">
        <v>103</v>
      </c>
      <c r="T36" s="11">
        <v>46188.432118055563</v>
      </c>
    </row>
    <row r="37" spans="1:20" ht="29" hidden="1" x14ac:dyDescent="0.35">
      <c r="A37" s="11">
        <v>46188.556851851848</v>
      </c>
      <c r="B37" s="11">
        <v>46181.338217592587</v>
      </c>
      <c r="C37" s="12" t="s">
        <v>226</v>
      </c>
      <c r="D37" s="12" t="s">
        <v>227</v>
      </c>
      <c r="E37" s="12"/>
      <c r="F37" s="12" t="s">
        <v>194</v>
      </c>
      <c r="G37" s="12" t="s">
        <v>228</v>
      </c>
      <c r="H37" s="12" t="s">
        <v>31</v>
      </c>
      <c r="I37" s="12" t="s">
        <v>229</v>
      </c>
      <c r="J37" s="12" t="s">
        <v>81</v>
      </c>
      <c r="K37" s="12" t="s">
        <v>197</v>
      </c>
      <c r="L37" s="12" t="s">
        <v>100</v>
      </c>
      <c r="M37" s="12" t="s">
        <v>230</v>
      </c>
      <c r="N37" s="12" t="s">
        <v>231</v>
      </c>
      <c r="O37" s="12" t="s">
        <v>230</v>
      </c>
      <c r="P37" s="12" t="s">
        <v>231</v>
      </c>
      <c r="Q37" s="12" t="s">
        <v>232</v>
      </c>
      <c r="R37" s="12" t="s">
        <v>87</v>
      </c>
      <c r="S37" s="12" t="s">
        <v>103</v>
      </c>
      <c r="T37" s="11">
        <v>46181.586168981477</v>
      </c>
    </row>
    <row r="38" spans="1:20" ht="29" hidden="1" x14ac:dyDescent="0.35">
      <c r="A38" s="11">
        <v>46188.556851851848</v>
      </c>
      <c r="B38" s="11">
        <v>46181.338217592587</v>
      </c>
      <c r="C38" s="12" t="s">
        <v>233</v>
      </c>
      <c r="D38" s="12" t="s">
        <v>234</v>
      </c>
      <c r="E38" s="12"/>
      <c r="F38" s="12" t="s">
        <v>194</v>
      </c>
      <c r="G38" s="12" t="s">
        <v>228</v>
      </c>
      <c r="H38" s="12" t="s">
        <v>21</v>
      </c>
      <c r="I38" s="12" t="s">
        <v>98</v>
      </c>
      <c r="J38" s="12" t="s">
        <v>81</v>
      </c>
      <c r="K38" s="12" t="s">
        <v>197</v>
      </c>
      <c r="L38" s="12" t="s">
        <v>100</v>
      </c>
      <c r="M38" s="12"/>
      <c r="N38" s="12" t="s">
        <v>235</v>
      </c>
      <c r="O38" s="12"/>
      <c r="P38" s="12" t="s">
        <v>235</v>
      </c>
      <c r="Q38" s="12" t="s">
        <v>236</v>
      </c>
      <c r="R38" s="12" t="s">
        <v>87</v>
      </c>
      <c r="S38" s="12" t="s">
        <v>103</v>
      </c>
      <c r="T38" s="11">
        <v>46181.593425925923</v>
      </c>
    </row>
    <row r="39" spans="1:20" ht="29" hidden="1" x14ac:dyDescent="0.35">
      <c r="A39" s="11">
        <v>46188.556851851848</v>
      </c>
      <c r="B39" s="11">
        <v>46181.338217592587</v>
      </c>
      <c r="C39" s="12" t="s">
        <v>237</v>
      </c>
      <c r="D39" s="12" t="s">
        <v>238</v>
      </c>
      <c r="E39" s="12"/>
      <c r="F39" s="12" t="s">
        <v>194</v>
      </c>
      <c r="G39" s="12" t="s">
        <v>195</v>
      </c>
      <c r="H39" s="12" t="s">
        <v>21</v>
      </c>
      <c r="I39" s="12" t="s">
        <v>98</v>
      </c>
      <c r="J39" s="12" t="s">
        <v>81</v>
      </c>
      <c r="K39" s="12" t="s">
        <v>197</v>
      </c>
      <c r="L39" s="12" t="s">
        <v>100</v>
      </c>
      <c r="M39" s="12"/>
      <c r="N39" s="12" t="s">
        <v>239</v>
      </c>
      <c r="O39" s="12"/>
      <c r="P39" s="12" t="s">
        <v>239</v>
      </c>
      <c r="Q39" s="12" t="s">
        <v>240</v>
      </c>
      <c r="R39" s="12" t="s">
        <v>87</v>
      </c>
      <c r="S39" s="12" t="s">
        <v>103</v>
      </c>
      <c r="T39" s="11">
        <v>46181.642175925917</v>
      </c>
    </row>
    <row r="40" spans="1:20" ht="29" hidden="1" x14ac:dyDescent="0.35">
      <c r="A40" s="11">
        <v>46188.556851851848</v>
      </c>
      <c r="B40" s="11">
        <v>46181.338217592587</v>
      </c>
      <c r="C40" s="12" t="s">
        <v>241</v>
      </c>
      <c r="D40" s="12" t="s">
        <v>242</v>
      </c>
      <c r="E40" s="12"/>
      <c r="F40" s="12" t="s">
        <v>194</v>
      </c>
      <c r="G40" s="12" t="s">
        <v>195</v>
      </c>
      <c r="H40" s="12" t="s">
        <v>21</v>
      </c>
      <c r="I40" s="12" t="s">
        <v>98</v>
      </c>
      <c r="J40" s="12" t="s">
        <v>81</v>
      </c>
      <c r="K40" s="12" t="s">
        <v>197</v>
      </c>
      <c r="L40" s="12" t="s">
        <v>100</v>
      </c>
      <c r="M40" s="12"/>
      <c r="N40" s="12" t="s">
        <v>239</v>
      </c>
      <c r="O40" s="12"/>
      <c r="P40" s="12" t="s">
        <v>239</v>
      </c>
      <c r="Q40" s="12" t="s">
        <v>243</v>
      </c>
      <c r="R40" s="12" t="s">
        <v>87</v>
      </c>
      <c r="S40" s="12" t="s">
        <v>103</v>
      </c>
      <c r="T40" s="11">
        <v>46181.642199074071</v>
      </c>
    </row>
    <row r="41" spans="1:20" ht="29" hidden="1" x14ac:dyDescent="0.35">
      <c r="A41" s="11">
        <v>46188.556851851848</v>
      </c>
      <c r="B41" s="11">
        <v>46181.338217592587</v>
      </c>
      <c r="C41" s="12" t="s">
        <v>244</v>
      </c>
      <c r="D41" s="12" t="s">
        <v>245</v>
      </c>
      <c r="E41" s="12"/>
      <c r="F41" s="12" t="s">
        <v>194</v>
      </c>
      <c r="G41" s="12" t="s">
        <v>195</v>
      </c>
      <c r="H41" s="12" t="s">
        <v>21</v>
      </c>
      <c r="I41" s="12" t="s">
        <v>98</v>
      </c>
      <c r="J41" s="12" t="s">
        <v>81</v>
      </c>
      <c r="K41" s="12" t="s">
        <v>197</v>
      </c>
      <c r="L41" s="12" t="s">
        <v>100</v>
      </c>
      <c r="M41" s="12"/>
      <c r="N41" s="12" t="s">
        <v>239</v>
      </c>
      <c r="O41" s="12"/>
      <c r="P41" s="12" t="s">
        <v>239</v>
      </c>
      <c r="Q41" s="12" t="s">
        <v>246</v>
      </c>
      <c r="R41" s="12" t="s">
        <v>87</v>
      </c>
      <c r="S41" s="12" t="s">
        <v>103</v>
      </c>
      <c r="T41" s="11">
        <v>46181.642199074071</v>
      </c>
    </row>
    <row r="42" spans="1:20" ht="29" hidden="1" x14ac:dyDescent="0.35">
      <c r="A42" s="11">
        <v>46188.556851851848</v>
      </c>
      <c r="B42" s="11">
        <v>46181.338217592587</v>
      </c>
      <c r="C42" s="12" t="s">
        <v>247</v>
      </c>
      <c r="D42" s="12" t="s">
        <v>248</v>
      </c>
      <c r="E42" s="12"/>
      <c r="F42" s="12" t="s">
        <v>194</v>
      </c>
      <c r="G42" s="12" t="s">
        <v>195</v>
      </c>
      <c r="H42" s="12" t="s">
        <v>21</v>
      </c>
      <c r="I42" s="12" t="s">
        <v>98</v>
      </c>
      <c r="J42" s="12" t="s">
        <v>81</v>
      </c>
      <c r="K42" s="12" t="s">
        <v>197</v>
      </c>
      <c r="L42" s="12" t="s">
        <v>100</v>
      </c>
      <c r="M42" s="12"/>
      <c r="N42" s="12" t="s">
        <v>239</v>
      </c>
      <c r="O42" s="12"/>
      <c r="P42" s="12" t="s">
        <v>239</v>
      </c>
      <c r="Q42" s="12" t="s">
        <v>249</v>
      </c>
      <c r="R42" s="12" t="s">
        <v>87</v>
      </c>
      <c r="S42" s="12" t="s">
        <v>103</v>
      </c>
      <c r="T42" s="11">
        <v>46181.642199074071</v>
      </c>
    </row>
    <row r="43" spans="1:20" ht="29" hidden="1" x14ac:dyDescent="0.35">
      <c r="A43" s="11">
        <v>46188.556851851848</v>
      </c>
      <c r="B43" s="11">
        <v>46181.338217592587</v>
      </c>
      <c r="C43" s="12" t="s">
        <v>250</v>
      </c>
      <c r="D43" s="12" t="s">
        <v>251</v>
      </c>
      <c r="E43" s="12"/>
      <c r="F43" s="12" t="s">
        <v>194</v>
      </c>
      <c r="G43" s="12" t="s">
        <v>228</v>
      </c>
      <c r="H43" s="12" t="s">
        <v>21</v>
      </c>
      <c r="I43" s="12" t="s">
        <v>98</v>
      </c>
      <c r="J43" s="12" t="s">
        <v>81</v>
      </c>
      <c r="K43" s="12" t="s">
        <v>197</v>
      </c>
      <c r="L43" s="12" t="s">
        <v>100</v>
      </c>
      <c r="M43" s="12"/>
      <c r="N43" s="12" t="s">
        <v>252</v>
      </c>
      <c r="O43" s="12"/>
      <c r="P43" s="12" t="s">
        <v>252</v>
      </c>
      <c r="Q43" s="12" t="s">
        <v>253</v>
      </c>
      <c r="R43" s="12" t="s">
        <v>87</v>
      </c>
      <c r="S43" s="12" t="s">
        <v>103</v>
      </c>
      <c r="T43" s="11">
        <v>46183.598009259258</v>
      </c>
    </row>
    <row r="44" spans="1:20" ht="43.5" hidden="1" x14ac:dyDescent="0.35">
      <c r="A44" s="11">
        <v>46188.556851851848</v>
      </c>
      <c r="B44" s="11">
        <v>46181.338217592587</v>
      </c>
      <c r="C44" s="12" t="s">
        <v>254</v>
      </c>
      <c r="D44" s="12" t="s">
        <v>255</v>
      </c>
      <c r="E44" s="12"/>
      <c r="F44" s="12" t="s">
        <v>194</v>
      </c>
      <c r="G44" s="12" t="s">
        <v>228</v>
      </c>
      <c r="H44" s="12" t="s">
        <v>21</v>
      </c>
      <c r="I44" s="12" t="s">
        <v>98</v>
      </c>
      <c r="J44" s="12" t="s">
        <v>81</v>
      </c>
      <c r="K44" s="12" t="s">
        <v>197</v>
      </c>
      <c r="L44" s="12" t="s">
        <v>100</v>
      </c>
      <c r="M44" s="12"/>
      <c r="N44" s="12" t="s">
        <v>256</v>
      </c>
      <c r="O44" s="12"/>
      <c r="P44" s="12" t="s">
        <v>256</v>
      </c>
      <c r="Q44" s="12" t="s">
        <v>257</v>
      </c>
      <c r="R44" s="12" t="s">
        <v>87</v>
      </c>
      <c r="S44" s="12" t="s">
        <v>103</v>
      </c>
      <c r="T44" s="11">
        <v>46185.597314814811</v>
      </c>
    </row>
    <row r="45" spans="1:20" ht="29" hidden="1" x14ac:dyDescent="0.35">
      <c r="A45" s="11">
        <v>46188.556851851848</v>
      </c>
      <c r="B45" s="11">
        <v>46181.338217592587</v>
      </c>
      <c r="C45" s="12" t="s">
        <v>258</v>
      </c>
      <c r="D45" s="12" t="s">
        <v>259</v>
      </c>
      <c r="E45" s="12"/>
      <c r="F45" s="12" t="s">
        <v>260</v>
      </c>
      <c r="G45" s="12" t="s">
        <v>195</v>
      </c>
      <c r="H45" s="12" t="s">
        <v>23</v>
      </c>
      <c r="I45" s="12" t="s">
        <v>80</v>
      </c>
      <c r="J45" s="12" t="s">
        <v>81</v>
      </c>
      <c r="K45" s="12" t="s">
        <v>99</v>
      </c>
      <c r="L45" s="12" t="s">
        <v>100</v>
      </c>
      <c r="M45" s="12" t="s">
        <v>197</v>
      </c>
      <c r="N45" s="12" t="s">
        <v>99</v>
      </c>
      <c r="O45" s="12" t="s">
        <v>197</v>
      </c>
      <c r="P45" s="12" t="s">
        <v>99</v>
      </c>
      <c r="Q45" s="12" t="s">
        <v>261</v>
      </c>
      <c r="R45" s="12" t="s">
        <v>87</v>
      </c>
      <c r="S45" s="12" t="s">
        <v>103</v>
      </c>
      <c r="T45" s="11">
        <v>46181.547129629631</v>
      </c>
    </row>
    <row r="46" spans="1:20" ht="29" hidden="1" x14ac:dyDescent="0.35">
      <c r="A46" s="11">
        <v>46188.556851851848</v>
      </c>
      <c r="B46" s="11">
        <v>46181.338217592587</v>
      </c>
      <c r="C46" s="12" t="s">
        <v>258</v>
      </c>
      <c r="D46" s="12" t="s">
        <v>259</v>
      </c>
      <c r="E46" s="12"/>
      <c r="F46" s="12" t="s">
        <v>260</v>
      </c>
      <c r="G46" s="12" t="s">
        <v>195</v>
      </c>
      <c r="H46" s="12" t="s">
        <v>25</v>
      </c>
      <c r="I46" s="12" t="s">
        <v>262</v>
      </c>
      <c r="J46" s="12" t="s">
        <v>81</v>
      </c>
      <c r="K46" s="12" t="s">
        <v>99</v>
      </c>
      <c r="L46" s="12" t="s">
        <v>100</v>
      </c>
      <c r="M46" s="12" t="s">
        <v>263</v>
      </c>
      <c r="N46" s="12" t="s">
        <v>264</v>
      </c>
      <c r="O46" s="12" t="s">
        <v>263</v>
      </c>
      <c r="P46" s="12" t="s">
        <v>264</v>
      </c>
      <c r="Q46" s="12" t="s">
        <v>261</v>
      </c>
      <c r="R46" s="12" t="s">
        <v>87</v>
      </c>
      <c r="S46" s="12" t="s">
        <v>103</v>
      </c>
      <c r="T46" s="11">
        <v>46181.547129629631</v>
      </c>
    </row>
    <row r="47" spans="1:20" ht="29" hidden="1" x14ac:dyDescent="0.35">
      <c r="A47" s="11">
        <v>46188.556851851848</v>
      </c>
      <c r="B47" s="11">
        <v>46181.338217592587</v>
      </c>
      <c r="C47" s="12" t="s">
        <v>258</v>
      </c>
      <c r="D47" s="12" t="s">
        <v>259</v>
      </c>
      <c r="E47" s="12"/>
      <c r="F47" s="12" t="s">
        <v>260</v>
      </c>
      <c r="G47" s="12" t="s">
        <v>195</v>
      </c>
      <c r="H47" s="12" t="s">
        <v>26</v>
      </c>
      <c r="I47" s="12" t="s">
        <v>265</v>
      </c>
      <c r="J47" s="12" t="s">
        <v>81</v>
      </c>
      <c r="K47" s="12" t="s">
        <v>99</v>
      </c>
      <c r="L47" s="12" t="s">
        <v>100</v>
      </c>
      <c r="M47" s="12" t="s">
        <v>266</v>
      </c>
      <c r="N47" s="12" t="s">
        <v>267</v>
      </c>
      <c r="O47" s="12" t="s">
        <v>266</v>
      </c>
      <c r="P47" s="12" t="s">
        <v>267</v>
      </c>
      <c r="Q47" s="12" t="s">
        <v>261</v>
      </c>
      <c r="R47" s="12" t="s">
        <v>87</v>
      </c>
      <c r="S47" s="12" t="s">
        <v>103</v>
      </c>
      <c r="T47" s="11">
        <v>46181.547129629631</v>
      </c>
    </row>
    <row r="48" spans="1:20" ht="29" hidden="1" x14ac:dyDescent="0.35">
      <c r="A48" s="11">
        <v>46188.556851851848</v>
      </c>
      <c r="B48" s="11">
        <v>46181.338217592587</v>
      </c>
      <c r="C48" s="12" t="s">
        <v>258</v>
      </c>
      <c r="D48" s="12" t="s">
        <v>259</v>
      </c>
      <c r="E48" s="12"/>
      <c r="F48" s="12" t="s">
        <v>260</v>
      </c>
      <c r="G48" s="12" t="s">
        <v>195</v>
      </c>
      <c r="H48" s="12" t="s">
        <v>24</v>
      </c>
      <c r="I48" s="12" t="s">
        <v>92</v>
      </c>
      <c r="J48" s="12" t="s">
        <v>81</v>
      </c>
      <c r="K48" s="12" t="s">
        <v>99</v>
      </c>
      <c r="L48" s="12" t="s">
        <v>100</v>
      </c>
      <c r="M48" s="12" t="s">
        <v>194</v>
      </c>
      <c r="N48" s="12" t="s">
        <v>260</v>
      </c>
      <c r="O48" s="12" t="s">
        <v>194</v>
      </c>
      <c r="P48" s="12" t="s">
        <v>260</v>
      </c>
      <c r="Q48" s="12" t="s">
        <v>261</v>
      </c>
      <c r="R48" s="12" t="s">
        <v>87</v>
      </c>
      <c r="S48" s="12" t="s">
        <v>103</v>
      </c>
      <c r="T48" s="11">
        <v>46181.547129629631</v>
      </c>
    </row>
    <row r="49" spans="1:20" ht="29" hidden="1" x14ac:dyDescent="0.35">
      <c r="A49" s="11">
        <v>46188.556851851848</v>
      </c>
      <c r="B49" s="11">
        <v>46181.338217592587</v>
      </c>
      <c r="C49" s="12" t="s">
        <v>268</v>
      </c>
      <c r="D49" s="12" t="s">
        <v>269</v>
      </c>
      <c r="E49" s="12"/>
      <c r="F49" s="12" t="s">
        <v>260</v>
      </c>
      <c r="G49" s="12" t="s">
        <v>195</v>
      </c>
      <c r="H49" s="12" t="s">
        <v>23</v>
      </c>
      <c r="I49" s="12" t="s">
        <v>80</v>
      </c>
      <c r="J49" s="12" t="s">
        <v>81</v>
      </c>
      <c r="K49" s="12" t="s">
        <v>99</v>
      </c>
      <c r="L49" s="12" t="s">
        <v>100</v>
      </c>
      <c r="M49" s="12" t="s">
        <v>197</v>
      </c>
      <c r="N49" s="12" t="s">
        <v>99</v>
      </c>
      <c r="O49" s="12" t="s">
        <v>197</v>
      </c>
      <c r="P49" s="12" t="s">
        <v>99</v>
      </c>
      <c r="Q49" s="12" t="s">
        <v>270</v>
      </c>
      <c r="R49" s="12" t="s">
        <v>87</v>
      </c>
      <c r="S49" s="12" t="s">
        <v>103</v>
      </c>
      <c r="T49" s="11">
        <v>46181.648101851853</v>
      </c>
    </row>
    <row r="50" spans="1:20" ht="29" hidden="1" x14ac:dyDescent="0.35">
      <c r="A50" s="11">
        <v>46188.556851851848</v>
      </c>
      <c r="B50" s="11">
        <v>46181.338217592587</v>
      </c>
      <c r="C50" s="12" t="s">
        <v>268</v>
      </c>
      <c r="D50" s="12" t="s">
        <v>269</v>
      </c>
      <c r="E50" s="12"/>
      <c r="F50" s="12" t="s">
        <v>260</v>
      </c>
      <c r="G50" s="12" t="s">
        <v>195</v>
      </c>
      <c r="H50" s="12" t="s">
        <v>25</v>
      </c>
      <c r="I50" s="12" t="s">
        <v>262</v>
      </c>
      <c r="J50" s="12" t="s">
        <v>81</v>
      </c>
      <c r="K50" s="12" t="s">
        <v>99</v>
      </c>
      <c r="L50" s="12" t="s">
        <v>100</v>
      </c>
      <c r="M50" s="12" t="s">
        <v>263</v>
      </c>
      <c r="N50" s="12" t="s">
        <v>264</v>
      </c>
      <c r="O50" s="12" t="s">
        <v>263</v>
      </c>
      <c r="P50" s="12" t="s">
        <v>264</v>
      </c>
      <c r="Q50" s="12" t="s">
        <v>270</v>
      </c>
      <c r="R50" s="12" t="s">
        <v>87</v>
      </c>
      <c r="S50" s="12" t="s">
        <v>103</v>
      </c>
      <c r="T50" s="11">
        <v>46181.648101851853</v>
      </c>
    </row>
    <row r="51" spans="1:20" ht="29" hidden="1" x14ac:dyDescent="0.35">
      <c r="A51" s="11">
        <v>46188.556851851848</v>
      </c>
      <c r="B51" s="11">
        <v>46181.338217592587</v>
      </c>
      <c r="C51" s="12" t="s">
        <v>268</v>
      </c>
      <c r="D51" s="12" t="s">
        <v>269</v>
      </c>
      <c r="E51" s="12"/>
      <c r="F51" s="12" t="s">
        <v>260</v>
      </c>
      <c r="G51" s="12" t="s">
        <v>195</v>
      </c>
      <c r="H51" s="12" t="s">
        <v>26</v>
      </c>
      <c r="I51" s="12" t="s">
        <v>265</v>
      </c>
      <c r="J51" s="12" t="s">
        <v>81</v>
      </c>
      <c r="K51" s="12" t="s">
        <v>99</v>
      </c>
      <c r="L51" s="12" t="s">
        <v>100</v>
      </c>
      <c r="M51" s="12" t="s">
        <v>266</v>
      </c>
      <c r="N51" s="12" t="s">
        <v>267</v>
      </c>
      <c r="O51" s="12" t="s">
        <v>266</v>
      </c>
      <c r="P51" s="12" t="s">
        <v>267</v>
      </c>
      <c r="Q51" s="12" t="s">
        <v>270</v>
      </c>
      <c r="R51" s="12" t="s">
        <v>87</v>
      </c>
      <c r="S51" s="12" t="s">
        <v>103</v>
      </c>
      <c r="T51" s="11">
        <v>46181.648101851853</v>
      </c>
    </row>
    <row r="52" spans="1:20" ht="29" hidden="1" x14ac:dyDescent="0.35">
      <c r="A52" s="11">
        <v>46188.556851851848</v>
      </c>
      <c r="B52" s="11">
        <v>46181.338217592587</v>
      </c>
      <c r="C52" s="12" t="s">
        <v>268</v>
      </c>
      <c r="D52" s="12" t="s">
        <v>269</v>
      </c>
      <c r="E52" s="12"/>
      <c r="F52" s="12" t="s">
        <v>260</v>
      </c>
      <c r="G52" s="12" t="s">
        <v>195</v>
      </c>
      <c r="H52" s="12" t="s">
        <v>24</v>
      </c>
      <c r="I52" s="12" t="s">
        <v>92</v>
      </c>
      <c r="J52" s="12" t="s">
        <v>81</v>
      </c>
      <c r="K52" s="12" t="s">
        <v>99</v>
      </c>
      <c r="L52" s="12" t="s">
        <v>100</v>
      </c>
      <c r="M52" s="12" t="s">
        <v>194</v>
      </c>
      <c r="N52" s="12" t="s">
        <v>260</v>
      </c>
      <c r="O52" s="12" t="s">
        <v>194</v>
      </c>
      <c r="P52" s="12" t="s">
        <v>260</v>
      </c>
      <c r="Q52" s="12" t="s">
        <v>270</v>
      </c>
      <c r="R52" s="12" t="s">
        <v>87</v>
      </c>
      <c r="S52" s="12" t="s">
        <v>103</v>
      </c>
      <c r="T52" s="11">
        <v>46181.648101851853</v>
      </c>
    </row>
    <row r="53" spans="1:20" ht="29" hidden="1" x14ac:dyDescent="0.35">
      <c r="A53" s="11">
        <v>46188.556851851848</v>
      </c>
      <c r="B53" s="11">
        <v>46181.338217592587</v>
      </c>
      <c r="C53" s="12" t="s">
        <v>271</v>
      </c>
      <c r="D53" s="12" t="s">
        <v>272</v>
      </c>
      <c r="E53" s="12"/>
      <c r="F53" s="12" t="s">
        <v>260</v>
      </c>
      <c r="G53" s="12" t="s">
        <v>195</v>
      </c>
      <c r="H53" s="12" t="s">
        <v>23</v>
      </c>
      <c r="I53" s="12" t="s">
        <v>80</v>
      </c>
      <c r="J53" s="12" t="s">
        <v>81</v>
      </c>
      <c r="K53" s="12" t="s">
        <v>99</v>
      </c>
      <c r="L53" s="12" t="s">
        <v>100</v>
      </c>
      <c r="M53" s="12" t="s">
        <v>197</v>
      </c>
      <c r="N53" s="12" t="s">
        <v>99</v>
      </c>
      <c r="O53" s="12" t="s">
        <v>197</v>
      </c>
      <c r="P53" s="12" t="s">
        <v>99</v>
      </c>
      <c r="Q53" s="12" t="s">
        <v>273</v>
      </c>
      <c r="R53" s="12" t="s">
        <v>87</v>
      </c>
      <c r="S53" s="12" t="s">
        <v>103</v>
      </c>
      <c r="T53" s="11">
        <v>46182.650821759264</v>
      </c>
    </row>
    <row r="54" spans="1:20" ht="29" hidden="1" x14ac:dyDescent="0.35">
      <c r="A54" s="11">
        <v>46188.556851851848</v>
      </c>
      <c r="B54" s="11">
        <v>46181.338217592587</v>
      </c>
      <c r="C54" s="12" t="s">
        <v>271</v>
      </c>
      <c r="D54" s="12" t="s">
        <v>272</v>
      </c>
      <c r="E54" s="12"/>
      <c r="F54" s="12" t="s">
        <v>260</v>
      </c>
      <c r="G54" s="12" t="s">
        <v>195</v>
      </c>
      <c r="H54" s="12" t="s">
        <v>25</v>
      </c>
      <c r="I54" s="12" t="s">
        <v>262</v>
      </c>
      <c r="J54" s="12" t="s">
        <v>81</v>
      </c>
      <c r="K54" s="12" t="s">
        <v>99</v>
      </c>
      <c r="L54" s="12" t="s">
        <v>100</v>
      </c>
      <c r="M54" s="12" t="s">
        <v>263</v>
      </c>
      <c r="N54" s="12" t="s">
        <v>264</v>
      </c>
      <c r="O54" s="12" t="s">
        <v>263</v>
      </c>
      <c r="P54" s="12" t="s">
        <v>264</v>
      </c>
      <c r="Q54" s="12" t="s">
        <v>273</v>
      </c>
      <c r="R54" s="12" t="s">
        <v>87</v>
      </c>
      <c r="S54" s="12" t="s">
        <v>103</v>
      </c>
      <c r="T54" s="11">
        <v>46182.650821759264</v>
      </c>
    </row>
    <row r="55" spans="1:20" ht="29" hidden="1" x14ac:dyDescent="0.35">
      <c r="A55" s="11">
        <v>46188.556851851848</v>
      </c>
      <c r="B55" s="11">
        <v>46181.338217592587</v>
      </c>
      <c r="C55" s="12" t="s">
        <v>271</v>
      </c>
      <c r="D55" s="12" t="s">
        <v>272</v>
      </c>
      <c r="E55" s="12"/>
      <c r="F55" s="12" t="s">
        <v>260</v>
      </c>
      <c r="G55" s="12" t="s">
        <v>195</v>
      </c>
      <c r="H55" s="12" t="s">
        <v>27</v>
      </c>
      <c r="I55" s="12" t="s">
        <v>206</v>
      </c>
      <c r="J55" s="12" t="s">
        <v>81</v>
      </c>
      <c r="K55" s="12" t="s">
        <v>99</v>
      </c>
      <c r="L55" s="12" t="s">
        <v>100</v>
      </c>
      <c r="M55" s="12" t="s">
        <v>207</v>
      </c>
      <c r="N55" s="12" t="s">
        <v>208</v>
      </c>
      <c r="O55" s="12" t="s">
        <v>207</v>
      </c>
      <c r="P55" s="12" t="s">
        <v>208</v>
      </c>
      <c r="Q55" s="12" t="s">
        <v>273</v>
      </c>
      <c r="R55" s="12" t="s">
        <v>87</v>
      </c>
      <c r="S55" s="12" t="s">
        <v>103</v>
      </c>
      <c r="T55" s="11">
        <v>46182.650821759264</v>
      </c>
    </row>
    <row r="56" spans="1:20" ht="29" hidden="1" x14ac:dyDescent="0.35">
      <c r="A56" s="11">
        <v>46188.556851851848</v>
      </c>
      <c r="B56" s="11">
        <v>46181.338217592587</v>
      </c>
      <c r="C56" s="12" t="s">
        <v>271</v>
      </c>
      <c r="D56" s="12" t="s">
        <v>272</v>
      </c>
      <c r="E56" s="12"/>
      <c r="F56" s="12" t="s">
        <v>260</v>
      </c>
      <c r="G56" s="12" t="s">
        <v>195</v>
      </c>
      <c r="H56" s="12" t="s">
        <v>26</v>
      </c>
      <c r="I56" s="12" t="s">
        <v>265</v>
      </c>
      <c r="J56" s="12" t="s">
        <v>81</v>
      </c>
      <c r="K56" s="12" t="s">
        <v>99</v>
      </c>
      <c r="L56" s="12" t="s">
        <v>100</v>
      </c>
      <c r="M56" s="12" t="s">
        <v>266</v>
      </c>
      <c r="N56" s="12" t="s">
        <v>267</v>
      </c>
      <c r="O56" s="12" t="s">
        <v>266</v>
      </c>
      <c r="P56" s="12" t="s">
        <v>267</v>
      </c>
      <c r="Q56" s="12" t="s">
        <v>273</v>
      </c>
      <c r="R56" s="12" t="s">
        <v>87</v>
      </c>
      <c r="S56" s="12" t="s">
        <v>103</v>
      </c>
      <c r="T56" s="11">
        <v>46182.650821759264</v>
      </c>
    </row>
    <row r="57" spans="1:20" ht="29" hidden="1" x14ac:dyDescent="0.35">
      <c r="A57" s="11">
        <v>46188.556851851848</v>
      </c>
      <c r="B57" s="11">
        <v>46181.338217592587</v>
      </c>
      <c r="C57" s="12" t="s">
        <v>271</v>
      </c>
      <c r="D57" s="12" t="s">
        <v>272</v>
      </c>
      <c r="E57" s="12"/>
      <c r="F57" s="12" t="s">
        <v>260</v>
      </c>
      <c r="G57" s="12" t="s">
        <v>195</v>
      </c>
      <c r="H57" s="12" t="s">
        <v>24</v>
      </c>
      <c r="I57" s="12" t="s">
        <v>92</v>
      </c>
      <c r="J57" s="12" t="s">
        <v>81</v>
      </c>
      <c r="K57" s="12" t="s">
        <v>99</v>
      </c>
      <c r="L57" s="12" t="s">
        <v>100</v>
      </c>
      <c r="M57" s="12" t="s">
        <v>194</v>
      </c>
      <c r="N57" s="12" t="s">
        <v>260</v>
      </c>
      <c r="O57" s="12" t="s">
        <v>194</v>
      </c>
      <c r="P57" s="12" t="s">
        <v>260</v>
      </c>
      <c r="Q57" s="12" t="s">
        <v>273</v>
      </c>
      <c r="R57" s="12" t="s">
        <v>87</v>
      </c>
      <c r="S57" s="12" t="s">
        <v>103</v>
      </c>
      <c r="T57" s="11">
        <v>46182.650821759264</v>
      </c>
    </row>
    <row r="58" spans="1:20" ht="29" hidden="1" x14ac:dyDescent="0.35">
      <c r="A58" s="11">
        <v>46188.556851851848</v>
      </c>
      <c r="B58" s="11">
        <v>46181.338217592587</v>
      </c>
      <c r="C58" s="12" t="s">
        <v>274</v>
      </c>
      <c r="D58" s="12" t="s">
        <v>275</v>
      </c>
      <c r="E58" s="12"/>
      <c r="F58" s="12" t="s">
        <v>260</v>
      </c>
      <c r="G58" s="12" t="s">
        <v>195</v>
      </c>
      <c r="H58" s="12" t="s">
        <v>23</v>
      </c>
      <c r="I58" s="12" t="s">
        <v>80</v>
      </c>
      <c r="J58" s="12" t="s">
        <v>81</v>
      </c>
      <c r="K58" s="12" t="s">
        <v>99</v>
      </c>
      <c r="L58" s="12" t="s">
        <v>100</v>
      </c>
      <c r="M58" s="12" t="s">
        <v>197</v>
      </c>
      <c r="N58" s="12" t="s">
        <v>99</v>
      </c>
      <c r="O58" s="12" t="s">
        <v>197</v>
      </c>
      <c r="P58" s="12" t="s">
        <v>99</v>
      </c>
      <c r="Q58" s="12" t="s">
        <v>276</v>
      </c>
      <c r="R58" s="12" t="s">
        <v>87</v>
      </c>
      <c r="S58" s="12" t="s">
        <v>103</v>
      </c>
      <c r="T58" s="11">
        <v>46185.594050925924</v>
      </c>
    </row>
    <row r="59" spans="1:20" ht="29" hidden="1" x14ac:dyDescent="0.35">
      <c r="A59" s="11">
        <v>46188.556851851848</v>
      </c>
      <c r="B59" s="11">
        <v>46181.338217592587</v>
      </c>
      <c r="C59" s="12" t="s">
        <v>274</v>
      </c>
      <c r="D59" s="12" t="s">
        <v>275</v>
      </c>
      <c r="E59" s="12"/>
      <c r="F59" s="12" t="s">
        <v>260</v>
      </c>
      <c r="G59" s="12" t="s">
        <v>195</v>
      </c>
      <c r="H59" s="12" t="s">
        <v>25</v>
      </c>
      <c r="I59" s="12" t="s">
        <v>262</v>
      </c>
      <c r="J59" s="12" t="s">
        <v>81</v>
      </c>
      <c r="K59" s="12" t="s">
        <v>99</v>
      </c>
      <c r="L59" s="12" t="s">
        <v>100</v>
      </c>
      <c r="M59" s="12" t="s">
        <v>263</v>
      </c>
      <c r="N59" s="12" t="s">
        <v>264</v>
      </c>
      <c r="O59" s="12" t="s">
        <v>263</v>
      </c>
      <c r="P59" s="12" t="s">
        <v>264</v>
      </c>
      <c r="Q59" s="12" t="s">
        <v>276</v>
      </c>
      <c r="R59" s="12" t="s">
        <v>87</v>
      </c>
      <c r="S59" s="12" t="s">
        <v>103</v>
      </c>
      <c r="T59" s="11">
        <v>46185.594050925924</v>
      </c>
    </row>
    <row r="60" spans="1:20" ht="29" hidden="1" x14ac:dyDescent="0.35">
      <c r="A60" s="11">
        <v>46188.556851851848</v>
      </c>
      <c r="B60" s="11">
        <v>46181.338217592587</v>
      </c>
      <c r="C60" s="12" t="s">
        <v>274</v>
      </c>
      <c r="D60" s="12" t="s">
        <v>275</v>
      </c>
      <c r="E60" s="12"/>
      <c r="F60" s="12" t="s">
        <v>260</v>
      </c>
      <c r="G60" s="12" t="s">
        <v>195</v>
      </c>
      <c r="H60" s="12" t="s">
        <v>27</v>
      </c>
      <c r="I60" s="12" t="s">
        <v>206</v>
      </c>
      <c r="J60" s="12" t="s">
        <v>81</v>
      </c>
      <c r="K60" s="12" t="s">
        <v>99</v>
      </c>
      <c r="L60" s="12" t="s">
        <v>100</v>
      </c>
      <c r="M60" s="12" t="s">
        <v>207</v>
      </c>
      <c r="N60" s="12" t="s">
        <v>208</v>
      </c>
      <c r="O60" s="12" t="s">
        <v>207</v>
      </c>
      <c r="P60" s="12" t="s">
        <v>208</v>
      </c>
      <c r="Q60" s="12" t="s">
        <v>276</v>
      </c>
      <c r="R60" s="12" t="s">
        <v>87</v>
      </c>
      <c r="S60" s="12" t="s">
        <v>103</v>
      </c>
      <c r="T60" s="11">
        <v>46185.594050925924</v>
      </c>
    </row>
    <row r="61" spans="1:20" ht="29" hidden="1" x14ac:dyDescent="0.35">
      <c r="A61" s="11">
        <v>46188.556851851848</v>
      </c>
      <c r="B61" s="11">
        <v>46181.338217592587</v>
      </c>
      <c r="C61" s="12" t="s">
        <v>274</v>
      </c>
      <c r="D61" s="12" t="s">
        <v>275</v>
      </c>
      <c r="E61" s="12"/>
      <c r="F61" s="12" t="s">
        <v>260</v>
      </c>
      <c r="G61" s="12" t="s">
        <v>195</v>
      </c>
      <c r="H61" s="12" t="s">
        <v>26</v>
      </c>
      <c r="I61" s="12" t="s">
        <v>265</v>
      </c>
      <c r="J61" s="12" t="s">
        <v>81</v>
      </c>
      <c r="K61" s="12" t="s">
        <v>99</v>
      </c>
      <c r="L61" s="12" t="s">
        <v>100</v>
      </c>
      <c r="M61" s="12" t="s">
        <v>266</v>
      </c>
      <c r="N61" s="12" t="s">
        <v>267</v>
      </c>
      <c r="O61" s="12" t="s">
        <v>266</v>
      </c>
      <c r="P61" s="12" t="s">
        <v>267</v>
      </c>
      <c r="Q61" s="12" t="s">
        <v>276</v>
      </c>
      <c r="R61" s="12" t="s">
        <v>87</v>
      </c>
      <c r="S61" s="12" t="s">
        <v>103</v>
      </c>
      <c r="T61" s="11">
        <v>46185.594050925924</v>
      </c>
    </row>
    <row r="62" spans="1:20" ht="29" hidden="1" x14ac:dyDescent="0.35">
      <c r="A62" s="11">
        <v>46188.556851851848</v>
      </c>
      <c r="B62" s="11">
        <v>46181.338217592587</v>
      </c>
      <c r="C62" s="12" t="s">
        <v>274</v>
      </c>
      <c r="D62" s="12" t="s">
        <v>275</v>
      </c>
      <c r="E62" s="12"/>
      <c r="F62" s="12" t="s">
        <v>260</v>
      </c>
      <c r="G62" s="12" t="s">
        <v>195</v>
      </c>
      <c r="H62" s="12" t="s">
        <v>24</v>
      </c>
      <c r="I62" s="12" t="s">
        <v>92</v>
      </c>
      <c r="J62" s="12" t="s">
        <v>81</v>
      </c>
      <c r="K62" s="12" t="s">
        <v>99</v>
      </c>
      <c r="L62" s="12" t="s">
        <v>100</v>
      </c>
      <c r="M62" s="12" t="s">
        <v>194</v>
      </c>
      <c r="N62" s="12" t="s">
        <v>260</v>
      </c>
      <c r="O62" s="12" t="s">
        <v>194</v>
      </c>
      <c r="P62" s="12" t="s">
        <v>260</v>
      </c>
      <c r="Q62" s="12" t="s">
        <v>276</v>
      </c>
      <c r="R62" s="12" t="s">
        <v>87</v>
      </c>
      <c r="S62" s="12" t="s">
        <v>103</v>
      </c>
      <c r="T62" s="11">
        <v>46185.594050925924</v>
      </c>
    </row>
    <row r="63" spans="1:20" ht="29" hidden="1" x14ac:dyDescent="0.35">
      <c r="A63" s="11">
        <v>46188.556851851848</v>
      </c>
      <c r="B63" s="11">
        <v>46181.338217592587</v>
      </c>
      <c r="C63" s="12" t="s">
        <v>277</v>
      </c>
      <c r="D63" s="12" t="s">
        <v>278</v>
      </c>
      <c r="E63" s="12"/>
      <c r="F63" s="12" t="s">
        <v>260</v>
      </c>
      <c r="G63" s="12" t="s">
        <v>195</v>
      </c>
      <c r="H63" s="12" t="s">
        <v>23</v>
      </c>
      <c r="I63" s="12" t="s">
        <v>80</v>
      </c>
      <c r="J63" s="12" t="s">
        <v>81</v>
      </c>
      <c r="K63" s="12" t="s">
        <v>99</v>
      </c>
      <c r="L63" s="12" t="s">
        <v>100</v>
      </c>
      <c r="M63" s="12" t="s">
        <v>197</v>
      </c>
      <c r="N63" s="12" t="s">
        <v>99</v>
      </c>
      <c r="O63" s="12" t="s">
        <v>197</v>
      </c>
      <c r="P63" s="12" t="s">
        <v>99</v>
      </c>
      <c r="Q63" s="12" t="s">
        <v>279</v>
      </c>
      <c r="R63" s="12" t="s">
        <v>87</v>
      </c>
      <c r="S63" s="12" t="s">
        <v>103</v>
      </c>
      <c r="T63" s="11">
        <v>46185.604259259257</v>
      </c>
    </row>
    <row r="64" spans="1:20" ht="29" hidden="1" x14ac:dyDescent="0.35">
      <c r="A64" s="11">
        <v>46188.556851851848</v>
      </c>
      <c r="B64" s="11">
        <v>46181.338217592587</v>
      </c>
      <c r="C64" s="12" t="s">
        <v>277</v>
      </c>
      <c r="D64" s="12" t="s">
        <v>278</v>
      </c>
      <c r="E64" s="12"/>
      <c r="F64" s="12" t="s">
        <v>260</v>
      </c>
      <c r="G64" s="12" t="s">
        <v>195</v>
      </c>
      <c r="H64" s="12" t="s">
        <v>25</v>
      </c>
      <c r="I64" s="12" t="s">
        <v>262</v>
      </c>
      <c r="J64" s="12" t="s">
        <v>81</v>
      </c>
      <c r="K64" s="12" t="s">
        <v>99</v>
      </c>
      <c r="L64" s="12" t="s">
        <v>100</v>
      </c>
      <c r="M64" s="12" t="s">
        <v>263</v>
      </c>
      <c r="N64" s="12" t="s">
        <v>264</v>
      </c>
      <c r="O64" s="12" t="s">
        <v>263</v>
      </c>
      <c r="P64" s="12" t="s">
        <v>264</v>
      </c>
      <c r="Q64" s="12" t="s">
        <v>279</v>
      </c>
      <c r="R64" s="12" t="s">
        <v>87</v>
      </c>
      <c r="S64" s="12" t="s">
        <v>103</v>
      </c>
      <c r="T64" s="11">
        <v>46185.604259259257</v>
      </c>
    </row>
    <row r="65" spans="1:20" ht="29" hidden="1" x14ac:dyDescent="0.35">
      <c r="A65" s="11">
        <v>46188.556851851848</v>
      </c>
      <c r="B65" s="11">
        <v>46181.338217592587</v>
      </c>
      <c r="C65" s="12" t="s">
        <v>277</v>
      </c>
      <c r="D65" s="12" t="s">
        <v>278</v>
      </c>
      <c r="E65" s="12"/>
      <c r="F65" s="12" t="s">
        <v>260</v>
      </c>
      <c r="G65" s="12" t="s">
        <v>195</v>
      </c>
      <c r="H65" s="12" t="s">
        <v>26</v>
      </c>
      <c r="I65" s="12" t="s">
        <v>265</v>
      </c>
      <c r="J65" s="12" t="s">
        <v>81</v>
      </c>
      <c r="K65" s="12" t="s">
        <v>99</v>
      </c>
      <c r="L65" s="12" t="s">
        <v>100</v>
      </c>
      <c r="M65" s="12" t="s">
        <v>266</v>
      </c>
      <c r="N65" s="12" t="s">
        <v>267</v>
      </c>
      <c r="O65" s="12" t="s">
        <v>266</v>
      </c>
      <c r="P65" s="12" t="s">
        <v>267</v>
      </c>
      <c r="Q65" s="12" t="s">
        <v>279</v>
      </c>
      <c r="R65" s="12" t="s">
        <v>87</v>
      </c>
      <c r="S65" s="12" t="s">
        <v>103</v>
      </c>
      <c r="T65" s="11">
        <v>46185.604259259257</v>
      </c>
    </row>
    <row r="66" spans="1:20" ht="29" hidden="1" x14ac:dyDescent="0.35">
      <c r="A66" s="11">
        <v>46188.556851851848</v>
      </c>
      <c r="B66" s="11">
        <v>46181.338217592587</v>
      </c>
      <c r="C66" s="12" t="s">
        <v>277</v>
      </c>
      <c r="D66" s="12" t="s">
        <v>278</v>
      </c>
      <c r="E66" s="12"/>
      <c r="F66" s="12" t="s">
        <v>260</v>
      </c>
      <c r="G66" s="12" t="s">
        <v>195</v>
      </c>
      <c r="H66" s="12" t="s">
        <v>24</v>
      </c>
      <c r="I66" s="12" t="s">
        <v>92</v>
      </c>
      <c r="J66" s="12" t="s">
        <v>81</v>
      </c>
      <c r="K66" s="12" t="s">
        <v>99</v>
      </c>
      <c r="L66" s="12" t="s">
        <v>100</v>
      </c>
      <c r="M66" s="12" t="s">
        <v>194</v>
      </c>
      <c r="N66" s="12" t="s">
        <v>260</v>
      </c>
      <c r="O66" s="12" t="s">
        <v>194</v>
      </c>
      <c r="P66" s="12" t="s">
        <v>260</v>
      </c>
      <c r="Q66" s="12" t="s">
        <v>279</v>
      </c>
      <c r="R66" s="12" t="s">
        <v>87</v>
      </c>
      <c r="S66" s="12" t="s">
        <v>103</v>
      </c>
      <c r="T66" s="11">
        <v>46185.604259259257</v>
      </c>
    </row>
    <row r="67" spans="1:20" ht="29" hidden="1" x14ac:dyDescent="0.35">
      <c r="A67" s="11">
        <v>46188.556851851848</v>
      </c>
      <c r="B67" s="11">
        <v>46181.338217592587</v>
      </c>
      <c r="C67" s="12" t="s">
        <v>280</v>
      </c>
      <c r="D67" s="12" t="s">
        <v>281</v>
      </c>
      <c r="E67" s="12"/>
      <c r="F67" s="12" t="s">
        <v>260</v>
      </c>
      <c r="G67" s="12" t="s">
        <v>195</v>
      </c>
      <c r="H67" s="12" t="s">
        <v>23</v>
      </c>
      <c r="I67" s="12" t="s">
        <v>80</v>
      </c>
      <c r="J67" s="12" t="s">
        <v>81</v>
      </c>
      <c r="K67" s="12" t="s">
        <v>99</v>
      </c>
      <c r="L67" s="12" t="s">
        <v>100</v>
      </c>
      <c r="M67" s="12" t="s">
        <v>197</v>
      </c>
      <c r="N67" s="12" t="s">
        <v>99</v>
      </c>
      <c r="O67" s="12" t="s">
        <v>197</v>
      </c>
      <c r="P67" s="12" t="s">
        <v>99</v>
      </c>
      <c r="Q67" s="12" t="s">
        <v>282</v>
      </c>
      <c r="R67" s="12" t="s">
        <v>87</v>
      </c>
      <c r="S67" s="12" t="s">
        <v>103</v>
      </c>
      <c r="T67" s="11">
        <v>46188.431388888886</v>
      </c>
    </row>
    <row r="68" spans="1:20" ht="29" hidden="1" x14ac:dyDescent="0.35">
      <c r="A68" s="11">
        <v>46188.556851851848</v>
      </c>
      <c r="B68" s="11">
        <v>46181.338217592587</v>
      </c>
      <c r="C68" s="12" t="s">
        <v>280</v>
      </c>
      <c r="D68" s="12" t="s">
        <v>281</v>
      </c>
      <c r="E68" s="12"/>
      <c r="F68" s="12" t="s">
        <v>260</v>
      </c>
      <c r="G68" s="12" t="s">
        <v>195</v>
      </c>
      <c r="H68" s="12" t="s">
        <v>25</v>
      </c>
      <c r="I68" s="12" t="s">
        <v>262</v>
      </c>
      <c r="J68" s="12" t="s">
        <v>81</v>
      </c>
      <c r="K68" s="12" t="s">
        <v>99</v>
      </c>
      <c r="L68" s="12" t="s">
        <v>100</v>
      </c>
      <c r="M68" s="12" t="s">
        <v>263</v>
      </c>
      <c r="N68" s="12" t="s">
        <v>264</v>
      </c>
      <c r="O68" s="12" t="s">
        <v>263</v>
      </c>
      <c r="P68" s="12" t="s">
        <v>264</v>
      </c>
      <c r="Q68" s="12" t="s">
        <v>282</v>
      </c>
      <c r="R68" s="12" t="s">
        <v>87</v>
      </c>
      <c r="S68" s="12" t="s">
        <v>103</v>
      </c>
      <c r="T68" s="11">
        <v>46188.431388888886</v>
      </c>
    </row>
    <row r="69" spans="1:20" ht="29" hidden="1" x14ac:dyDescent="0.35">
      <c r="A69" s="11">
        <v>46188.556851851848</v>
      </c>
      <c r="B69" s="11">
        <v>46181.338217592587</v>
      </c>
      <c r="C69" s="12" t="s">
        <v>280</v>
      </c>
      <c r="D69" s="12" t="s">
        <v>281</v>
      </c>
      <c r="E69" s="12"/>
      <c r="F69" s="12" t="s">
        <v>260</v>
      </c>
      <c r="G69" s="12" t="s">
        <v>195</v>
      </c>
      <c r="H69" s="12" t="s">
        <v>27</v>
      </c>
      <c r="I69" s="12" t="s">
        <v>206</v>
      </c>
      <c r="J69" s="12" t="s">
        <v>81</v>
      </c>
      <c r="K69" s="12" t="s">
        <v>99</v>
      </c>
      <c r="L69" s="12" t="s">
        <v>100</v>
      </c>
      <c r="M69" s="12" t="s">
        <v>207</v>
      </c>
      <c r="N69" s="12" t="s">
        <v>208</v>
      </c>
      <c r="O69" s="12" t="s">
        <v>207</v>
      </c>
      <c r="P69" s="12" t="s">
        <v>208</v>
      </c>
      <c r="Q69" s="12" t="s">
        <v>282</v>
      </c>
      <c r="R69" s="12" t="s">
        <v>87</v>
      </c>
      <c r="S69" s="12" t="s">
        <v>103</v>
      </c>
      <c r="T69" s="11">
        <v>46188.431388888886</v>
      </c>
    </row>
    <row r="70" spans="1:20" ht="29" hidden="1" x14ac:dyDescent="0.35">
      <c r="A70" s="11">
        <v>46188.556851851848</v>
      </c>
      <c r="B70" s="11">
        <v>46181.338217592587</v>
      </c>
      <c r="C70" s="12" t="s">
        <v>280</v>
      </c>
      <c r="D70" s="12" t="s">
        <v>281</v>
      </c>
      <c r="E70" s="12"/>
      <c r="F70" s="12" t="s">
        <v>260</v>
      </c>
      <c r="G70" s="12" t="s">
        <v>195</v>
      </c>
      <c r="H70" s="12" t="s">
        <v>26</v>
      </c>
      <c r="I70" s="12" t="s">
        <v>265</v>
      </c>
      <c r="J70" s="12" t="s">
        <v>81</v>
      </c>
      <c r="K70" s="12" t="s">
        <v>99</v>
      </c>
      <c r="L70" s="12" t="s">
        <v>100</v>
      </c>
      <c r="M70" s="12" t="s">
        <v>266</v>
      </c>
      <c r="N70" s="12" t="s">
        <v>267</v>
      </c>
      <c r="O70" s="12" t="s">
        <v>266</v>
      </c>
      <c r="P70" s="12" t="s">
        <v>267</v>
      </c>
      <c r="Q70" s="12" t="s">
        <v>282</v>
      </c>
      <c r="R70" s="12" t="s">
        <v>87</v>
      </c>
      <c r="S70" s="12" t="s">
        <v>103</v>
      </c>
      <c r="T70" s="11">
        <v>46188.431388888886</v>
      </c>
    </row>
    <row r="71" spans="1:20" ht="29" hidden="1" x14ac:dyDescent="0.35">
      <c r="A71" s="11">
        <v>46188.556851851848</v>
      </c>
      <c r="B71" s="11">
        <v>46181.338217592587</v>
      </c>
      <c r="C71" s="12" t="s">
        <v>280</v>
      </c>
      <c r="D71" s="12" t="s">
        <v>281</v>
      </c>
      <c r="E71" s="12"/>
      <c r="F71" s="12" t="s">
        <v>260</v>
      </c>
      <c r="G71" s="12" t="s">
        <v>195</v>
      </c>
      <c r="H71" s="12" t="s">
        <v>24</v>
      </c>
      <c r="I71" s="12" t="s">
        <v>92</v>
      </c>
      <c r="J71" s="12" t="s">
        <v>81</v>
      </c>
      <c r="K71" s="12" t="s">
        <v>99</v>
      </c>
      <c r="L71" s="12" t="s">
        <v>100</v>
      </c>
      <c r="M71" s="12" t="s">
        <v>194</v>
      </c>
      <c r="N71" s="12" t="s">
        <v>260</v>
      </c>
      <c r="O71" s="12" t="s">
        <v>194</v>
      </c>
      <c r="P71" s="12" t="s">
        <v>260</v>
      </c>
      <c r="Q71" s="12" t="s">
        <v>282</v>
      </c>
      <c r="R71" s="12" t="s">
        <v>87</v>
      </c>
      <c r="S71" s="12" t="s">
        <v>103</v>
      </c>
      <c r="T71" s="11">
        <v>46188.431388888886</v>
      </c>
    </row>
    <row r="72" spans="1:20" ht="29" hidden="1" x14ac:dyDescent="0.35">
      <c r="A72" s="11">
        <v>46188.556851851848</v>
      </c>
      <c r="B72" s="11">
        <v>46181.338217592587</v>
      </c>
      <c r="C72" s="12" t="s">
        <v>283</v>
      </c>
      <c r="D72" s="12" t="s">
        <v>284</v>
      </c>
      <c r="E72" s="12"/>
      <c r="F72" s="12" t="s">
        <v>260</v>
      </c>
      <c r="G72" s="12" t="s">
        <v>195</v>
      </c>
      <c r="H72" s="12" t="s">
        <v>23</v>
      </c>
      <c r="I72" s="12" t="s">
        <v>80</v>
      </c>
      <c r="J72" s="12" t="s">
        <v>81</v>
      </c>
      <c r="K72" s="12" t="s">
        <v>99</v>
      </c>
      <c r="L72" s="12" t="s">
        <v>100</v>
      </c>
      <c r="M72" s="12" t="s">
        <v>197</v>
      </c>
      <c r="N72" s="12" t="s">
        <v>99</v>
      </c>
      <c r="O72" s="12" t="s">
        <v>197</v>
      </c>
      <c r="P72" s="12" t="s">
        <v>99</v>
      </c>
      <c r="Q72" s="12" t="s">
        <v>285</v>
      </c>
      <c r="R72" s="12" t="s">
        <v>87</v>
      </c>
      <c r="S72" s="12" t="s">
        <v>103</v>
      </c>
      <c r="T72" s="11">
        <v>46184.544432870367</v>
      </c>
    </row>
    <row r="73" spans="1:20" ht="29" hidden="1" x14ac:dyDescent="0.35">
      <c r="A73" s="11">
        <v>46188.556851851848</v>
      </c>
      <c r="B73" s="11">
        <v>46181.338217592587</v>
      </c>
      <c r="C73" s="12" t="s">
        <v>283</v>
      </c>
      <c r="D73" s="12" t="s">
        <v>284</v>
      </c>
      <c r="E73" s="12"/>
      <c r="F73" s="12" t="s">
        <v>260</v>
      </c>
      <c r="G73" s="12" t="s">
        <v>195</v>
      </c>
      <c r="H73" s="12" t="s">
        <v>25</v>
      </c>
      <c r="I73" s="12" t="s">
        <v>262</v>
      </c>
      <c r="J73" s="12" t="s">
        <v>81</v>
      </c>
      <c r="K73" s="12" t="s">
        <v>99</v>
      </c>
      <c r="L73" s="12" t="s">
        <v>100</v>
      </c>
      <c r="M73" s="12" t="s">
        <v>263</v>
      </c>
      <c r="N73" s="12" t="s">
        <v>264</v>
      </c>
      <c r="O73" s="12" t="s">
        <v>263</v>
      </c>
      <c r="P73" s="12" t="s">
        <v>264</v>
      </c>
      <c r="Q73" s="12" t="s">
        <v>285</v>
      </c>
      <c r="R73" s="12" t="s">
        <v>87</v>
      </c>
      <c r="S73" s="12" t="s">
        <v>103</v>
      </c>
      <c r="T73" s="11">
        <v>46184.544432870367</v>
      </c>
    </row>
    <row r="74" spans="1:20" ht="29" hidden="1" x14ac:dyDescent="0.35">
      <c r="A74" s="11">
        <v>46188.556851851848</v>
      </c>
      <c r="B74" s="11">
        <v>46181.338217592587</v>
      </c>
      <c r="C74" s="12" t="s">
        <v>283</v>
      </c>
      <c r="D74" s="12" t="s">
        <v>284</v>
      </c>
      <c r="E74" s="12"/>
      <c r="F74" s="12" t="s">
        <v>260</v>
      </c>
      <c r="G74" s="12" t="s">
        <v>195</v>
      </c>
      <c r="H74" s="12" t="s">
        <v>26</v>
      </c>
      <c r="I74" s="12" t="s">
        <v>265</v>
      </c>
      <c r="J74" s="12" t="s">
        <v>81</v>
      </c>
      <c r="K74" s="12" t="s">
        <v>99</v>
      </c>
      <c r="L74" s="12" t="s">
        <v>100</v>
      </c>
      <c r="M74" s="12" t="s">
        <v>266</v>
      </c>
      <c r="N74" s="12" t="s">
        <v>267</v>
      </c>
      <c r="O74" s="12" t="s">
        <v>266</v>
      </c>
      <c r="P74" s="12" t="s">
        <v>267</v>
      </c>
      <c r="Q74" s="12" t="s">
        <v>285</v>
      </c>
      <c r="R74" s="12" t="s">
        <v>87</v>
      </c>
      <c r="S74" s="12" t="s">
        <v>103</v>
      </c>
      <c r="T74" s="11">
        <v>46184.544432870367</v>
      </c>
    </row>
    <row r="75" spans="1:20" ht="29" hidden="1" x14ac:dyDescent="0.35">
      <c r="A75" s="11">
        <v>46188.556851851848</v>
      </c>
      <c r="B75" s="11">
        <v>46181.338217592587</v>
      </c>
      <c r="C75" s="12" t="s">
        <v>283</v>
      </c>
      <c r="D75" s="12" t="s">
        <v>284</v>
      </c>
      <c r="E75" s="12"/>
      <c r="F75" s="12" t="s">
        <v>260</v>
      </c>
      <c r="G75" s="12" t="s">
        <v>195</v>
      </c>
      <c r="H75" s="12" t="s">
        <v>24</v>
      </c>
      <c r="I75" s="12" t="s">
        <v>92</v>
      </c>
      <c r="J75" s="12" t="s">
        <v>81</v>
      </c>
      <c r="K75" s="12" t="s">
        <v>99</v>
      </c>
      <c r="L75" s="12" t="s">
        <v>100</v>
      </c>
      <c r="M75" s="12" t="s">
        <v>194</v>
      </c>
      <c r="N75" s="12" t="s">
        <v>260</v>
      </c>
      <c r="O75" s="12" t="s">
        <v>194</v>
      </c>
      <c r="P75" s="12" t="s">
        <v>260</v>
      </c>
      <c r="Q75" s="12" t="s">
        <v>285</v>
      </c>
      <c r="R75" s="12" t="s">
        <v>87</v>
      </c>
      <c r="S75" s="12" t="s">
        <v>103</v>
      </c>
      <c r="T75" s="11">
        <v>46184.544432870367</v>
      </c>
    </row>
    <row r="76" spans="1:20" ht="29" hidden="1" x14ac:dyDescent="0.35">
      <c r="A76" s="11">
        <v>46188.556851851848</v>
      </c>
      <c r="B76" s="11">
        <v>46181.338217592587</v>
      </c>
      <c r="C76" s="12" t="s">
        <v>286</v>
      </c>
      <c r="D76" s="12" t="s">
        <v>287</v>
      </c>
      <c r="E76" s="12"/>
      <c r="F76" s="12" t="s">
        <v>260</v>
      </c>
      <c r="G76" s="12" t="s">
        <v>195</v>
      </c>
      <c r="H76" s="12" t="s">
        <v>23</v>
      </c>
      <c r="I76" s="12" t="s">
        <v>80</v>
      </c>
      <c r="J76" s="12" t="s">
        <v>81</v>
      </c>
      <c r="K76" s="12" t="s">
        <v>99</v>
      </c>
      <c r="L76" s="12" t="s">
        <v>100</v>
      </c>
      <c r="M76" s="12" t="s">
        <v>197</v>
      </c>
      <c r="N76" s="12" t="s">
        <v>99</v>
      </c>
      <c r="O76" s="12" t="s">
        <v>197</v>
      </c>
      <c r="P76" s="12" t="s">
        <v>99</v>
      </c>
      <c r="Q76" s="12" t="s">
        <v>288</v>
      </c>
      <c r="R76" s="12" t="s">
        <v>87</v>
      </c>
      <c r="S76" s="12" t="s">
        <v>103</v>
      </c>
      <c r="T76" s="11">
        <v>46183.606168981481</v>
      </c>
    </row>
    <row r="77" spans="1:20" ht="29" hidden="1" x14ac:dyDescent="0.35">
      <c r="A77" s="11">
        <v>46188.556851851848</v>
      </c>
      <c r="B77" s="11">
        <v>46181.338217592587</v>
      </c>
      <c r="C77" s="12" t="s">
        <v>286</v>
      </c>
      <c r="D77" s="12" t="s">
        <v>287</v>
      </c>
      <c r="E77" s="12"/>
      <c r="F77" s="12" t="s">
        <v>260</v>
      </c>
      <c r="G77" s="12" t="s">
        <v>195</v>
      </c>
      <c r="H77" s="12" t="s">
        <v>25</v>
      </c>
      <c r="I77" s="12" t="s">
        <v>262</v>
      </c>
      <c r="J77" s="12" t="s">
        <v>81</v>
      </c>
      <c r="K77" s="12" t="s">
        <v>99</v>
      </c>
      <c r="L77" s="12" t="s">
        <v>100</v>
      </c>
      <c r="M77" s="12" t="s">
        <v>263</v>
      </c>
      <c r="N77" s="12" t="s">
        <v>264</v>
      </c>
      <c r="O77" s="12" t="s">
        <v>263</v>
      </c>
      <c r="P77" s="12" t="s">
        <v>264</v>
      </c>
      <c r="Q77" s="12" t="s">
        <v>288</v>
      </c>
      <c r="R77" s="12" t="s">
        <v>87</v>
      </c>
      <c r="S77" s="12" t="s">
        <v>103</v>
      </c>
      <c r="T77" s="11">
        <v>46183.606168981481</v>
      </c>
    </row>
    <row r="78" spans="1:20" ht="29" hidden="1" x14ac:dyDescent="0.35">
      <c r="A78" s="11">
        <v>46188.556851851848</v>
      </c>
      <c r="B78" s="11">
        <v>46181.338217592587</v>
      </c>
      <c r="C78" s="12" t="s">
        <v>286</v>
      </c>
      <c r="D78" s="12" t="s">
        <v>287</v>
      </c>
      <c r="E78" s="12"/>
      <c r="F78" s="12" t="s">
        <v>260</v>
      </c>
      <c r="G78" s="12" t="s">
        <v>195</v>
      </c>
      <c r="H78" s="12" t="s">
        <v>27</v>
      </c>
      <c r="I78" s="12" t="s">
        <v>206</v>
      </c>
      <c r="J78" s="12" t="s">
        <v>81</v>
      </c>
      <c r="K78" s="12" t="s">
        <v>99</v>
      </c>
      <c r="L78" s="12" t="s">
        <v>100</v>
      </c>
      <c r="M78" s="12" t="s">
        <v>207</v>
      </c>
      <c r="N78" s="12" t="s">
        <v>208</v>
      </c>
      <c r="O78" s="12" t="s">
        <v>207</v>
      </c>
      <c r="P78" s="12" t="s">
        <v>208</v>
      </c>
      <c r="Q78" s="12" t="s">
        <v>288</v>
      </c>
      <c r="R78" s="12" t="s">
        <v>87</v>
      </c>
      <c r="S78" s="12" t="s">
        <v>103</v>
      </c>
      <c r="T78" s="11">
        <v>46183.606168981481</v>
      </c>
    </row>
    <row r="79" spans="1:20" ht="29" hidden="1" x14ac:dyDescent="0.35">
      <c r="A79" s="11">
        <v>46188.556851851848</v>
      </c>
      <c r="B79" s="11">
        <v>46181.338217592587</v>
      </c>
      <c r="C79" s="12" t="s">
        <v>286</v>
      </c>
      <c r="D79" s="12" t="s">
        <v>287</v>
      </c>
      <c r="E79" s="12"/>
      <c r="F79" s="12" t="s">
        <v>260</v>
      </c>
      <c r="G79" s="12" t="s">
        <v>195</v>
      </c>
      <c r="H79" s="12" t="s">
        <v>26</v>
      </c>
      <c r="I79" s="12" t="s">
        <v>265</v>
      </c>
      <c r="J79" s="12" t="s">
        <v>81</v>
      </c>
      <c r="K79" s="12" t="s">
        <v>99</v>
      </c>
      <c r="L79" s="12" t="s">
        <v>100</v>
      </c>
      <c r="M79" s="12" t="s">
        <v>266</v>
      </c>
      <c r="N79" s="12" t="s">
        <v>267</v>
      </c>
      <c r="O79" s="12" t="s">
        <v>266</v>
      </c>
      <c r="P79" s="12" t="s">
        <v>267</v>
      </c>
      <c r="Q79" s="12" t="s">
        <v>288</v>
      </c>
      <c r="R79" s="12" t="s">
        <v>87</v>
      </c>
      <c r="S79" s="12" t="s">
        <v>103</v>
      </c>
      <c r="T79" s="11">
        <v>46183.606168981481</v>
      </c>
    </row>
    <row r="80" spans="1:20" ht="29" hidden="1" x14ac:dyDescent="0.35">
      <c r="A80" s="11">
        <v>46188.556851851848</v>
      </c>
      <c r="B80" s="11">
        <v>46181.338217592587</v>
      </c>
      <c r="C80" s="12" t="s">
        <v>286</v>
      </c>
      <c r="D80" s="12" t="s">
        <v>287</v>
      </c>
      <c r="E80" s="12"/>
      <c r="F80" s="12" t="s">
        <v>260</v>
      </c>
      <c r="G80" s="12" t="s">
        <v>195</v>
      </c>
      <c r="H80" s="12" t="s">
        <v>24</v>
      </c>
      <c r="I80" s="12" t="s">
        <v>92</v>
      </c>
      <c r="J80" s="12" t="s">
        <v>81</v>
      </c>
      <c r="K80" s="12" t="s">
        <v>99</v>
      </c>
      <c r="L80" s="12" t="s">
        <v>100</v>
      </c>
      <c r="M80" s="12" t="s">
        <v>194</v>
      </c>
      <c r="N80" s="12" t="s">
        <v>260</v>
      </c>
      <c r="O80" s="12" t="s">
        <v>194</v>
      </c>
      <c r="P80" s="12" t="s">
        <v>260</v>
      </c>
      <c r="Q80" s="12" t="s">
        <v>288</v>
      </c>
      <c r="R80" s="12" t="s">
        <v>87</v>
      </c>
      <c r="S80" s="12" t="s">
        <v>103</v>
      </c>
      <c r="T80" s="11">
        <v>46183.606168981481</v>
      </c>
    </row>
    <row r="81" spans="1:20" ht="29" hidden="1" x14ac:dyDescent="0.35">
      <c r="A81" s="11">
        <v>46188.556851851848</v>
      </c>
      <c r="B81" s="11">
        <v>46181.338217592587</v>
      </c>
      <c r="C81" s="12" t="s">
        <v>289</v>
      </c>
      <c r="D81" s="12" t="s">
        <v>290</v>
      </c>
      <c r="E81" s="12"/>
      <c r="F81" s="12" t="s">
        <v>260</v>
      </c>
      <c r="G81" s="12" t="s">
        <v>195</v>
      </c>
      <c r="H81" s="12" t="s">
        <v>23</v>
      </c>
      <c r="I81" s="12" t="s">
        <v>80</v>
      </c>
      <c r="J81" s="12" t="s">
        <v>81</v>
      </c>
      <c r="K81" s="12" t="s">
        <v>99</v>
      </c>
      <c r="L81" s="12" t="s">
        <v>100</v>
      </c>
      <c r="M81" s="12" t="s">
        <v>197</v>
      </c>
      <c r="N81" s="12" t="s">
        <v>99</v>
      </c>
      <c r="O81" s="12" t="s">
        <v>197</v>
      </c>
      <c r="P81" s="12" t="s">
        <v>99</v>
      </c>
      <c r="Q81" s="12" t="s">
        <v>291</v>
      </c>
      <c r="R81" s="12" t="s">
        <v>87</v>
      </c>
      <c r="S81" s="12" t="s">
        <v>103</v>
      </c>
      <c r="T81" s="11">
        <v>46184.613645833328</v>
      </c>
    </row>
    <row r="82" spans="1:20" ht="29" hidden="1" x14ac:dyDescent="0.35">
      <c r="A82" s="11">
        <v>46188.556851851848</v>
      </c>
      <c r="B82" s="11">
        <v>46181.338217592587</v>
      </c>
      <c r="C82" s="12" t="s">
        <v>289</v>
      </c>
      <c r="D82" s="12" t="s">
        <v>290</v>
      </c>
      <c r="E82" s="12"/>
      <c r="F82" s="12" t="s">
        <v>260</v>
      </c>
      <c r="G82" s="12" t="s">
        <v>195</v>
      </c>
      <c r="H82" s="12" t="s">
        <v>25</v>
      </c>
      <c r="I82" s="12" t="s">
        <v>262</v>
      </c>
      <c r="J82" s="12" t="s">
        <v>81</v>
      </c>
      <c r="K82" s="12" t="s">
        <v>99</v>
      </c>
      <c r="L82" s="12" t="s">
        <v>100</v>
      </c>
      <c r="M82" s="12" t="s">
        <v>263</v>
      </c>
      <c r="N82" s="12" t="s">
        <v>264</v>
      </c>
      <c r="O82" s="12" t="s">
        <v>263</v>
      </c>
      <c r="P82" s="12" t="s">
        <v>264</v>
      </c>
      <c r="Q82" s="12" t="s">
        <v>291</v>
      </c>
      <c r="R82" s="12" t="s">
        <v>87</v>
      </c>
      <c r="S82" s="12" t="s">
        <v>103</v>
      </c>
      <c r="T82" s="11">
        <v>46184.613645833328</v>
      </c>
    </row>
    <row r="83" spans="1:20" ht="29" hidden="1" x14ac:dyDescent="0.35">
      <c r="A83" s="11">
        <v>46188.556851851848</v>
      </c>
      <c r="B83" s="11">
        <v>46181.338217592587</v>
      </c>
      <c r="C83" s="12" t="s">
        <v>289</v>
      </c>
      <c r="D83" s="12" t="s">
        <v>290</v>
      </c>
      <c r="E83" s="12"/>
      <c r="F83" s="12" t="s">
        <v>260</v>
      </c>
      <c r="G83" s="12" t="s">
        <v>195</v>
      </c>
      <c r="H83" s="12" t="s">
        <v>27</v>
      </c>
      <c r="I83" s="12" t="s">
        <v>206</v>
      </c>
      <c r="J83" s="12" t="s">
        <v>81</v>
      </c>
      <c r="K83" s="12" t="s">
        <v>99</v>
      </c>
      <c r="L83" s="12" t="s">
        <v>100</v>
      </c>
      <c r="M83" s="12" t="s">
        <v>207</v>
      </c>
      <c r="N83" s="12" t="s">
        <v>208</v>
      </c>
      <c r="O83" s="12" t="s">
        <v>207</v>
      </c>
      <c r="P83" s="12" t="s">
        <v>208</v>
      </c>
      <c r="Q83" s="12" t="s">
        <v>291</v>
      </c>
      <c r="R83" s="12" t="s">
        <v>87</v>
      </c>
      <c r="S83" s="12" t="s">
        <v>103</v>
      </c>
      <c r="T83" s="11">
        <v>46184.613645833328</v>
      </c>
    </row>
    <row r="84" spans="1:20" ht="29" hidden="1" x14ac:dyDescent="0.35">
      <c r="A84" s="11">
        <v>46188.556851851848</v>
      </c>
      <c r="B84" s="11">
        <v>46181.338217592587</v>
      </c>
      <c r="C84" s="12" t="s">
        <v>289</v>
      </c>
      <c r="D84" s="12" t="s">
        <v>290</v>
      </c>
      <c r="E84" s="12"/>
      <c r="F84" s="12" t="s">
        <v>260</v>
      </c>
      <c r="G84" s="12" t="s">
        <v>195</v>
      </c>
      <c r="H84" s="12" t="s">
        <v>26</v>
      </c>
      <c r="I84" s="12" t="s">
        <v>265</v>
      </c>
      <c r="J84" s="12" t="s">
        <v>81</v>
      </c>
      <c r="K84" s="12" t="s">
        <v>99</v>
      </c>
      <c r="L84" s="12" t="s">
        <v>100</v>
      </c>
      <c r="M84" s="12" t="s">
        <v>266</v>
      </c>
      <c r="N84" s="12" t="s">
        <v>267</v>
      </c>
      <c r="O84" s="12" t="s">
        <v>266</v>
      </c>
      <c r="P84" s="12" t="s">
        <v>267</v>
      </c>
      <c r="Q84" s="12" t="s">
        <v>291</v>
      </c>
      <c r="R84" s="12" t="s">
        <v>87</v>
      </c>
      <c r="S84" s="12" t="s">
        <v>103</v>
      </c>
      <c r="T84" s="11">
        <v>46184.613645833328</v>
      </c>
    </row>
    <row r="85" spans="1:20" ht="29" hidden="1" x14ac:dyDescent="0.35">
      <c r="A85" s="11">
        <v>46188.556851851848</v>
      </c>
      <c r="B85" s="11">
        <v>46181.338217592587</v>
      </c>
      <c r="C85" s="12" t="s">
        <v>289</v>
      </c>
      <c r="D85" s="12" t="s">
        <v>290</v>
      </c>
      <c r="E85" s="12"/>
      <c r="F85" s="12" t="s">
        <v>260</v>
      </c>
      <c r="G85" s="12" t="s">
        <v>195</v>
      </c>
      <c r="H85" s="12" t="s">
        <v>24</v>
      </c>
      <c r="I85" s="12" t="s">
        <v>92</v>
      </c>
      <c r="J85" s="12" t="s">
        <v>81</v>
      </c>
      <c r="K85" s="12" t="s">
        <v>99</v>
      </c>
      <c r="L85" s="12" t="s">
        <v>100</v>
      </c>
      <c r="M85" s="12" t="s">
        <v>194</v>
      </c>
      <c r="N85" s="12" t="s">
        <v>260</v>
      </c>
      <c r="O85" s="12" t="s">
        <v>194</v>
      </c>
      <c r="P85" s="12" t="s">
        <v>260</v>
      </c>
      <c r="Q85" s="12" t="s">
        <v>291</v>
      </c>
      <c r="R85" s="12" t="s">
        <v>87</v>
      </c>
      <c r="S85" s="12" t="s">
        <v>103</v>
      </c>
      <c r="T85" s="11">
        <v>46184.613645833328</v>
      </c>
    </row>
    <row r="86" spans="1:20" ht="29" hidden="1" x14ac:dyDescent="0.35">
      <c r="A86" s="11">
        <v>46188.556851851848</v>
      </c>
      <c r="B86" s="11">
        <v>46181.338217592587</v>
      </c>
      <c r="C86" s="12" t="s">
        <v>292</v>
      </c>
      <c r="D86" s="12" t="s">
        <v>293</v>
      </c>
      <c r="E86" s="12"/>
      <c r="F86" s="12" t="s">
        <v>260</v>
      </c>
      <c r="G86" s="12" t="s">
        <v>195</v>
      </c>
      <c r="H86" s="12" t="s">
        <v>23</v>
      </c>
      <c r="I86" s="12" t="s">
        <v>80</v>
      </c>
      <c r="J86" s="12" t="s">
        <v>81</v>
      </c>
      <c r="K86" s="12" t="s">
        <v>99</v>
      </c>
      <c r="L86" s="12" t="s">
        <v>100</v>
      </c>
      <c r="M86" s="12" t="s">
        <v>197</v>
      </c>
      <c r="N86" s="12" t="s">
        <v>99</v>
      </c>
      <c r="O86" s="12" t="s">
        <v>197</v>
      </c>
      <c r="P86" s="12" t="s">
        <v>99</v>
      </c>
      <c r="Q86" s="12" t="s">
        <v>294</v>
      </c>
      <c r="R86" s="12" t="s">
        <v>87</v>
      </c>
      <c r="S86" s="12" t="s">
        <v>103</v>
      </c>
      <c r="T86" s="11">
        <v>46183.559074074074</v>
      </c>
    </row>
    <row r="87" spans="1:20" ht="29" hidden="1" x14ac:dyDescent="0.35">
      <c r="A87" s="11">
        <v>46188.556851851848</v>
      </c>
      <c r="B87" s="11">
        <v>46181.338217592587</v>
      </c>
      <c r="C87" s="12" t="s">
        <v>292</v>
      </c>
      <c r="D87" s="12" t="s">
        <v>293</v>
      </c>
      <c r="E87" s="12"/>
      <c r="F87" s="12" t="s">
        <v>260</v>
      </c>
      <c r="G87" s="12" t="s">
        <v>195</v>
      </c>
      <c r="H87" s="12" t="s">
        <v>25</v>
      </c>
      <c r="I87" s="12" t="s">
        <v>262</v>
      </c>
      <c r="J87" s="12" t="s">
        <v>81</v>
      </c>
      <c r="K87" s="12" t="s">
        <v>99</v>
      </c>
      <c r="L87" s="12" t="s">
        <v>100</v>
      </c>
      <c r="M87" s="12" t="s">
        <v>263</v>
      </c>
      <c r="N87" s="12" t="s">
        <v>264</v>
      </c>
      <c r="O87" s="12" t="s">
        <v>263</v>
      </c>
      <c r="P87" s="12" t="s">
        <v>264</v>
      </c>
      <c r="Q87" s="12" t="s">
        <v>294</v>
      </c>
      <c r="R87" s="12" t="s">
        <v>87</v>
      </c>
      <c r="S87" s="12" t="s">
        <v>103</v>
      </c>
      <c r="T87" s="11">
        <v>46183.559074074074</v>
      </c>
    </row>
    <row r="88" spans="1:20" ht="29" hidden="1" x14ac:dyDescent="0.35">
      <c r="A88" s="11">
        <v>46188.556851851848</v>
      </c>
      <c r="B88" s="11">
        <v>46181.338217592587</v>
      </c>
      <c r="C88" s="12" t="s">
        <v>292</v>
      </c>
      <c r="D88" s="12" t="s">
        <v>293</v>
      </c>
      <c r="E88" s="12"/>
      <c r="F88" s="12" t="s">
        <v>260</v>
      </c>
      <c r="G88" s="12" t="s">
        <v>195</v>
      </c>
      <c r="H88" s="12" t="s">
        <v>26</v>
      </c>
      <c r="I88" s="12" t="s">
        <v>265</v>
      </c>
      <c r="J88" s="12" t="s">
        <v>81</v>
      </c>
      <c r="K88" s="12" t="s">
        <v>99</v>
      </c>
      <c r="L88" s="12" t="s">
        <v>100</v>
      </c>
      <c r="M88" s="12" t="s">
        <v>266</v>
      </c>
      <c r="N88" s="12" t="s">
        <v>267</v>
      </c>
      <c r="O88" s="12" t="s">
        <v>266</v>
      </c>
      <c r="P88" s="12" t="s">
        <v>267</v>
      </c>
      <c r="Q88" s="12" t="s">
        <v>294</v>
      </c>
      <c r="R88" s="12" t="s">
        <v>87</v>
      </c>
      <c r="S88" s="12" t="s">
        <v>103</v>
      </c>
      <c r="T88" s="11">
        <v>46183.559074074074</v>
      </c>
    </row>
    <row r="89" spans="1:20" ht="29" hidden="1" x14ac:dyDescent="0.35">
      <c r="A89" s="11">
        <v>46188.556851851848</v>
      </c>
      <c r="B89" s="11">
        <v>46181.338217592587</v>
      </c>
      <c r="C89" s="12" t="s">
        <v>292</v>
      </c>
      <c r="D89" s="12" t="s">
        <v>293</v>
      </c>
      <c r="E89" s="12"/>
      <c r="F89" s="12" t="s">
        <v>260</v>
      </c>
      <c r="G89" s="12" t="s">
        <v>195</v>
      </c>
      <c r="H89" s="12" t="s">
        <v>24</v>
      </c>
      <c r="I89" s="12" t="s">
        <v>92</v>
      </c>
      <c r="J89" s="12" t="s">
        <v>81</v>
      </c>
      <c r="K89" s="12" t="s">
        <v>99</v>
      </c>
      <c r="L89" s="12" t="s">
        <v>100</v>
      </c>
      <c r="M89" s="12" t="s">
        <v>194</v>
      </c>
      <c r="N89" s="12" t="s">
        <v>260</v>
      </c>
      <c r="O89" s="12" t="s">
        <v>194</v>
      </c>
      <c r="P89" s="12" t="s">
        <v>260</v>
      </c>
      <c r="Q89" s="12" t="s">
        <v>294</v>
      </c>
      <c r="R89" s="12" t="s">
        <v>87</v>
      </c>
      <c r="S89" s="12" t="s">
        <v>103</v>
      </c>
      <c r="T89" s="11">
        <v>46183.559074074074</v>
      </c>
    </row>
    <row r="90" spans="1:20" ht="29" hidden="1" x14ac:dyDescent="0.35">
      <c r="A90" s="11">
        <v>46188.556851851848</v>
      </c>
      <c r="B90" s="11">
        <v>46181.338217592587</v>
      </c>
      <c r="C90" s="12" t="s">
        <v>295</v>
      </c>
      <c r="D90" s="12" t="s">
        <v>296</v>
      </c>
      <c r="E90" s="12"/>
      <c r="F90" s="12" t="s">
        <v>260</v>
      </c>
      <c r="G90" s="12" t="s">
        <v>195</v>
      </c>
      <c r="H90" s="12" t="s">
        <v>23</v>
      </c>
      <c r="I90" s="12" t="s">
        <v>80</v>
      </c>
      <c r="J90" s="12" t="s">
        <v>81</v>
      </c>
      <c r="K90" s="12" t="s">
        <v>99</v>
      </c>
      <c r="L90" s="12" t="s">
        <v>100</v>
      </c>
      <c r="M90" s="12" t="s">
        <v>197</v>
      </c>
      <c r="N90" s="12" t="s">
        <v>99</v>
      </c>
      <c r="O90" s="12" t="s">
        <v>197</v>
      </c>
      <c r="P90" s="12" t="s">
        <v>99</v>
      </c>
      <c r="Q90" s="12" t="s">
        <v>297</v>
      </c>
      <c r="R90" s="12" t="s">
        <v>87</v>
      </c>
      <c r="S90" s="12" t="s">
        <v>103</v>
      </c>
      <c r="T90" s="11">
        <v>46183.393506944441</v>
      </c>
    </row>
    <row r="91" spans="1:20" ht="29" hidden="1" x14ac:dyDescent="0.35">
      <c r="A91" s="11">
        <v>46188.556851851848</v>
      </c>
      <c r="B91" s="11">
        <v>46181.338217592587</v>
      </c>
      <c r="C91" s="12" t="s">
        <v>295</v>
      </c>
      <c r="D91" s="12" t="s">
        <v>296</v>
      </c>
      <c r="E91" s="12"/>
      <c r="F91" s="12" t="s">
        <v>260</v>
      </c>
      <c r="G91" s="12" t="s">
        <v>195</v>
      </c>
      <c r="H91" s="12" t="s">
        <v>25</v>
      </c>
      <c r="I91" s="12" t="s">
        <v>262</v>
      </c>
      <c r="J91" s="12" t="s">
        <v>81</v>
      </c>
      <c r="K91" s="12" t="s">
        <v>99</v>
      </c>
      <c r="L91" s="12" t="s">
        <v>100</v>
      </c>
      <c r="M91" s="12" t="s">
        <v>263</v>
      </c>
      <c r="N91" s="12" t="s">
        <v>264</v>
      </c>
      <c r="O91" s="12" t="s">
        <v>263</v>
      </c>
      <c r="P91" s="12" t="s">
        <v>264</v>
      </c>
      <c r="Q91" s="12" t="s">
        <v>297</v>
      </c>
      <c r="R91" s="12" t="s">
        <v>87</v>
      </c>
      <c r="S91" s="12" t="s">
        <v>103</v>
      </c>
      <c r="T91" s="11">
        <v>46183.393506944441</v>
      </c>
    </row>
    <row r="92" spans="1:20" ht="29" hidden="1" x14ac:dyDescent="0.35">
      <c r="A92" s="11">
        <v>46188.556851851848</v>
      </c>
      <c r="B92" s="11">
        <v>46181.338217592587</v>
      </c>
      <c r="C92" s="12" t="s">
        <v>295</v>
      </c>
      <c r="D92" s="12" t="s">
        <v>296</v>
      </c>
      <c r="E92" s="12"/>
      <c r="F92" s="12" t="s">
        <v>260</v>
      </c>
      <c r="G92" s="12" t="s">
        <v>195</v>
      </c>
      <c r="H92" s="12" t="s">
        <v>27</v>
      </c>
      <c r="I92" s="12" t="s">
        <v>206</v>
      </c>
      <c r="J92" s="12" t="s">
        <v>81</v>
      </c>
      <c r="K92" s="12" t="s">
        <v>99</v>
      </c>
      <c r="L92" s="12" t="s">
        <v>100</v>
      </c>
      <c r="M92" s="12" t="s">
        <v>207</v>
      </c>
      <c r="N92" s="12" t="s">
        <v>208</v>
      </c>
      <c r="O92" s="12" t="s">
        <v>207</v>
      </c>
      <c r="P92" s="12" t="s">
        <v>208</v>
      </c>
      <c r="Q92" s="12" t="s">
        <v>297</v>
      </c>
      <c r="R92" s="12" t="s">
        <v>87</v>
      </c>
      <c r="S92" s="12" t="s">
        <v>103</v>
      </c>
      <c r="T92" s="11">
        <v>46183.393506944441</v>
      </c>
    </row>
    <row r="93" spans="1:20" ht="29" hidden="1" x14ac:dyDescent="0.35">
      <c r="A93" s="11">
        <v>46188.556851851848</v>
      </c>
      <c r="B93" s="11">
        <v>46181.338217592587</v>
      </c>
      <c r="C93" s="12" t="s">
        <v>295</v>
      </c>
      <c r="D93" s="12" t="s">
        <v>296</v>
      </c>
      <c r="E93" s="12"/>
      <c r="F93" s="12" t="s">
        <v>260</v>
      </c>
      <c r="G93" s="12" t="s">
        <v>195</v>
      </c>
      <c r="H93" s="12" t="s">
        <v>26</v>
      </c>
      <c r="I93" s="12" t="s">
        <v>265</v>
      </c>
      <c r="J93" s="12" t="s">
        <v>81</v>
      </c>
      <c r="K93" s="12" t="s">
        <v>99</v>
      </c>
      <c r="L93" s="12" t="s">
        <v>100</v>
      </c>
      <c r="M93" s="12" t="s">
        <v>266</v>
      </c>
      <c r="N93" s="12" t="s">
        <v>267</v>
      </c>
      <c r="O93" s="12" t="s">
        <v>266</v>
      </c>
      <c r="P93" s="12" t="s">
        <v>267</v>
      </c>
      <c r="Q93" s="12" t="s">
        <v>297</v>
      </c>
      <c r="R93" s="12" t="s">
        <v>87</v>
      </c>
      <c r="S93" s="12" t="s">
        <v>103</v>
      </c>
      <c r="T93" s="11">
        <v>46183.393506944441</v>
      </c>
    </row>
    <row r="94" spans="1:20" ht="29" hidden="1" x14ac:dyDescent="0.35">
      <c r="A94" s="11">
        <v>46188.556851851848</v>
      </c>
      <c r="B94" s="11">
        <v>46181.338217592587</v>
      </c>
      <c r="C94" s="12" t="s">
        <v>295</v>
      </c>
      <c r="D94" s="12" t="s">
        <v>296</v>
      </c>
      <c r="E94" s="12"/>
      <c r="F94" s="12" t="s">
        <v>260</v>
      </c>
      <c r="G94" s="12" t="s">
        <v>195</v>
      </c>
      <c r="H94" s="12" t="s">
        <v>24</v>
      </c>
      <c r="I94" s="12" t="s">
        <v>92</v>
      </c>
      <c r="J94" s="12" t="s">
        <v>81</v>
      </c>
      <c r="K94" s="12" t="s">
        <v>99</v>
      </c>
      <c r="L94" s="12" t="s">
        <v>100</v>
      </c>
      <c r="M94" s="12" t="s">
        <v>194</v>
      </c>
      <c r="N94" s="12" t="s">
        <v>260</v>
      </c>
      <c r="O94" s="12" t="s">
        <v>194</v>
      </c>
      <c r="P94" s="12" t="s">
        <v>260</v>
      </c>
      <c r="Q94" s="12" t="s">
        <v>297</v>
      </c>
      <c r="R94" s="12" t="s">
        <v>87</v>
      </c>
      <c r="S94" s="12" t="s">
        <v>103</v>
      </c>
      <c r="T94" s="11">
        <v>46183.393506944441</v>
      </c>
    </row>
    <row r="95" spans="1:20" ht="29" hidden="1" x14ac:dyDescent="0.35">
      <c r="A95" s="11">
        <v>46188.556851851848</v>
      </c>
      <c r="B95" s="11">
        <v>46181.338217592587</v>
      </c>
      <c r="C95" s="12" t="s">
        <v>298</v>
      </c>
      <c r="D95" s="12" t="s">
        <v>299</v>
      </c>
      <c r="E95" s="12"/>
      <c r="F95" s="12" t="s">
        <v>260</v>
      </c>
      <c r="G95" s="12" t="s">
        <v>195</v>
      </c>
      <c r="H95" s="12" t="s">
        <v>23</v>
      </c>
      <c r="I95" s="12" t="s">
        <v>80</v>
      </c>
      <c r="J95" s="12" t="s">
        <v>81</v>
      </c>
      <c r="K95" s="12" t="s">
        <v>99</v>
      </c>
      <c r="L95" s="12" t="s">
        <v>100</v>
      </c>
      <c r="M95" s="12" t="s">
        <v>197</v>
      </c>
      <c r="N95" s="12" t="s">
        <v>99</v>
      </c>
      <c r="O95" s="12" t="s">
        <v>197</v>
      </c>
      <c r="P95" s="12" t="s">
        <v>99</v>
      </c>
      <c r="Q95" s="12" t="s">
        <v>300</v>
      </c>
      <c r="R95" s="12" t="s">
        <v>87</v>
      </c>
      <c r="S95" s="12" t="s">
        <v>103</v>
      </c>
      <c r="T95" s="11">
        <v>46188.383553240739</v>
      </c>
    </row>
    <row r="96" spans="1:20" ht="29" hidden="1" x14ac:dyDescent="0.35">
      <c r="A96" s="11">
        <v>46188.556851851848</v>
      </c>
      <c r="B96" s="11">
        <v>46181.338217592587</v>
      </c>
      <c r="C96" s="12" t="s">
        <v>298</v>
      </c>
      <c r="D96" s="12" t="s">
        <v>299</v>
      </c>
      <c r="E96" s="12"/>
      <c r="F96" s="12" t="s">
        <v>260</v>
      </c>
      <c r="G96" s="12" t="s">
        <v>195</v>
      </c>
      <c r="H96" s="12" t="s">
        <v>25</v>
      </c>
      <c r="I96" s="12" t="s">
        <v>262</v>
      </c>
      <c r="J96" s="12" t="s">
        <v>81</v>
      </c>
      <c r="K96" s="12" t="s">
        <v>99</v>
      </c>
      <c r="L96" s="12" t="s">
        <v>100</v>
      </c>
      <c r="M96" s="12" t="s">
        <v>263</v>
      </c>
      <c r="N96" s="12" t="s">
        <v>264</v>
      </c>
      <c r="O96" s="12" t="s">
        <v>263</v>
      </c>
      <c r="P96" s="12" t="s">
        <v>264</v>
      </c>
      <c r="Q96" s="12" t="s">
        <v>300</v>
      </c>
      <c r="R96" s="12" t="s">
        <v>87</v>
      </c>
      <c r="S96" s="12" t="s">
        <v>103</v>
      </c>
      <c r="T96" s="11">
        <v>46188.383553240739</v>
      </c>
    </row>
    <row r="97" spans="1:20" ht="29" hidden="1" x14ac:dyDescent="0.35">
      <c r="A97" s="11">
        <v>46188.556851851848</v>
      </c>
      <c r="B97" s="11">
        <v>46181.338217592587</v>
      </c>
      <c r="C97" s="12" t="s">
        <v>298</v>
      </c>
      <c r="D97" s="12" t="s">
        <v>299</v>
      </c>
      <c r="E97" s="12"/>
      <c r="F97" s="12" t="s">
        <v>260</v>
      </c>
      <c r="G97" s="12" t="s">
        <v>195</v>
      </c>
      <c r="H97" s="12" t="s">
        <v>26</v>
      </c>
      <c r="I97" s="12" t="s">
        <v>265</v>
      </c>
      <c r="J97" s="12" t="s">
        <v>81</v>
      </c>
      <c r="K97" s="12" t="s">
        <v>99</v>
      </c>
      <c r="L97" s="12" t="s">
        <v>100</v>
      </c>
      <c r="M97" s="12" t="s">
        <v>266</v>
      </c>
      <c r="N97" s="12" t="s">
        <v>267</v>
      </c>
      <c r="O97" s="12" t="s">
        <v>266</v>
      </c>
      <c r="P97" s="12" t="s">
        <v>267</v>
      </c>
      <c r="Q97" s="12" t="s">
        <v>300</v>
      </c>
      <c r="R97" s="12" t="s">
        <v>87</v>
      </c>
      <c r="S97" s="12" t="s">
        <v>103</v>
      </c>
      <c r="T97" s="11">
        <v>46188.383553240739</v>
      </c>
    </row>
    <row r="98" spans="1:20" ht="29" hidden="1" x14ac:dyDescent="0.35">
      <c r="A98" s="11">
        <v>46188.556851851848</v>
      </c>
      <c r="B98" s="11">
        <v>46181.338217592587</v>
      </c>
      <c r="C98" s="12" t="s">
        <v>298</v>
      </c>
      <c r="D98" s="12" t="s">
        <v>299</v>
      </c>
      <c r="E98" s="12"/>
      <c r="F98" s="12" t="s">
        <v>260</v>
      </c>
      <c r="G98" s="12" t="s">
        <v>195</v>
      </c>
      <c r="H98" s="12" t="s">
        <v>24</v>
      </c>
      <c r="I98" s="12" t="s">
        <v>92</v>
      </c>
      <c r="J98" s="12" t="s">
        <v>81</v>
      </c>
      <c r="K98" s="12" t="s">
        <v>99</v>
      </c>
      <c r="L98" s="12" t="s">
        <v>100</v>
      </c>
      <c r="M98" s="12" t="s">
        <v>194</v>
      </c>
      <c r="N98" s="12" t="s">
        <v>260</v>
      </c>
      <c r="O98" s="12" t="s">
        <v>194</v>
      </c>
      <c r="P98" s="12" t="s">
        <v>260</v>
      </c>
      <c r="Q98" s="12" t="s">
        <v>300</v>
      </c>
      <c r="R98" s="12" t="s">
        <v>87</v>
      </c>
      <c r="S98" s="12" t="s">
        <v>103</v>
      </c>
      <c r="T98" s="11">
        <v>46188.383553240739</v>
      </c>
    </row>
    <row r="99" spans="1:20" ht="29" hidden="1" x14ac:dyDescent="0.35">
      <c r="A99" s="11">
        <v>46188.556851851848</v>
      </c>
      <c r="B99" s="11">
        <v>46181.338217592587</v>
      </c>
      <c r="C99" s="12" t="s">
        <v>301</v>
      </c>
      <c r="D99" s="12" t="s">
        <v>302</v>
      </c>
      <c r="E99" s="12" t="s">
        <v>303</v>
      </c>
      <c r="F99" s="12" t="s">
        <v>304</v>
      </c>
      <c r="G99" s="12" t="s">
        <v>305</v>
      </c>
      <c r="H99" s="12" t="s">
        <v>22</v>
      </c>
      <c r="I99" s="12" t="s">
        <v>306</v>
      </c>
      <c r="J99" s="12" t="s">
        <v>81</v>
      </c>
      <c r="K99" s="12" t="s">
        <v>307</v>
      </c>
      <c r="L99" s="12" t="s">
        <v>100</v>
      </c>
      <c r="M99" s="12" t="s">
        <v>308</v>
      </c>
      <c r="N99" s="12" t="s">
        <v>303</v>
      </c>
      <c r="O99" s="12" t="s">
        <v>308</v>
      </c>
      <c r="P99" s="12" t="s">
        <v>303</v>
      </c>
      <c r="Q99" s="12" t="s">
        <v>309</v>
      </c>
      <c r="R99" s="12" t="s">
        <v>87</v>
      </c>
      <c r="S99" s="12" t="s">
        <v>103</v>
      </c>
      <c r="T99" s="11">
        <v>46182.384837962964</v>
      </c>
    </row>
    <row r="100" spans="1:20" ht="29" hidden="1" x14ac:dyDescent="0.35">
      <c r="A100" s="11">
        <v>46188.556851851848</v>
      </c>
      <c r="B100" s="11">
        <v>46181.338217592587</v>
      </c>
      <c r="C100" s="12" t="s">
        <v>301</v>
      </c>
      <c r="D100" s="12" t="s">
        <v>302</v>
      </c>
      <c r="E100" s="12" t="s">
        <v>303</v>
      </c>
      <c r="F100" s="12" t="s">
        <v>304</v>
      </c>
      <c r="G100" s="12" t="s">
        <v>305</v>
      </c>
      <c r="H100" s="12" t="s">
        <v>24</v>
      </c>
      <c r="I100" s="12" t="s">
        <v>92</v>
      </c>
      <c r="J100" s="12" t="s">
        <v>81</v>
      </c>
      <c r="K100" s="12" t="s">
        <v>307</v>
      </c>
      <c r="L100" s="12" t="s">
        <v>100</v>
      </c>
      <c r="M100" s="12" t="s">
        <v>310</v>
      </c>
      <c r="N100" s="12" t="s">
        <v>304</v>
      </c>
      <c r="O100" s="12" t="s">
        <v>310</v>
      </c>
      <c r="P100" s="12" t="s">
        <v>304</v>
      </c>
      <c r="Q100" s="12" t="s">
        <v>309</v>
      </c>
      <c r="R100" s="12" t="s">
        <v>87</v>
      </c>
      <c r="S100" s="12" t="s">
        <v>103</v>
      </c>
      <c r="T100" s="11">
        <v>46182.384837962964</v>
      </c>
    </row>
    <row r="101" spans="1:20" ht="29" hidden="1" x14ac:dyDescent="0.35">
      <c r="A101" s="11">
        <v>46188.556851851848</v>
      </c>
      <c r="B101" s="11">
        <v>46181.338217592587</v>
      </c>
      <c r="C101" s="12" t="s">
        <v>311</v>
      </c>
      <c r="D101" s="12" t="s">
        <v>312</v>
      </c>
      <c r="E101" s="12" t="s">
        <v>313</v>
      </c>
      <c r="F101" s="12" t="s">
        <v>93</v>
      </c>
      <c r="G101" s="12" t="s">
        <v>314</v>
      </c>
      <c r="H101" s="12" t="s">
        <v>22</v>
      </c>
      <c r="I101" s="12" t="s">
        <v>306</v>
      </c>
      <c r="J101" s="12" t="s">
        <v>81</v>
      </c>
      <c r="K101" s="12" t="s">
        <v>315</v>
      </c>
      <c r="L101" s="12" t="s">
        <v>83</v>
      </c>
      <c r="M101" s="12" t="s">
        <v>316</v>
      </c>
      <c r="N101" s="12" t="s">
        <v>313</v>
      </c>
      <c r="O101" s="12" t="s">
        <v>316</v>
      </c>
      <c r="P101" s="12" t="s">
        <v>313</v>
      </c>
      <c r="Q101" s="12" t="s">
        <v>317</v>
      </c>
      <c r="R101" s="12" t="s">
        <v>87</v>
      </c>
      <c r="S101" s="12" t="s">
        <v>103</v>
      </c>
      <c r="T101" s="11">
        <v>46182.374085648153</v>
      </c>
    </row>
    <row r="102" spans="1:20" ht="29" hidden="1" x14ac:dyDescent="0.35">
      <c r="A102" s="11">
        <v>46188.556851851848</v>
      </c>
      <c r="B102" s="11">
        <v>46181.338217592587</v>
      </c>
      <c r="C102" s="12" t="s">
        <v>318</v>
      </c>
      <c r="D102" s="12" t="s">
        <v>319</v>
      </c>
      <c r="E102" s="12" t="s">
        <v>313</v>
      </c>
      <c r="F102" s="12" t="s">
        <v>93</v>
      </c>
      <c r="G102" s="12" t="s">
        <v>79</v>
      </c>
      <c r="H102" s="12" t="s">
        <v>22</v>
      </c>
      <c r="I102" s="12" t="s">
        <v>306</v>
      </c>
      <c r="J102" s="12" t="s">
        <v>81</v>
      </c>
      <c r="K102" s="12" t="s">
        <v>84</v>
      </c>
      <c r="L102" s="12" t="s">
        <v>100</v>
      </c>
      <c r="M102" s="12" t="s">
        <v>316</v>
      </c>
      <c r="N102" s="12" t="s">
        <v>313</v>
      </c>
      <c r="O102" s="12" t="s">
        <v>316</v>
      </c>
      <c r="P102" s="12" t="s">
        <v>313</v>
      </c>
      <c r="Q102" s="12" t="s">
        <v>320</v>
      </c>
      <c r="R102" s="12" t="s">
        <v>87</v>
      </c>
      <c r="S102" s="12" t="s">
        <v>103</v>
      </c>
      <c r="T102" s="11">
        <v>46182.374097222222</v>
      </c>
    </row>
    <row r="103" spans="1:20" ht="29" hidden="1" x14ac:dyDescent="0.35">
      <c r="A103" s="11">
        <v>46188.556851851848</v>
      </c>
      <c r="B103" s="11">
        <v>46181.338217592587</v>
      </c>
      <c r="C103" s="12" t="s">
        <v>321</v>
      </c>
      <c r="D103" s="12" t="s">
        <v>322</v>
      </c>
      <c r="E103" s="12" t="s">
        <v>323</v>
      </c>
      <c r="F103" s="12" t="s">
        <v>96</v>
      </c>
      <c r="G103" s="12" t="s">
        <v>79</v>
      </c>
      <c r="H103" s="12" t="s">
        <v>22</v>
      </c>
      <c r="I103" s="12" t="s">
        <v>306</v>
      </c>
      <c r="J103" s="12" t="s">
        <v>81</v>
      </c>
      <c r="K103" s="12" t="s">
        <v>307</v>
      </c>
      <c r="L103" s="12" t="s">
        <v>324</v>
      </c>
      <c r="M103" s="12" t="s">
        <v>316</v>
      </c>
      <c r="N103" s="12" t="s">
        <v>323</v>
      </c>
      <c r="O103" s="12" t="s">
        <v>316</v>
      </c>
      <c r="P103" s="12" t="s">
        <v>323</v>
      </c>
      <c r="Q103" s="12" t="s">
        <v>325</v>
      </c>
      <c r="R103" s="12" t="s">
        <v>87</v>
      </c>
      <c r="S103" s="12" t="s">
        <v>103</v>
      </c>
      <c r="T103" s="11">
        <v>46182.372395833343</v>
      </c>
    </row>
    <row r="104" spans="1:20" ht="29" hidden="1" x14ac:dyDescent="0.35">
      <c r="A104" s="11">
        <v>46188.556851851848</v>
      </c>
      <c r="B104" s="11">
        <v>46181.338217592587</v>
      </c>
      <c r="C104" s="12" t="s">
        <v>326</v>
      </c>
      <c r="D104" s="12" t="s">
        <v>327</v>
      </c>
      <c r="E104" s="12" t="s">
        <v>328</v>
      </c>
      <c r="F104" s="12" t="s">
        <v>329</v>
      </c>
      <c r="G104" s="12" t="s">
        <v>79</v>
      </c>
      <c r="H104" s="12" t="s">
        <v>21</v>
      </c>
      <c r="I104" s="12" t="s">
        <v>196</v>
      </c>
      <c r="J104" s="12" t="s">
        <v>81</v>
      </c>
      <c r="K104" s="12" t="s">
        <v>99</v>
      </c>
      <c r="L104" s="12" t="s">
        <v>324</v>
      </c>
      <c r="M104" s="12" t="s">
        <v>330</v>
      </c>
      <c r="N104" s="12"/>
      <c r="O104" s="12" t="s">
        <v>330</v>
      </c>
      <c r="P104" s="12"/>
      <c r="Q104" s="12" t="s">
        <v>331</v>
      </c>
      <c r="R104" s="12" t="s">
        <v>87</v>
      </c>
      <c r="S104" s="12" t="s">
        <v>103</v>
      </c>
      <c r="T104" s="12"/>
    </row>
    <row r="105" spans="1:20" ht="29" hidden="1" x14ac:dyDescent="0.35">
      <c r="A105" s="11">
        <v>46188.556851851848</v>
      </c>
      <c r="B105" s="11">
        <v>46181.338217592587</v>
      </c>
      <c r="C105" s="12" t="s">
        <v>332</v>
      </c>
      <c r="D105" s="12" t="s">
        <v>333</v>
      </c>
      <c r="E105" s="12" t="s">
        <v>334</v>
      </c>
      <c r="F105" s="12" t="s">
        <v>93</v>
      </c>
      <c r="G105" s="12" t="s">
        <v>79</v>
      </c>
      <c r="H105" s="12" t="s">
        <v>22</v>
      </c>
      <c r="I105" s="12" t="s">
        <v>306</v>
      </c>
      <c r="J105" s="12" t="s">
        <v>81</v>
      </c>
      <c r="K105" s="12" t="s">
        <v>197</v>
      </c>
      <c r="L105" s="12" t="s">
        <v>324</v>
      </c>
      <c r="M105" s="12" t="s">
        <v>328</v>
      </c>
      <c r="N105" s="12" t="s">
        <v>334</v>
      </c>
      <c r="O105" s="12" t="s">
        <v>328</v>
      </c>
      <c r="P105" s="12" t="s">
        <v>334</v>
      </c>
      <c r="Q105" s="12" t="s">
        <v>335</v>
      </c>
      <c r="R105" s="12" t="s">
        <v>87</v>
      </c>
      <c r="S105" s="12" t="s">
        <v>103</v>
      </c>
      <c r="T105" s="11">
        <v>46182.374120370368</v>
      </c>
    </row>
    <row r="106" spans="1:20" ht="29" hidden="1" x14ac:dyDescent="0.35">
      <c r="A106" s="11">
        <v>46188.556851851848</v>
      </c>
      <c r="B106" s="11">
        <v>46181.338217592587</v>
      </c>
      <c r="C106" s="12" t="s">
        <v>336</v>
      </c>
      <c r="D106" s="12" t="s">
        <v>337</v>
      </c>
      <c r="E106" s="12" t="s">
        <v>334</v>
      </c>
      <c r="F106" s="12" t="s">
        <v>338</v>
      </c>
      <c r="G106" s="12" t="s">
        <v>314</v>
      </c>
      <c r="H106" s="12" t="s">
        <v>22</v>
      </c>
      <c r="I106" s="12" t="s">
        <v>306</v>
      </c>
      <c r="J106" s="12" t="s">
        <v>81</v>
      </c>
      <c r="K106" s="12" t="s">
        <v>307</v>
      </c>
      <c r="L106" s="12" t="s">
        <v>83</v>
      </c>
      <c r="M106" s="12" t="s">
        <v>328</v>
      </c>
      <c r="N106" s="12" t="s">
        <v>334</v>
      </c>
      <c r="O106" s="12" t="s">
        <v>328</v>
      </c>
      <c r="P106" s="12" t="s">
        <v>334</v>
      </c>
      <c r="Q106" s="12" t="s">
        <v>339</v>
      </c>
      <c r="R106" s="12" t="s">
        <v>87</v>
      </c>
      <c r="S106" s="12" t="s">
        <v>103</v>
      </c>
      <c r="T106" s="11">
        <v>46182.374108796299</v>
      </c>
    </row>
    <row r="107" spans="1:20" ht="29" hidden="1" x14ac:dyDescent="0.35">
      <c r="A107" s="11">
        <v>46188.556851851848</v>
      </c>
      <c r="B107" s="11">
        <v>46181.338217592587</v>
      </c>
      <c r="C107" s="12" t="s">
        <v>340</v>
      </c>
      <c r="D107" s="12" t="s">
        <v>341</v>
      </c>
      <c r="E107" s="12" t="s">
        <v>334</v>
      </c>
      <c r="F107" s="12" t="s">
        <v>342</v>
      </c>
      <c r="G107" s="12" t="s">
        <v>228</v>
      </c>
      <c r="H107" s="12" t="s">
        <v>22</v>
      </c>
      <c r="I107" s="12" t="s">
        <v>306</v>
      </c>
      <c r="J107" s="12" t="s">
        <v>81</v>
      </c>
      <c r="K107" s="12" t="s">
        <v>343</v>
      </c>
      <c r="L107" s="12" t="s">
        <v>100</v>
      </c>
      <c r="M107" s="12" t="s">
        <v>328</v>
      </c>
      <c r="N107" s="12" t="s">
        <v>334</v>
      </c>
      <c r="O107" s="12" t="s">
        <v>328</v>
      </c>
      <c r="P107" s="12" t="s">
        <v>334</v>
      </c>
      <c r="Q107" s="12" t="s">
        <v>344</v>
      </c>
      <c r="R107" s="12" t="s">
        <v>87</v>
      </c>
      <c r="S107" s="12" t="s">
        <v>103</v>
      </c>
      <c r="T107" s="11">
        <v>46182.374097222222</v>
      </c>
    </row>
    <row r="108" spans="1:20" ht="29" hidden="1" x14ac:dyDescent="0.35">
      <c r="A108" s="11">
        <v>46188.556851851848</v>
      </c>
      <c r="B108" s="11">
        <v>46181.338217592587</v>
      </c>
      <c r="C108" s="12" t="s">
        <v>345</v>
      </c>
      <c r="D108" s="12" t="s">
        <v>346</v>
      </c>
      <c r="E108" s="12" t="s">
        <v>347</v>
      </c>
      <c r="F108" s="12" t="s">
        <v>348</v>
      </c>
      <c r="G108" s="12" t="s">
        <v>79</v>
      </c>
      <c r="H108" s="12" t="s">
        <v>22</v>
      </c>
      <c r="I108" s="12" t="s">
        <v>306</v>
      </c>
      <c r="J108" s="12" t="s">
        <v>81</v>
      </c>
      <c r="K108" s="12" t="s">
        <v>349</v>
      </c>
      <c r="L108" s="12" t="s">
        <v>324</v>
      </c>
      <c r="M108" s="12" t="s">
        <v>328</v>
      </c>
      <c r="N108" s="12" t="s">
        <v>347</v>
      </c>
      <c r="O108" s="12" t="s">
        <v>328</v>
      </c>
      <c r="P108" s="12" t="s">
        <v>347</v>
      </c>
      <c r="Q108" s="12" t="s">
        <v>350</v>
      </c>
      <c r="R108" s="12" t="s">
        <v>87</v>
      </c>
      <c r="S108" s="12" t="s">
        <v>103</v>
      </c>
      <c r="T108" s="11">
        <v>46182.37090277778</v>
      </c>
    </row>
    <row r="109" spans="1:20" ht="29" hidden="1" x14ac:dyDescent="0.35">
      <c r="A109" s="11">
        <v>46188.556851851848</v>
      </c>
      <c r="B109" s="11">
        <v>46181.338217592587</v>
      </c>
      <c r="C109" s="12" t="s">
        <v>351</v>
      </c>
      <c r="D109" s="12" t="s">
        <v>352</v>
      </c>
      <c r="E109" s="12" t="s">
        <v>347</v>
      </c>
      <c r="F109" s="12" t="s">
        <v>310</v>
      </c>
      <c r="G109" s="12" t="s">
        <v>305</v>
      </c>
      <c r="H109" s="12" t="s">
        <v>21</v>
      </c>
      <c r="I109" s="12" t="s">
        <v>196</v>
      </c>
      <c r="J109" s="12" t="s">
        <v>81</v>
      </c>
      <c r="K109" s="12" t="s">
        <v>99</v>
      </c>
      <c r="L109" s="12" t="s">
        <v>100</v>
      </c>
      <c r="M109" s="12" t="s">
        <v>353</v>
      </c>
      <c r="N109" s="12"/>
      <c r="O109" s="12" t="s">
        <v>353</v>
      </c>
      <c r="P109" s="12"/>
      <c r="Q109" s="12" t="s">
        <v>354</v>
      </c>
      <c r="R109" s="12" t="s">
        <v>87</v>
      </c>
      <c r="S109" s="12" t="s">
        <v>103</v>
      </c>
      <c r="T109" s="12"/>
    </row>
    <row r="110" spans="1:20" ht="29" hidden="1" x14ac:dyDescent="0.35">
      <c r="A110" s="11">
        <v>46188.556851851848</v>
      </c>
      <c r="B110" s="11">
        <v>46181.338217592587</v>
      </c>
      <c r="C110" s="12" t="s">
        <v>355</v>
      </c>
      <c r="D110" s="12" t="s">
        <v>356</v>
      </c>
      <c r="E110" s="12" t="s">
        <v>347</v>
      </c>
      <c r="F110" s="12" t="s">
        <v>310</v>
      </c>
      <c r="G110" s="12" t="s">
        <v>305</v>
      </c>
      <c r="H110" s="12" t="s">
        <v>21</v>
      </c>
      <c r="I110" s="12" t="s">
        <v>196</v>
      </c>
      <c r="J110" s="12" t="s">
        <v>81</v>
      </c>
      <c r="K110" s="12" t="s">
        <v>99</v>
      </c>
      <c r="L110" s="12" t="s">
        <v>100</v>
      </c>
      <c r="M110" s="12" t="s">
        <v>357</v>
      </c>
      <c r="N110" s="12"/>
      <c r="O110" s="12" t="s">
        <v>357</v>
      </c>
      <c r="P110" s="12"/>
      <c r="Q110" s="12" t="s">
        <v>358</v>
      </c>
      <c r="R110" s="12" t="s">
        <v>87</v>
      </c>
      <c r="S110" s="12" t="s">
        <v>103</v>
      </c>
      <c r="T110" s="12"/>
    </row>
    <row r="111" spans="1:20" ht="29" hidden="1" x14ac:dyDescent="0.35">
      <c r="A111" s="11">
        <v>46188.556851851848</v>
      </c>
      <c r="B111" s="11">
        <v>46181.338217592587</v>
      </c>
      <c r="C111" s="12" t="s">
        <v>359</v>
      </c>
      <c r="D111" s="12" t="s">
        <v>360</v>
      </c>
      <c r="E111" s="12" t="s">
        <v>347</v>
      </c>
      <c r="F111" s="12" t="s">
        <v>310</v>
      </c>
      <c r="G111" s="12" t="s">
        <v>305</v>
      </c>
      <c r="H111" s="12" t="s">
        <v>21</v>
      </c>
      <c r="I111" s="12" t="s">
        <v>196</v>
      </c>
      <c r="J111" s="12" t="s">
        <v>81</v>
      </c>
      <c r="K111" s="12" t="s">
        <v>99</v>
      </c>
      <c r="L111" s="12" t="s">
        <v>100</v>
      </c>
      <c r="M111" s="12" t="s">
        <v>361</v>
      </c>
      <c r="N111" s="12"/>
      <c r="O111" s="12" t="s">
        <v>361</v>
      </c>
      <c r="P111" s="12"/>
      <c r="Q111" s="12" t="s">
        <v>362</v>
      </c>
      <c r="R111" s="12" t="s">
        <v>87</v>
      </c>
      <c r="S111" s="12" t="s">
        <v>103</v>
      </c>
      <c r="T111" s="12"/>
    </row>
    <row r="112" spans="1:20" ht="29" hidden="1" x14ac:dyDescent="0.35">
      <c r="A112" s="11">
        <v>46188.556851851848</v>
      </c>
      <c r="B112" s="11">
        <v>46181.338217592587</v>
      </c>
      <c r="C112" s="12" t="s">
        <v>363</v>
      </c>
      <c r="D112" s="12" t="s">
        <v>364</v>
      </c>
      <c r="E112" s="12" t="s">
        <v>347</v>
      </c>
      <c r="F112" s="12" t="s">
        <v>310</v>
      </c>
      <c r="G112" s="12" t="s">
        <v>305</v>
      </c>
      <c r="H112" s="12" t="s">
        <v>28</v>
      </c>
      <c r="I112" s="12" t="s">
        <v>365</v>
      </c>
      <c r="J112" s="12" t="s">
        <v>81</v>
      </c>
      <c r="K112" s="12" t="s">
        <v>110</v>
      </c>
      <c r="L112" s="12" t="s">
        <v>100</v>
      </c>
      <c r="M112" s="12" t="s">
        <v>208</v>
      </c>
      <c r="N112" s="12" t="s">
        <v>215</v>
      </c>
      <c r="O112" s="12" t="s">
        <v>208</v>
      </c>
      <c r="P112" s="12" t="s">
        <v>215</v>
      </c>
      <c r="Q112" s="12" t="s">
        <v>366</v>
      </c>
      <c r="R112" s="12" t="s">
        <v>87</v>
      </c>
      <c r="S112" s="12" t="s">
        <v>103</v>
      </c>
      <c r="T112" s="11">
        <v>46188.334039351852</v>
      </c>
    </row>
    <row r="113" spans="1:20" ht="290" hidden="1" x14ac:dyDescent="0.35">
      <c r="A113" s="11">
        <v>46188.556851851848</v>
      </c>
      <c r="B113" s="11">
        <v>46181.338217592587</v>
      </c>
      <c r="C113" s="12" t="s">
        <v>363</v>
      </c>
      <c r="D113" s="12" t="s">
        <v>364</v>
      </c>
      <c r="E113" s="12" t="s">
        <v>347</v>
      </c>
      <c r="F113" s="12" t="s">
        <v>310</v>
      </c>
      <c r="G113" s="12" t="s">
        <v>305</v>
      </c>
      <c r="H113" s="12" t="s">
        <v>29</v>
      </c>
      <c r="I113" s="12" t="s">
        <v>367</v>
      </c>
      <c r="J113" s="12" t="s">
        <v>81</v>
      </c>
      <c r="K113" s="12" t="s">
        <v>110</v>
      </c>
      <c r="L113" s="12" t="s">
        <v>100</v>
      </c>
      <c r="M113" s="12" t="s">
        <v>368</v>
      </c>
      <c r="N113" s="12" t="s">
        <v>369</v>
      </c>
      <c r="O113" s="12" t="s">
        <v>370</v>
      </c>
      <c r="P113" s="12" t="s">
        <v>371</v>
      </c>
      <c r="Q113" s="12" t="s">
        <v>366</v>
      </c>
      <c r="R113" s="12" t="s">
        <v>87</v>
      </c>
      <c r="S113" s="12" t="s">
        <v>103</v>
      </c>
      <c r="T113" s="11">
        <v>46188.334039351852</v>
      </c>
    </row>
    <row r="114" spans="1:20" ht="43.5" hidden="1" x14ac:dyDescent="0.35">
      <c r="A114" s="11">
        <v>46188.556851851848</v>
      </c>
      <c r="B114" s="11">
        <v>46181.338217592587</v>
      </c>
      <c r="C114" s="12" t="s">
        <v>372</v>
      </c>
      <c r="D114" s="12" t="s">
        <v>373</v>
      </c>
      <c r="E114" s="12" t="s">
        <v>347</v>
      </c>
      <c r="F114" s="12" t="s">
        <v>310</v>
      </c>
      <c r="G114" s="12" t="s">
        <v>305</v>
      </c>
      <c r="H114" s="12" t="s">
        <v>21</v>
      </c>
      <c r="I114" s="12" t="s">
        <v>98</v>
      </c>
      <c r="J114" s="12" t="s">
        <v>81</v>
      </c>
      <c r="K114" s="12" t="s">
        <v>99</v>
      </c>
      <c r="L114" s="12" t="s">
        <v>100</v>
      </c>
      <c r="M114" s="12"/>
      <c r="N114" s="12" t="s">
        <v>374</v>
      </c>
      <c r="O114" s="12"/>
      <c r="P114" s="12" t="s">
        <v>374</v>
      </c>
      <c r="Q114" s="12" t="s">
        <v>375</v>
      </c>
      <c r="R114" s="12" t="s">
        <v>87</v>
      </c>
      <c r="S114" s="12" t="s">
        <v>103</v>
      </c>
      <c r="T114" s="11">
        <v>46185.32335648148</v>
      </c>
    </row>
    <row r="115" spans="1:20" ht="29" hidden="1" x14ac:dyDescent="0.35">
      <c r="A115" s="11">
        <v>46188.556851851848</v>
      </c>
      <c r="B115" s="11">
        <v>46181.338217592587</v>
      </c>
      <c r="C115" s="12" t="s">
        <v>376</v>
      </c>
      <c r="D115" s="12" t="s">
        <v>377</v>
      </c>
      <c r="E115" s="12" t="s">
        <v>347</v>
      </c>
      <c r="F115" s="12" t="s">
        <v>310</v>
      </c>
      <c r="G115" s="12" t="s">
        <v>228</v>
      </c>
      <c r="H115" s="12" t="s">
        <v>21</v>
      </c>
      <c r="I115" s="12" t="s">
        <v>98</v>
      </c>
      <c r="J115" s="12" t="s">
        <v>81</v>
      </c>
      <c r="K115" s="12" t="s">
        <v>110</v>
      </c>
      <c r="L115" s="12" t="s">
        <v>100</v>
      </c>
      <c r="M115" s="12"/>
      <c r="N115" s="12" t="s">
        <v>378</v>
      </c>
      <c r="O115" s="12"/>
      <c r="P115" s="12" t="s">
        <v>378</v>
      </c>
      <c r="Q115" s="12" t="s">
        <v>379</v>
      </c>
      <c r="R115" s="12" t="s">
        <v>87</v>
      </c>
      <c r="S115" s="12" t="s">
        <v>103</v>
      </c>
      <c r="T115" s="11">
        <v>46188.392916666657</v>
      </c>
    </row>
    <row r="116" spans="1:20" ht="29" hidden="1" x14ac:dyDescent="0.35">
      <c r="A116" s="11">
        <v>46188.556851851848</v>
      </c>
      <c r="B116" s="11">
        <v>46181.338217592587</v>
      </c>
      <c r="C116" s="12" t="s">
        <v>380</v>
      </c>
      <c r="D116" s="12" t="s">
        <v>381</v>
      </c>
      <c r="E116" s="12" t="s">
        <v>347</v>
      </c>
      <c r="F116" s="12" t="s">
        <v>194</v>
      </c>
      <c r="G116" s="12" t="s">
        <v>228</v>
      </c>
      <c r="H116" s="12" t="s">
        <v>21</v>
      </c>
      <c r="I116" s="12" t="s">
        <v>98</v>
      </c>
      <c r="J116" s="12" t="s">
        <v>81</v>
      </c>
      <c r="K116" s="12" t="s">
        <v>99</v>
      </c>
      <c r="L116" s="12" t="s">
        <v>100</v>
      </c>
      <c r="M116" s="12"/>
      <c r="N116" s="12" t="s">
        <v>382</v>
      </c>
      <c r="O116" s="12"/>
      <c r="P116" s="12" t="s">
        <v>382</v>
      </c>
      <c r="Q116" s="12" t="s">
        <v>383</v>
      </c>
      <c r="R116" s="12" t="s">
        <v>87</v>
      </c>
      <c r="S116" s="12" t="s">
        <v>103</v>
      </c>
      <c r="T116" s="11">
        <v>46182.647060185183</v>
      </c>
    </row>
    <row r="117" spans="1:20" ht="29" hidden="1" x14ac:dyDescent="0.35">
      <c r="A117" s="11">
        <v>46188.556851851848</v>
      </c>
      <c r="B117" s="11">
        <v>46181.338217592587</v>
      </c>
      <c r="C117" s="12" t="s">
        <v>384</v>
      </c>
      <c r="D117" s="12" t="s">
        <v>385</v>
      </c>
      <c r="E117" s="12" t="s">
        <v>347</v>
      </c>
      <c r="F117" s="12" t="s">
        <v>194</v>
      </c>
      <c r="G117" s="12" t="s">
        <v>228</v>
      </c>
      <c r="H117" s="12" t="s">
        <v>21</v>
      </c>
      <c r="I117" s="12" t="s">
        <v>98</v>
      </c>
      <c r="J117" s="12" t="s">
        <v>81</v>
      </c>
      <c r="K117" s="12" t="s">
        <v>99</v>
      </c>
      <c r="L117" s="12" t="s">
        <v>100</v>
      </c>
      <c r="M117" s="12"/>
      <c r="N117" s="12" t="s">
        <v>386</v>
      </c>
      <c r="O117" s="12"/>
      <c r="P117" s="12" t="s">
        <v>386</v>
      </c>
      <c r="Q117" s="12" t="s">
        <v>387</v>
      </c>
      <c r="R117" s="12" t="s">
        <v>87</v>
      </c>
      <c r="S117" s="12" t="s">
        <v>103</v>
      </c>
      <c r="T117" s="11">
        <v>46183.589490740742</v>
      </c>
    </row>
    <row r="118" spans="1:20" ht="29" hidden="1" x14ac:dyDescent="0.35">
      <c r="A118" s="11">
        <v>46188.556851851848</v>
      </c>
      <c r="B118" s="11">
        <v>46181.338217592587</v>
      </c>
      <c r="C118" s="12" t="s">
        <v>388</v>
      </c>
      <c r="D118" s="12" t="s">
        <v>389</v>
      </c>
      <c r="E118" s="12" t="s">
        <v>347</v>
      </c>
      <c r="F118" s="12" t="s">
        <v>194</v>
      </c>
      <c r="G118" s="12" t="s">
        <v>228</v>
      </c>
      <c r="H118" s="12" t="s">
        <v>21</v>
      </c>
      <c r="I118" s="12" t="s">
        <v>98</v>
      </c>
      <c r="J118" s="12" t="s">
        <v>81</v>
      </c>
      <c r="K118" s="12" t="s">
        <v>99</v>
      </c>
      <c r="L118" s="12" t="s">
        <v>100</v>
      </c>
      <c r="M118" s="12"/>
      <c r="N118" s="12" t="s">
        <v>390</v>
      </c>
      <c r="O118" s="12"/>
      <c r="P118" s="12" t="s">
        <v>390</v>
      </c>
      <c r="Q118" s="12" t="s">
        <v>391</v>
      </c>
      <c r="R118" s="12" t="s">
        <v>87</v>
      </c>
      <c r="S118" s="12" t="s">
        <v>103</v>
      </c>
      <c r="T118" s="11">
        <v>46185.587673611109</v>
      </c>
    </row>
    <row r="119" spans="1:20" ht="29" hidden="1" x14ac:dyDescent="0.35">
      <c r="A119" s="11">
        <v>46188.556851851848</v>
      </c>
      <c r="B119" s="11">
        <v>46181.338217592587</v>
      </c>
      <c r="C119" s="12" t="s">
        <v>392</v>
      </c>
      <c r="D119" s="12" t="s">
        <v>393</v>
      </c>
      <c r="E119" s="12" t="s">
        <v>347</v>
      </c>
      <c r="F119" s="12" t="s">
        <v>194</v>
      </c>
      <c r="G119" s="12" t="s">
        <v>228</v>
      </c>
      <c r="H119" s="12" t="s">
        <v>21</v>
      </c>
      <c r="I119" s="12" t="s">
        <v>98</v>
      </c>
      <c r="J119" s="12" t="s">
        <v>81</v>
      </c>
      <c r="K119" s="12" t="s">
        <v>99</v>
      </c>
      <c r="L119" s="12" t="s">
        <v>100</v>
      </c>
      <c r="M119" s="12"/>
      <c r="N119" s="12" t="s">
        <v>394</v>
      </c>
      <c r="O119" s="12"/>
      <c r="P119" s="12" t="s">
        <v>394</v>
      </c>
      <c r="Q119" s="12" t="s">
        <v>395</v>
      </c>
      <c r="R119" s="12" t="s">
        <v>87</v>
      </c>
      <c r="S119" s="12" t="s">
        <v>103</v>
      </c>
      <c r="T119" s="11">
        <v>46188.429606481477</v>
      </c>
    </row>
    <row r="120" spans="1:20" ht="29" hidden="1" x14ac:dyDescent="0.35">
      <c r="A120" s="11">
        <v>46188.556851851848</v>
      </c>
      <c r="B120" s="11">
        <v>46181.338217592587</v>
      </c>
      <c r="C120" s="12" t="s">
        <v>396</v>
      </c>
      <c r="D120" s="12" t="s">
        <v>397</v>
      </c>
      <c r="E120" s="12" t="s">
        <v>347</v>
      </c>
      <c r="F120" s="12" t="s">
        <v>194</v>
      </c>
      <c r="G120" s="12" t="s">
        <v>228</v>
      </c>
      <c r="H120" s="12" t="s">
        <v>21</v>
      </c>
      <c r="I120" s="12" t="s">
        <v>98</v>
      </c>
      <c r="J120" s="12" t="s">
        <v>81</v>
      </c>
      <c r="K120" s="12" t="s">
        <v>197</v>
      </c>
      <c r="L120" s="12" t="s">
        <v>100</v>
      </c>
      <c r="M120" s="12"/>
      <c r="N120" s="12" t="s">
        <v>398</v>
      </c>
      <c r="O120" s="12"/>
      <c r="P120" s="12" t="s">
        <v>398</v>
      </c>
      <c r="Q120" s="12" t="s">
        <v>399</v>
      </c>
      <c r="R120" s="12" t="s">
        <v>87</v>
      </c>
      <c r="S120" s="12" t="s">
        <v>103</v>
      </c>
      <c r="T120" s="11">
        <v>46188.53402777778</v>
      </c>
    </row>
    <row r="121" spans="1:20" ht="29" hidden="1" x14ac:dyDescent="0.35">
      <c r="A121" s="11">
        <v>46188.556851851848</v>
      </c>
      <c r="B121" s="11">
        <v>46181.338217592587</v>
      </c>
      <c r="C121" s="12" t="s">
        <v>400</v>
      </c>
      <c r="D121" s="12" t="s">
        <v>401</v>
      </c>
      <c r="E121" s="12" t="s">
        <v>347</v>
      </c>
      <c r="F121" s="12" t="s">
        <v>342</v>
      </c>
      <c r="G121" s="12" t="s">
        <v>228</v>
      </c>
      <c r="H121" s="12" t="s">
        <v>25</v>
      </c>
      <c r="I121" s="12" t="s">
        <v>262</v>
      </c>
      <c r="J121" s="12" t="s">
        <v>81</v>
      </c>
      <c r="K121" s="12" t="s">
        <v>99</v>
      </c>
      <c r="L121" s="12" t="s">
        <v>100</v>
      </c>
      <c r="M121" s="12" t="s">
        <v>263</v>
      </c>
      <c r="N121" s="12" t="s">
        <v>402</v>
      </c>
      <c r="O121" s="12" t="s">
        <v>263</v>
      </c>
      <c r="P121" s="12" t="s">
        <v>402</v>
      </c>
      <c r="Q121" s="12" t="s">
        <v>403</v>
      </c>
      <c r="R121" s="12" t="s">
        <v>87</v>
      </c>
      <c r="S121" s="12" t="s">
        <v>103</v>
      </c>
      <c r="T121" s="11">
        <v>46183.367743055547</v>
      </c>
    </row>
    <row r="122" spans="1:20" ht="29" hidden="1" x14ac:dyDescent="0.35">
      <c r="A122" s="11">
        <v>46188.556851851848</v>
      </c>
      <c r="B122" s="11">
        <v>46181.338217592587</v>
      </c>
      <c r="C122" s="12" t="s">
        <v>400</v>
      </c>
      <c r="D122" s="12" t="s">
        <v>401</v>
      </c>
      <c r="E122" s="12" t="s">
        <v>347</v>
      </c>
      <c r="F122" s="12" t="s">
        <v>342</v>
      </c>
      <c r="G122" s="12" t="s">
        <v>228</v>
      </c>
      <c r="H122" s="12" t="s">
        <v>28</v>
      </c>
      <c r="I122" s="12" t="s">
        <v>365</v>
      </c>
      <c r="J122" s="12" t="s">
        <v>81</v>
      </c>
      <c r="K122" s="12" t="s">
        <v>99</v>
      </c>
      <c r="L122" s="12" t="s">
        <v>100</v>
      </c>
      <c r="M122" s="12" t="s">
        <v>207</v>
      </c>
      <c r="N122" s="12" t="s">
        <v>208</v>
      </c>
      <c r="O122" s="12" t="s">
        <v>207</v>
      </c>
      <c r="P122" s="12" t="s">
        <v>208</v>
      </c>
      <c r="Q122" s="12" t="s">
        <v>403</v>
      </c>
      <c r="R122" s="12" t="s">
        <v>87</v>
      </c>
      <c r="S122" s="12" t="s">
        <v>103</v>
      </c>
      <c r="T122" s="11">
        <v>46183.367743055547</v>
      </c>
    </row>
    <row r="123" spans="1:20" ht="409.5" hidden="1" x14ac:dyDescent="0.35">
      <c r="A123" s="11">
        <v>46188.556851851848</v>
      </c>
      <c r="B123" s="11">
        <v>46181.338217592587</v>
      </c>
      <c r="C123" s="12" t="s">
        <v>400</v>
      </c>
      <c r="D123" s="12" t="s">
        <v>401</v>
      </c>
      <c r="E123" s="12" t="s">
        <v>347</v>
      </c>
      <c r="F123" s="12" t="s">
        <v>342</v>
      </c>
      <c r="G123" s="12" t="s">
        <v>228</v>
      </c>
      <c r="H123" s="12" t="s">
        <v>29</v>
      </c>
      <c r="I123" s="12" t="s">
        <v>367</v>
      </c>
      <c r="J123" s="12" t="s">
        <v>81</v>
      </c>
      <c r="K123" s="12" t="s">
        <v>99</v>
      </c>
      <c r="L123" s="12" t="s">
        <v>100</v>
      </c>
      <c r="M123" s="12" t="s">
        <v>404</v>
      </c>
      <c r="N123" s="12" t="s">
        <v>405</v>
      </c>
      <c r="O123" s="12" t="s">
        <v>406</v>
      </c>
      <c r="P123" s="12" t="s">
        <v>407</v>
      </c>
      <c r="Q123" s="12" t="s">
        <v>403</v>
      </c>
      <c r="R123" s="12" t="s">
        <v>87</v>
      </c>
      <c r="S123" s="12" t="s">
        <v>103</v>
      </c>
      <c r="T123" s="11">
        <v>46183.367743055547</v>
      </c>
    </row>
    <row r="124" spans="1:20" ht="29" hidden="1" x14ac:dyDescent="0.35">
      <c r="A124" s="11">
        <v>46188.556851851848</v>
      </c>
      <c r="B124" s="11">
        <v>46181.338217592587</v>
      </c>
      <c r="C124" s="12" t="s">
        <v>400</v>
      </c>
      <c r="D124" s="12" t="s">
        <v>401</v>
      </c>
      <c r="E124" s="12" t="s">
        <v>347</v>
      </c>
      <c r="F124" s="12" t="s">
        <v>342</v>
      </c>
      <c r="G124" s="12" t="s">
        <v>228</v>
      </c>
      <c r="H124" s="12" t="s">
        <v>24</v>
      </c>
      <c r="I124" s="12" t="s">
        <v>92</v>
      </c>
      <c r="J124" s="12" t="s">
        <v>81</v>
      </c>
      <c r="K124" s="12" t="s">
        <v>99</v>
      </c>
      <c r="L124" s="12" t="s">
        <v>100</v>
      </c>
      <c r="M124" s="12" t="s">
        <v>194</v>
      </c>
      <c r="N124" s="12" t="s">
        <v>342</v>
      </c>
      <c r="O124" s="12" t="s">
        <v>194</v>
      </c>
      <c r="P124" s="12" t="s">
        <v>342</v>
      </c>
      <c r="Q124" s="12" t="s">
        <v>403</v>
      </c>
      <c r="R124" s="12" t="s">
        <v>87</v>
      </c>
      <c r="S124" s="12" t="s">
        <v>103</v>
      </c>
      <c r="T124" s="11">
        <v>46183.367743055547</v>
      </c>
    </row>
    <row r="125" spans="1:20" ht="29" hidden="1" x14ac:dyDescent="0.35">
      <c r="A125" s="11">
        <v>46188.556851851848</v>
      </c>
      <c r="B125" s="11">
        <v>46181.338217592587</v>
      </c>
      <c r="C125" s="12" t="s">
        <v>408</v>
      </c>
      <c r="D125" s="12" t="s">
        <v>409</v>
      </c>
      <c r="E125" s="12" t="s">
        <v>347</v>
      </c>
      <c r="F125" s="12" t="s">
        <v>342</v>
      </c>
      <c r="G125" s="12" t="s">
        <v>228</v>
      </c>
      <c r="H125" s="12" t="s">
        <v>21</v>
      </c>
      <c r="I125" s="12" t="s">
        <v>98</v>
      </c>
      <c r="J125" s="12" t="s">
        <v>81</v>
      </c>
      <c r="K125" s="12" t="s">
        <v>99</v>
      </c>
      <c r="L125" s="12" t="s">
        <v>100</v>
      </c>
      <c r="M125" s="12"/>
      <c r="N125" s="12" t="s">
        <v>410</v>
      </c>
      <c r="O125" s="12"/>
      <c r="P125" s="12" t="s">
        <v>410</v>
      </c>
      <c r="Q125" s="12" t="s">
        <v>411</v>
      </c>
      <c r="R125" s="12" t="s">
        <v>87</v>
      </c>
      <c r="S125" s="12" t="s">
        <v>103</v>
      </c>
      <c r="T125" s="11">
        <v>46183.365370370368</v>
      </c>
    </row>
    <row r="126" spans="1:20" ht="29" x14ac:dyDescent="0.35">
      <c r="A126" s="11">
        <v>46188.556851851848</v>
      </c>
      <c r="B126" s="11">
        <v>46181.338217592587</v>
      </c>
      <c r="C126" s="12" t="s">
        <v>75</v>
      </c>
      <c r="D126" s="12" t="s">
        <v>76</v>
      </c>
      <c r="E126" s="12" t="s">
        <v>77</v>
      </c>
      <c r="F126" s="12" t="s">
        <v>93</v>
      </c>
      <c r="G126" s="12" t="s">
        <v>79</v>
      </c>
      <c r="H126" s="12" t="s">
        <v>24</v>
      </c>
      <c r="I126" s="12" t="s">
        <v>92</v>
      </c>
      <c r="J126" s="12" t="s">
        <v>81</v>
      </c>
      <c r="K126" s="12" t="s">
        <v>82</v>
      </c>
      <c r="L126" s="12" t="s">
        <v>83</v>
      </c>
      <c r="M126" s="12" t="s">
        <v>78</v>
      </c>
      <c r="N126" s="12" t="s">
        <v>93</v>
      </c>
      <c r="O126" s="12" t="s">
        <v>78</v>
      </c>
      <c r="P126" s="12" t="s">
        <v>93</v>
      </c>
      <c r="Q126" s="12" t="s">
        <v>85</v>
      </c>
      <c r="R126" s="12" t="s">
        <v>87</v>
      </c>
      <c r="S126" s="12" t="s">
        <v>103</v>
      </c>
      <c r="T126" s="11">
        <v>46182.384594907409</v>
      </c>
    </row>
    <row r="127" spans="1:20" ht="29" hidden="1" x14ac:dyDescent="0.35">
      <c r="A127" s="11">
        <v>46188.556851851848</v>
      </c>
      <c r="B127" s="11">
        <v>46181.338217592587</v>
      </c>
      <c r="C127" s="12" t="s">
        <v>412</v>
      </c>
      <c r="D127" s="12" t="s">
        <v>413</v>
      </c>
      <c r="E127" s="12" t="s">
        <v>77</v>
      </c>
      <c r="F127" s="12" t="s">
        <v>96</v>
      </c>
      <c r="G127" s="12" t="s">
        <v>305</v>
      </c>
      <c r="H127" s="12" t="s">
        <v>22</v>
      </c>
      <c r="I127" s="12" t="s">
        <v>306</v>
      </c>
      <c r="J127" s="12" t="s">
        <v>81</v>
      </c>
      <c r="K127" s="12" t="s">
        <v>307</v>
      </c>
      <c r="L127" s="12" t="s">
        <v>324</v>
      </c>
      <c r="M127" s="12" t="s">
        <v>328</v>
      </c>
      <c r="N127" s="12" t="s">
        <v>77</v>
      </c>
      <c r="O127" s="12" t="s">
        <v>328</v>
      </c>
      <c r="P127" s="12" t="s">
        <v>77</v>
      </c>
      <c r="Q127" s="12" t="s">
        <v>414</v>
      </c>
      <c r="R127" s="12" t="s">
        <v>87</v>
      </c>
      <c r="S127" s="12" t="s">
        <v>103</v>
      </c>
      <c r="T127" s="11">
        <v>46182.372557870367</v>
      </c>
    </row>
    <row r="128" spans="1:20" ht="29" x14ac:dyDescent="0.35">
      <c r="A128" s="11">
        <v>46188.556851851848</v>
      </c>
      <c r="B128" s="11">
        <v>46181.338217592587</v>
      </c>
      <c r="C128" s="12" t="s">
        <v>415</v>
      </c>
      <c r="D128" s="12" t="s">
        <v>416</v>
      </c>
      <c r="E128" s="12" t="s">
        <v>77</v>
      </c>
      <c r="F128" s="12" t="s">
        <v>96</v>
      </c>
      <c r="G128" s="12" t="s">
        <v>79</v>
      </c>
      <c r="H128" s="12" t="s">
        <v>22</v>
      </c>
      <c r="I128" s="12" t="s">
        <v>306</v>
      </c>
      <c r="J128" s="12" t="s">
        <v>81</v>
      </c>
      <c r="K128" s="12" t="s">
        <v>315</v>
      </c>
      <c r="L128" s="12" t="s">
        <v>100</v>
      </c>
      <c r="M128" s="12" t="s">
        <v>328</v>
      </c>
      <c r="N128" s="12" t="s">
        <v>77</v>
      </c>
      <c r="O128" s="12" t="s">
        <v>328</v>
      </c>
      <c r="P128" s="12" t="s">
        <v>77</v>
      </c>
      <c r="Q128" s="12" t="s">
        <v>417</v>
      </c>
      <c r="R128" s="12" t="s">
        <v>87</v>
      </c>
      <c r="S128" s="12" t="s">
        <v>103</v>
      </c>
      <c r="T128" s="11">
        <v>46183.414282407408</v>
      </c>
    </row>
    <row r="129" spans="1:20" ht="29" x14ac:dyDescent="0.35">
      <c r="A129" s="11">
        <v>46188.556851851848</v>
      </c>
      <c r="B129" s="11">
        <v>46181.338217592587</v>
      </c>
      <c r="C129" s="12" t="s">
        <v>418</v>
      </c>
      <c r="D129" s="12" t="s">
        <v>419</v>
      </c>
      <c r="E129" s="12" t="s">
        <v>77</v>
      </c>
      <c r="F129" s="12" t="s">
        <v>96</v>
      </c>
      <c r="G129" s="12" t="s">
        <v>79</v>
      </c>
      <c r="H129" s="12" t="s">
        <v>22</v>
      </c>
      <c r="I129" s="12" t="s">
        <v>306</v>
      </c>
      <c r="J129" s="12" t="s">
        <v>81</v>
      </c>
      <c r="K129" s="12" t="s">
        <v>307</v>
      </c>
      <c r="L129" s="12" t="s">
        <v>324</v>
      </c>
      <c r="M129" s="12" t="s">
        <v>328</v>
      </c>
      <c r="N129" s="12" t="s">
        <v>77</v>
      </c>
      <c r="O129" s="12" t="s">
        <v>328</v>
      </c>
      <c r="P129" s="12" t="s">
        <v>77</v>
      </c>
      <c r="Q129" s="12" t="s">
        <v>420</v>
      </c>
      <c r="R129" s="12" t="s">
        <v>87</v>
      </c>
      <c r="S129" s="12" t="s">
        <v>103</v>
      </c>
      <c r="T129" s="11">
        <v>46182.373379629629</v>
      </c>
    </row>
    <row r="130" spans="1:20" ht="29" x14ac:dyDescent="0.35">
      <c r="A130" s="11">
        <v>46188.556851851848</v>
      </c>
      <c r="B130" s="11">
        <v>46181.338217592587</v>
      </c>
      <c r="C130" s="12" t="s">
        <v>421</v>
      </c>
      <c r="D130" s="12" t="s">
        <v>422</v>
      </c>
      <c r="E130" s="12" t="s">
        <v>77</v>
      </c>
      <c r="F130" s="12" t="s">
        <v>96</v>
      </c>
      <c r="G130" s="12" t="s">
        <v>79</v>
      </c>
      <c r="H130" s="12" t="s">
        <v>21</v>
      </c>
      <c r="I130" s="12" t="s">
        <v>98</v>
      </c>
      <c r="J130" s="12" t="s">
        <v>81</v>
      </c>
      <c r="K130" s="12" t="s">
        <v>307</v>
      </c>
      <c r="L130" s="12" t="s">
        <v>100</v>
      </c>
      <c r="M130" s="12"/>
      <c r="N130" s="12" t="s">
        <v>423</v>
      </c>
      <c r="O130" s="12"/>
      <c r="P130" s="12" t="s">
        <v>423</v>
      </c>
      <c r="Q130" s="12" t="s">
        <v>424</v>
      </c>
      <c r="R130" s="12" t="s">
        <v>87</v>
      </c>
      <c r="S130" s="12" t="s">
        <v>103</v>
      </c>
      <c r="T130" s="11">
        <v>46185.542002314818</v>
      </c>
    </row>
    <row r="131" spans="1:20" ht="29" hidden="1" x14ac:dyDescent="0.35">
      <c r="A131" s="11">
        <v>46188.556851851848</v>
      </c>
      <c r="B131" s="11">
        <v>46181.338217592587</v>
      </c>
      <c r="C131" s="12" t="s">
        <v>425</v>
      </c>
      <c r="D131" s="12" t="s">
        <v>426</v>
      </c>
      <c r="E131" s="12" t="s">
        <v>77</v>
      </c>
      <c r="F131" s="12" t="s">
        <v>310</v>
      </c>
      <c r="G131" s="12" t="s">
        <v>228</v>
      </c>
      <c r="H131" s="12" t="s">
        <v>23</v>
      </c>
      <c r="I131" s="12" t="s">
        <v>80</v>
      </c>
      <c r="J131" s="12" t="s">
        <v>81</v>
      </c>
      <c r="K131" s="12" t="s">
        <v>84</v>
      </c>
      <c r="L131" s="12" t="s">
        <v>324</v>
      </c>
      <c r="M131" s="12" t="s">
        <v>99</v>
      </c>
      <c r="N131" s="12" t="s">
        <v>84</v>
      </c>
      <c r="O131" s="12" t="s">
        <v>99</v>
      </c>
      <c r="P131" s="12" t="s">
        <v>84</v>
      </c>
      <c r="Q131" s="12" t="s">
        <v>427</v>
      </c>
      <c r="R131" s="12" t="s">
        <v>87</v>
      </c>
      <c r="S131" s="12" t="s">
        <v>103</v>
      </c>
      <c r="T131" s="11">
        <v>46182.376087962963</v>
      </c>
    </row>
    <row r="132" spans="1:20" ht="29" hidden="1" x14ac:dyDescent="0.35">
      <c r="A132" s="11">
        <v>46188.556851851848</v>
      </c>
      <c r="B132" s="11">
        <v>46181.338217592587</v>
      </c>
      <c r="C132" s="12" t="s">
        <v>425</v>
      </c>
      <c r="D132" s="12" t="s">
        <v>426</v>
      </c>
      <c r="E132" s="12" t="s">
        <v>77</v>
      </c>
      <c r="F132" s="12" t="s">
        <v>310</v>
      </c>
      <c r="G132" s="12" t="s">
        <v>228</v>
      </c>
      <c r="H132" s="12" t="s">
        <v>28</v>
      </c>
      <c r="I132" s="12" t="s">
        <v>365</v>
      </c>
      <c r="J132" s="12" t="s">
        <v>81</v>
      </c>
      <c r="K132" s="12" t="s">
        <v>84</v>
      </c>
      <c r="L132" s="12" t="s">
        <v>324</v>
      </c>
      <c r="M132" s="12" t="s">
        <v>428</v>
      </c>
      <c r="N132" s="12" t="s">
        <v>429</v>
      </c>
      <c r="O132" s="12" t="s">
        <v>428</v>
      </c>
      <c r="P132" s="12" t="s">
        <v>429</v>
      </c>
      <c r="Q132" s="12" t="s">
        <v>427</v>
      </c>
      <c r="R132" s="12" t="s">
        <v>87</v>
      </c>
      <c r="S132" s="12" t="s">
        <v>103</v>
      </c>
      <c r="T132" s="11">
        <v>46182.376087962963</v>
      </c>
    </row>
    <row r="133" spans="1:20" ht="29" hidden="1" x14ac:dyDescent="0.35">
      <c r="A133" s="11">
        <v>46188.556851851848</v>
      </c>
      <c r="B133" s="11">
        <v>46181.338217592587</v>
      </c>
      <c r="C133" s="12" t="s">
        <v>425</v>
      </c>
      <c r="D133" s="12" t="s">
        <v>426</v>
      </c>
      <c r="E133" s="12" t="s">
        <v>77</v>
      </c>
      <c r="F133" s="12" t="s">
        <v>310</v>
      </c>
      <c r="G133" s="12" t="s">
        <v>228</v>
      </c>
      <c r="H133" s="12" t="s">
        <v>22</v>
      </c>
      <c r="I133" s="12" t="s">
        <v>306</v>
      </c>
      <c r="J133" s="12" t="s">
        <v>81</v>
      </c>
      <c r="K133" s="12" t="s">
        <v>84</v>
      </c>
      <c r="L133" s="12" t="s">
        <v>324</v>
      </c>
      <c r="M133" s="12" t="s">
        <v>347</v>
      </c>
      <c r="N133" s="12" t="s">
        <v>77</v>
      </c>
      <c r="O133" s="12" t="s">
        <v>347</v>
      </c>
      <c r="P133" s="12" t="s">
        <v>77</v>
      </c>
      <c r="Q133" s="12" t="s">
        <v>427</v>
      </c>
      <c r="R133" s="12" t="s">
        <v>87</v>
      </c>
      <c r="S133" s="12" t="s">
        <v>103</v>
      </c>
      <c r="T133" s="11">
        <v>46182.376087962963</v>
      </c>
    </row>
    <row r="134" spans="1:20" ht="29" hidden="1" x14ac:dyDescent="0.35">
      <c r="A134" s="11">
        <v>46188.556851851848</v>
      </c>
      <c r="B134" s="11">
        <v>46181.338217592587</v>
      </c>
      <c r="C134" s="12" t="s">
        <v>430</v>
      </c>
      <c r="D134" s="12" t="s">
        <v>431</v>
      </c>
      <c r="E134" s="12" t="s">
        <v>77</v>
      </c>
      <c r="F134" s="12" t="s">
        <v>310</v>
      </c>
      <c r="G134" s="12" t="s">
        <v>228</v>
      </c>
      <c r="H134" s="12" t="s">
        <v>22</v>
      </c>
      <c r="I134" s="12" t="s">
        <v>306</v>
      </c>
      <c r="J134" s="12" t="s">
        <v>81</v>
      </c>
      <c r="K134" s="12" t="s">
        <v>110</v>
      </c>
      <c r="L134" s="12" t="s">
        <v>324</v>
      </c>
      <c r="M134" s="12" t="s">
        <v>328</v>
      </c>
      <c r="N134" s="12" t="s">
        <v>77</v>
      </c>
      <c r="O134" s="12" t="s">
        <v>328</v>
      </c>
      <c r="P134" s="12" t="s">
        <v>77</v>
      </c>
      <c r="Q134" s="12" t="s">
        <v>432</v>
      </c>
      <c r="R134" s="12" t="s">
        <v>87</v>
      </c>
      <c r="S134" s="12" t="s">
        <v>103</v>
      </c>
      <c r="T134" s="11">
        <v>46182.375844907408</v>
      </c>
    </row>
    <row r="135" spans="1:20" ht="29" hidden="1" x14ac:dyDescent="0.35">
      <c r="A135" s="11">
        <v>46188.556851851848</v>
      </c>
      <c r="B135" s="11">
        <v>46181.338217592587</v>
      </c>
      <c r="C135" s="12" t="s">
        <v>433</v>
      </c>
      <c r="D135" s="12" t="s">
        <v>434</v>
      </c>
      <c r="E135" s="12" t="s">
        <v>77</v>
      </c>
      <c r="F135" s="12" t="s">
        <v>310</v>
      </c>
      <c r="G135" s="12" t="s">
        <v>228</v>
      </c>
      <c r="H135" s="12" t="s">
        <v>22</v>
      </c>
      <c r="I135" s="12" t="s">
        <v>306</v>
      </c>
      <c r="J135" s="12" t="s">
        <v>81</v>
      </c>
      <c r="K135" s="12" t="s">
        <v>110</v>
      </c>
      <c r="L135" s="12" t="s">
        <v>324</v>
      </c>
      <c r="M135" s="12" t="s">
        <v>328</v>
      </c>
      <c r="N135" s="12" t="s">
        <v>77</v>
      </c>
      <c r="O135" s="12" t="s">
        <v>328</v>
      </c>
      <c r="P135" s="12" t="s">
        <v>77</v>
      </c>
      <c r="Q135" s="12" t="s">
        <v>435</v>
      </c>
      <c r="R135" s="12" t="s">
        <v>87</v>
      </c>
      <c r="S135" s="12" t="s">
        <v>103</v>
      </c>
      <c r="T135" s="11">
        <v>46182.37568287037</v>
      </c>
    </row>
    <row r="136" spans="1:20" ht="29" hidden="1" x14ac:dyDescent="0.35">
      <c r="A136" s="11">
        <v>46188.556851851848</v>
      </c>
      <c r="B136" s="11">
        <v>46181.338217592587</v>
      </c>
      <c r="C136" s="12" t="s">
        <v>436</v>
      </c>
      <c r="D136" s="12" t="s">
        <v>437</v>
      </c>
      <c r="E136" s="12" t="s">
        <v>77</v>
      </c>
      <c r="F136" s="12" t="s">
        <v>194</v>
      </c>
      <c r="G136" s="12" t="s">
        <v>228</v>
      </c>
      <c r="H136" s="12" t="s">
        <v>27</v>
      </c>
      <c r="I136" s="12" t="s">
        <v>206</v>
      </c>
      <c r="J136" s="12" t="s">
        <v>81</v>
      </c>
      <c r="K136" s="12" t="s">
        <v>110</v>
      </c>
      <c r="L136" s="12" t="s">
        <v>83</v>
      </c>
      <c r="M136" s="12" t="s">
        <v>207</v>
      </c>
      <c r="N136" s="12" t="s">
        <v>215</v>
      </c>
      <c r="O136" s="12" t="s">
        <v>207</v>
      </c>
      <c r="P136" s="12" t="s">
        <v>215</v>
      </c>
      <c r="Q136" s="12" t="s">
        <v>438</v>
      </c>
      <c r="R136" s="12" t="s">
        <v>87</v>
      </c>
      <c r="S136" s="12" t="s">
        <v>103</v>
      </c>
      <c r="T136" s="11">
        <v>46183.528483796297</v>
      </c>
    </row>
    <row r="137" spans="1:20" ht="29" hidden="1" x14ac:dyDescent="0.35">
      <c r="A137" s="11">
        <v>46188.556851851848</v>
      </c>
      <c r="B137" s="11">
        <v>46181.338217592587</v>
      </c>
      <c r="C137" s="12" t="s">
        <v>436</v>
      </c>
      <c r="D137" s="12" t="s">
        <v>437</v>
      </c>
      <c r="E137" s="12" t="s">
        <v>77</v>
      </c>
      <c r="F137" s="12" t="s">
        <v>194</v>
      </c>
      <c r="G137" s="12" t="s">
        <v>228</v>
      </c>
      <c r="H137" s="12" t="s">
        <v>22</v>
      </c>
      <c r="I137" s="12" t="s">
        <v>306</v>
      </c>
      <c r="J137" s="12" t="s">
        <v>81</v>
      </c>
      <c r="K137" s="12" t="s">
        <v>110</v>
      </c>
      <c r="L137" s="12" t="s">
        <v>83</v>
      </c>
      <c r="M137" s="12" t="s">
        <v>328</v>
      </c>
      <c r="N137" s="12" t="s">
        <v>77</v>
      </c>
      <c r="O137" s="12" t="s">
        <v>328</v>
      </c>
      <c r="P137" s="12" t="s">
        <v>77</v>
      </c>
      <c r="Q137" s="12" t="s">
        <v>438</v>
      </c>
      <c r="R137" s="12" t="s">
        <v>87</v>
      </c>
      <c r="S137" s="12" t="s">
        <v>103</v>
      </c>
      <c r="T137" s="11">
        <v>46183.528483796297</v>
      </c>
    </row>
    <row r="138" spans="1:20" ht="29" hidden="1" x14ac:dyDescent="0.35">
      <c r="A138" s="11">
        <v>46188.556851851848</v>
      </c>
      <c r="B138" s="11">
        <v>46181.338217592587</v>
      </c>
      <c r="C138" s="12" t="s">
        <v>439</v>
      </c>
      <c r="D138" s="12" t="s">
        <v>440</v>
      </c>
      <c r="E138" s="12" t="s">
        <v>77</v>
      </c>
      <c r="F138" s="12" t="s">
        <v>194</v>
      </c>
      <c r="G138" s="12" t="s">
        <v>228</v>
      </c>
      <c r="H138" s="12" t="s">
        <v>22</v>
      </c>
      <c r="I138" s="12" t="s">
        <v>306</v>
      </c>
      <c r="J138" s="12" t="s">
        <v>81</v>
      </c>
      <c r="K138" s="12" t="s">
        <v>110</v>
      </c>
      <c r="L138" s="12" t="s">
        <v>324</v>
      </c>
      <c r="M138" s="12" t="s">
        <v>328</v>
      </c>
      <c r="N138" s="12" t="s">
        <v>77</v>
      </c>
      <c r="O138" s="12" t="s">
        <v>328</v>
      </c>
      <c r="P138" s="12" t="s">
        <v>77</v>
      </c>
      <c r="Q138" s="12" t="s">
        <v>441</v>
      </c>
      <c r="R138" s="12" t="s">
        <v>87</v>
      </c>
      <c r="S138" s="12" t="s">
        <v>103</v>
      </c>
      <c r="T138" s="11">
        <v>46185.51326388889</v>
      </c>
    </row>
    <row r="139" spans="1:20" ht="29" hidden="1" x14ac:dyDescent="0.35">
      <c r="A139" s="11">
        <v>46188.556851851848</v>
      </c>
      <c r="B139" s="11">
        <v>46181.338217592587</v>
      </c>
      <c r="C139" s="12" t="s">
        <v>442</v>
      </c>
      <c r="D139" s="12" t="s">
        <v>443</v>
      </c>
      <c r="E139" s="12" t="s">
        <v>77</v>
      </c>
      <c r="F139" s="12" t="s">
        <v>194</v>
      </c>
      <c r="G139" s="12" t="s">
        <v>228</v>
      </c>
      <c r="H139" s="12" t="s">
        <v>22</v>
      </c>
      <c r="I139" s="12" t="s">
        <v>306</v>
      </c>
      <c r="J139" s="12" t="s">
        <v>81</v>
      </c>
      <c r="K139" s="12" t="s">
        <v>307</v>
      </c>
      <c r="L139" s="12" t="s">
        <v>100</v>
      </c>
      <c r="M139" s="12" t="s">
        <v>328</v>
      </c>
      <c r="N139" s="12" t="s">
        <v>77</v>
      </c>
      <c r="O139" s="12" t="s">
        <v>328</v>
      </c>
      <c r="P139" s="12" t="s">
        <v>77</v>
      </c>
      <c r="Q139" s="12" t="s">
        <v>444</v>
      </c>
      <c r="R139" s="12" t="s">
        <v>87</v>
      </c>
      <c r="S139" s="12" t="s">
        <v>103</v>
      </c>
      <c r="T139" s="11">
        <v>46182.373796296299</v>
      </c>
    </row>
    <row r="140" spans="1:20" ht="29" hidden="1" x14ac:dyDescent="0.35">
      <c r="A140" s="11">
        <v>46188.556851851848</v>
      </c>
      <c r="B140" s="11">
        <v>46181.338217592587</v>
      </c>
      <c r="C140" s="12" t="s">
        <v>445</v>
      </c>
      <c r="D140" s="12" t="s">
        <v>446</v>
      </c>
      <c r="E140" s="12" t="s">
        <v>77</v>
      </c>
      <c r="F140" s="12" t="s">
        <v>447</v>
      </c>
      <c r="G140" s="12" t="s">
        <v>314</v>
      </c>
      <c r="H140" s="12" t="s">
        <v>22</v>
      </c>
      <c r="I140" s="12" t="s">
        <v>306</v>
      </c>
      <c r="J140" s="12" t="s">
        <v>81</v>
      </c>
      <c r="K140" s="12" t="s">
        <v>82</v>
      </c>
      <c r="L140" s="12" t="s">
        <v>83</v>
      </c>
      <c r="M140" s="12" t="s">
        <v>328</v>
      </c>
      <c r="N140" s="12" t="s">
        <v>77</v>
      </c>
      <c r="O140" s="12" t="s">
        <v>328</v>
      </c>
      <c r="P140" s="12" t="s">
        <v>77</v>
      </c>
      <c r="Q140" s="12" t="s">
        <v>448</v>
      </c>
      <c r="R140" s="12" t="s">
        <v>87</v>
      </c>
      <c r="S140" s="12" t="s">
        <v>103</v>
      </c>
      <c r="T140" s="11">
        <v>46182.372233796297</v>
      </c>
    </row>
    <row r="141" spans="1:20" ht="29" x14ac:dyDescent="0.35">
      <c r="A141" s="11">
        <v>46188.556851851848</v>
      </c>
      <c r="B141" s="11">
        <v>46181.338217592587</v>
      </c>
      <c r="C141" s="12" t="s">
        <v>449</v>
      </c>
      <c r="D141" s="12" t="s">
        <v>450</v>
      </c>
      <c r="E141" s="12" t="s">
        <v>451</v>
      </c>
      <c r="F141" s="12" t="s">
        <v>96</v>
      </c>
      <c r="G141" s="12" t="s">
        <v>79</v>
      </c>
      <c r="H141" s="12" t="s">
        <v>22</v>
      </c>
      <c r="I141" s="12" t="s">
        <v>306</v>
      </c>
      <c r="J141" s="12" t="s">
        <v>81</v>
      </c>
      <c r="K141" s="12" t="s">
        <v>307</v>
      </c>
      <c r="L141" s="12" t="s">
        <v>100</v>
      </c>
      <c r="M141" s="12" t="s">
        <v>316</v>
      </c>
      <c r="N141" s="12" t="s">
        <v>451</v>
      </c>
      <c r="O141" s="12" t="s">
        <v>316</v>
      </c>
      <c r="P141" s="12" t="s">
        <v>451</v>
      </c>
      <c r="Q141" s="12" t="s">
        <v>452</v>
      </c>
      <c r="R141" s="12" t="s">
        <v>87</v>
      </c>
      <c r="S141" s="12" t="s">
        <v>103</v>
      </c>
      <c r="T141" s="11">
        <v>46182.372754629629</v>
      </c>
    </row>
  </sheetData>
  <autoFilter ref="A1:T141" xr:uid="{00000000-0009-0000-0000-000002000000}">
    <filterColumn colId="4">
      <filters>
        <filter val="Sprint 17 2026"/>
        <filter val="Sprint 17 2026; Sprint 14 2026"/>
      </filters>
    </filterColumn>
    <filterColumn colId="6">
      <filters>
        <filter val="Story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baseColWidth="10" defaultColWidth="8.7265625" defaultRowHeight="14.5" x14ac:dyDescent="0.35"/>
  <cols>
    <col min="1" max="5" width="24" customWidth="1"/>
  </cols>
  <sheetData>
    <row r="1" spans="1:5" x14ac:dyDescent="0.35">
      <c r="A1" t="s">
        <v>22</v>
      </c>
      <c r="B1" t="s">
        <v>24</v>
      </c>
      <c r="C1" t="s">
        <v>66</v>
      </c>
      <c r="D1" t="s">
        <v>45</v>
      </c>
      <c r="E1" t="s">
        <v>68</v>
      </c>
    </row>
    <row r="2" spans="1:5" x14ac:dyDescent="0.35">
      <c r="A2" t="s">
        <v>36</v>
      </c>
      <c r="B2" t="s">
        <v>36</v>
      </c>
      <c r="C2" t="s">
        <v>36</v>
      </c>
      <c r="D2" t="s">
        <v>36</v>
      </c>
      <c r="E2" t="s">
        <v>36</v>
      </c>
    </row>
    <row r="3" spans="1:5" x14ac:dyDescent="0.35">
      <c r="A3" t="s">
        <v>303</v>
      </c>
      <c r="B3" t="s">
        <v>93</v>
      </c>
      <c r="C3" t="s">
        <v>228</v>
      </c>
      <c r="D3" t="s">
        <v>23</v>
      </c>
      <c r="E3" t="s">
        <v>81</v>
      </c>
    </row>
    <row r="4" spans="1:5" x14ac:dyDescent="0.35">
      <c r="A4" t="s">
        <v>313</v>
      </c>
      <c r="B4" t="s">
        <v>96</v>
      </c>
      <c r="C4" t="s">
        <v>314</v>
      </c>
      <c r="D4" t="s">
        <v>25</v>
      </c>
    </row>
    <row r="5" spans="1:5" x14ac:dyDescent="0.35">
      <c r="A5" t="s">
        <v>323</v>
      </c>
      <c r="B5" t="s">
        <v>338</v>
      </c>
      <c r="C5" t="s">
        <v>79</v>
      </c>
      <c r="D5" t="s">
        <v>28</v>
      </c>
    </row>
    <row r="6" spans="1:5" x14ac:dyDescent="0.35">
      <c r="A6" t="s">
        <v>328</v>
      </c>
      <c r="B6" t="s">
        <v>348</v>
      </c>
      <c r="C6" t="s">
        <v>97</v>
      </c>
      <c r="D6" t="s">
        <v>30</v>
      </c>
    </row>
    <row r="7" spans="1:5" x14ac:dyDescent="0.35">
      <c r="A7" t="s">
        <v>334</v>
      </c>
      <c r="B7" t="s">
        <v>310</v>
      </c>
      <c r="C7" t="s">
        <v>305</v>
      </c>
      <c r="D7" t="s">
        <v>29</v>
      </c>
    </row>
    <row r="8" spans="1:5" x14ac:dyDescent="0.35">
      <c r="A8" t="s">
        <v>347</v>
      </c>
      <c r="B8" t="s">
        <v>329</v>
      </c>
      <c r="C8" t="s">
        <v>195</v>
      </c>
      <c r="D8" t="s">
        <v>27</v>
      </c>
    </row>
    <row r="9" spans="1:5" x14ac:dyDescent="0.35">
      <c r="A9" t="s">
        <v>77</v>
      </c>
      <c r="B9" t="s">
        <v>78</v>
      </c>
      <c r="D9" t="s">
        <v>26</v>
      </c>
    </row>
    <row r="10" spans="1:5" x14ac:dyDescent="0.35">
      <c r="A10" t="s">
        <v>451</v>
      </c>
      <c r="B10" t="s">
        <v>194</v>
      </c>
      <c r="D10" t="s">
        <v>31</v>
      </c>
    </row>
    <row r="11" spans="1:5" x14ac:dyDescent="0.35">
      <c r="B11" t="s">
        <v>304</v>
      </c>
      <c r="D11" t="s">
        <v>22</v>
      </c>
    </row>
    <row r="12" spans="1:5" x14ac:dyDescent="0.35">
      <c r="B12" t="s">
        <v>260</v>
      </c>
      <c r="D12" t="s">
        <v>24</v>
      </c>
    </row>
    <row r="13" spans="1:5" x14ac:dyDescent="0.35">
      <c r="B13" t="s">
        <v>447</v>
      </c>
      <c r="D13" t="s">
        <v>21</v>
      </c>
    </row>
    <row r="14" spans="1:5" x14ac:dyDescent="0.35">
      <c r="B14" t="s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22</v>
      </c>
      <c r="B1" t="s">
        <v>24</v>
      </c>
    </row>
    <row r="2" spans="1:2" x14ac:dyDescent="0.35">
      <c r="A2" t="s">
        <v>36</v>
      </c>
      <c r="B2" t="s">
        <v>36</v>
      </c>
    </row>
    <row r="3" spans="1:2" x14ac:dyDescent="0.35">
      <c r="A3" t="s">
        <v>453</v>
      </c>
      <c r="B3" t="s">
        <v>93</v>
      </c>
    </row>
    <row r="4" spans="1:2" x14ac:dyDescent="0.35">
      <c r="A4" t="s">
        <v>316</v>
      </c>
      <c r="B4" t="s">
        <v>96</v>
      </c>
    </row>
    <row r="5" spans="1:2" x14ac:dyDescent="0.35">
      <c r="A5" t="s">
        <v>313</v>
      </c>
      <c r="B5" t="s">
        <v>338</v>
      </c>
    </row>
    <row r="6" spans="1:2" x14ac:dyDescent="0.35">
      <c r="A6" t="s">
        <v>323</v>
      </c>
      <c r="B6" t="s">
        <v>348</v>
      </c>
    </row>
    <row r="7" spans="1:2" x14ac:dyDescent="0.35">
      <c r="A7" t="s">
        <v>328</v>
      </c>
      <c r="B7" t="s">
        <v>329</v>
      </c>
    </row>
    <row r="8" spans="1:2" x14ac:dyDescent="0.35">
      <c r="A8" t="s">
        <v>334</v>
      </c>
      <c r="B8" t="s">
        <v>78</v>
      </c>
    </row>
    <row r="9" spans="1:2" x14ac:dyDescent="0.35">
      <c r="A9" t="s">
        <v>347</v>
      </c>
      <c r="B9" t="s">
        <v>447</v>
      </c>
    </row>
    <row r="10" spans="1:2" x14ac:dyDescent="0.35">
      <c r="A10" t="s">
        <v>77</v>
      </c>
    </row>
    <row r="11" spans="1:2" x14ac:dyDescent="0.35">
      <c r="A11" t="s">
        <v>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1"/>
  <sheetViews>
    <sheetView workbookViewId="0"/>
  </sheetViews>
  <sheetFormatPr baseColWidth="10" defaultColWidth="8.7265625" defaultRowHeight="14.5" x14ac:dyDescent="0.35"/>
  <sheetData>
    <row r="1" spans="1:14" x14ac:dyDescent="0.35">
      <c r="A1" t="s">
        <v>56</v>
      </c>
      <c r="B1" t="s">
        <v>22</v>
      </c>
      <c r="C1" t="s">
        <v>24</v>
      </c>
      <c r="D1" t="s">
        <v>454</v>
      </c>
      <c r="E1" t="s">
        <v>455</v>
      </c>
      <c r="F1" t="s">
        <v>10</v>
      </c>
      <c r="G1" t="s">
        <v>11</v>
      </c>
      <c r="H1" t="s">
        <v>12</v>
      </c>
      <c r="I1" t="s">
        <v>456</v>
      </c>
      <c r="J1" t="s">
        <v>457</v>
      </c>
      <c r="K1" t="s">
        <v>458</v>
      </c>
      <c r="L1" t="s">
        <v>459</v>
      </c>
      <c r="M1" t="s">
        <v>460</v>
      </c>
      <c r="N1" t="s">
        <v>43</v>
      </c>
    </row>
    <row r="2" spans="1:14" x14ac:dyDescent="0.35">
      <c r="A2" t="s">
        <v>461</v>
      </c>
      <c r="B2" t="s">
        <v>36</v>
      </c>
      <c r="C2" t="s">
        <v>36</v>
      </c>
      <c r="D2">
        <v>61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4" x14ac:dyDescent="0.35">
      <c r="A3" t="s">
        <v>462</v>
      </c>
      <c r="B3" t="s">
        <v>36</v>
      </c>
      <c r="C3" t="s">
        <v>93</v>
      </c>
      <c r="D3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4" x14ac:dyDescent="0.35">
      <c r="A4" t="s">
        <v>463</v>
      </c>
      <c r="B4" t="s">
        <v>36</v>
      </c>
      <c r="C4" t="s">
        <v>96</v>
      </c>
      <c r="D4">
        <v>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4" x14ac:dyDescent="0.35">
      <c r="A5" t="s">
        <v>464</v>
      </c>
      <c r="B5" t="s">
        <v>36</v>
      </c>
      <c r="C5" t="s">
        <v>338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4" x14ac:dyDescent="0.35">
      <c r="A6" t="s">
        <v>465</v>
      </c>
      <c r="B6" t="s">
        <v>36</v>
      </c>
      <c r="C6" t="s">
        <v>348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4" x14ac:dyDescent="0.35">
      <c r="A7" t="s">
        <v>466</v>
      </c>
      <c r="B7" t="s">
        <v>36</v>
      </c>
      <c r="C7" t="s">
        <v>329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4" x14ac:dyDescent="0.35">
      <c r="A8" t="s">
        <v>467</v>
      </c>
      <c r="B8" t="s">
        <v>36</v>
      </c>
      <c r="C8" t="s">
        <v>78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4" x14ac:dyDescent="0.35">
      <c r="A9" t="s">
        <v>468</v>
      </c>
      <c r="B9" t="s">
        <v>36</v>
      </c>
      <c r="C9" t="s">
        <v>447</v>
      </c>
      <c r="D9">
        <v>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4" x14ac:dyDescent="0.35">
      <c r="A10" t="s">
        <v>469</v>
      </c>
      <c r="B10" t="s">
        <v>453</v>
      </c>
      <c r="C10" t="s">
        <v>36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4" x14ac:dyDescent="0.35">
      <c r="A11" t="s">
        <v>470</v>
      </c>
      <c r="B11" t="s">
        <v>453</v>
      </c>
      <c r="C11" t="s">
        <v>93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4" x14ac:dyDescent="0.35">
      <c r="A12" t="s">
        <v>471</v>
      </c>
      <c r="B12" t="s">
        <v>453</v>
      </c>
      <c r="C12" t="s">
        <v>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4" x14ac:dyDescent="0.35">
      <c r="A13" t="s">
        <v>472</v>
      </c>
      <c r="B13" t="s">
        <v>453</v>
      </c>
      <c r="C13" t="s">
        <v>338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4" x14ac:dyDescent="0.35">
      <c r="A14" t="s">
        <v>473</v>
      </c>
      <c r="B14" t="s">
        <v>453</v>
      </c>
      <c r="C14" t="s">
        <v>348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4" x14ac:dyDescent="0.35">
      <c r="A15" t="s">
        <v>474</v>
      </c>
      <c r="B15" t="s">
        <v>453</v>
      </c>
      <c r="C15" t="s">
        <v>329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4" x14ac:dyDescent="0.35">
      <c r="A16" t="s">
        <v>475</v>
      </c>
      <c r="B16" t="s">
        <v>453</v>
      </c>
      <c r="C16" t="s">
        <v>78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t="s">
        <v>476</v>
      </c>
      <c r="B17" t="s">
        <v>453</v>
      </c>
      <c r="C17" t="s">
        <v>447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t="s">
        <v>477</v>
      </c>
      <c r="B18" t="s">
        <v>316</v>
      </c>
      <c r="C18" t="s">
        <v>36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t="s">
        <v>478</v>
      </c>
      <c r="B19" t="s">
        <v>316</v>
      </c>
      <c r="C19" t="s">
        <v>93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t="s">
        <v>479</v>
      </c>
      <c r="B20" t="s">
        <v>316</v>
      </c>
      <c r="C20" t="s">
        <v>96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 t="s">
        <v>480</v>
      </c>
      <c r="B21" t="s">
        <v>316</v>
      </c>
      <c r="C21" t="s">
        <v>338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t="s">
        <v>481</v>
      </c>
      <c r="B22" t="s">
        <v>316</v>
      </c>
      <c r="C22" t="s">
        <v>348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 t="s">
        <v>482</v>
      </c>
      <c r="B23" t="s">
        <v>316</v>
      </c>
      <c r="C23" t="s">
        <v>329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5">
      <c r="A24" t="s">
        <v>483</v>
      </c>
      <c r="B24" t="s">
        <v>316</v>
      </c>
      <c r="C24" t="s">
        <v>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 t="s">
        <v>484</v>
      </c>
      <c r="B25" t="s">
        <v>316</v>
      </c>
      <c r="C25" t="s">
        <v>447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t="s">
        <v>485</v>
      </c>
      <c r="B26" t="s">
        <v>313</v>
      </c>
      <c r="C26" t="s">
        <v>36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 t="s">
        <v>486</v>
      </c>
      <c r="B27" t="s">
        <v>313</v>
      </c>
      <c r="C27" t="s">
        <v>93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 t="s">
        <v>487</v>
      </c>
      <c r="B28" t="s">
        <v>313</v>
      </c>
      <c r="C28" t="s">
        <v>96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5">
      <c r="A29" t="s">
        <v>488</v>
      </c>
      <c r="B29" t="s">
        <v>313</v>
      </c>
      <c r="C29" t="s">
        <v>338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t="s">
        <v>489</v>
      </c>
      <c r="B30" t="s">
        <v>313</v>
      </c>
      <c r="C30" t="s">
        <v>348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5">
      <c r="A31" t="s">
        <v>490</v>
      </c>
      <c r="B31" t="s">
        <v>313</v>
      </c>
      <c r="C31" t="s">
        <v>329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t="s">
        <v>491</v>
      </c>
      <c r="B32" t="s">
        <v>313</v>
      </c>
      <c r="C32" t="s">
        <v>78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t="s">
        <v>492</v>
      </c>
      <c r="B33" t="s">
        <v>313</v>
      </c>
      <c r="C33" t="s">
        <v>447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t="s">
        <v>493</v>
      </c>
      <c r="B34" t="s">
        <v>323</v>
      </c>
      <c r="C34" t="s">
        <v>36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 t="s">
        <v>494</v>
      </c>
      <c r="B35" t="s">
        <v>323</v>
      </c>
      <c r="C35" t="s">
        <v>93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5">
      <c r="A36" t="s">
        <v>495</v>
      </c>
      <c r="B36" t="s">
        <v>323</v>
      </c>
      <c r="C36" t="s">
        <v>96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 t="s">
        <v>496</v>
      </c>
      <c r="B37" t="s">
        <v>323</v>
      </c>
      <c r="C37" t="s">
        <v>338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5">
      <c r="A38" t="s">
        <v>497</v>
      </c>
      <c r="B38" t="s">
        <v>323</v>
      </c>
      <c r="C38" t="s">
        <v>348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 t="s">
        <v>498</v>
      </c>
      <c r="B39" t="s">
        <v>323</v>
      </c>
      <c r="C39" t="s">
        <v>329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t="s">
        <v>499</v>
      </c>
      <c r="B40" t="s">
        <v>323</v>
      </c>
      <c r="C40" t="s">
        <v>78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 t="s">
        <v>500</v>
      </c>
      <c r="B41" t="s">
        <v>323</v>
      </c>
      <c r="C41" t="s">
        <v>447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 t="s">
        <v>501</v>
      </c>
      <c r="B42" t="s">
        <v>328</v>
      </c>
      <c r="C42" t="s">
        <v>36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t="s">
        <v>502</v>
      </c>
      <c r="B43" t="s">
        <v>328</v>
      </c>
      <c r="C43" t="s">
        <v>93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5">
      <c r="A44" t="s">
        <v>503</v>
      </c>
      <c r="B44" t="s">
        <v>328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5">
      <c r="A45" t="s">
        <v>504</v>
      </c>
      <c r="B45" t="s">
        <v>328</v>
      </c>
      <c r="C45" t="s">
        <v>338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 t="s">
        <v>505</v>
      </c>
      <c r="B46" t="s">
        <v>328</v>
      </c>
      <c r="C46" t="s">
        <v>348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 t="s">
        <v>506</v>
      </c>
      <c r="B47" t="s">
        <v>328</v>
      </c>
      <c r="C47" t="s">
        <v>329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t="s">
        <v>507</v>
      </c>
      <c r="B48" t="s">
        <v>328</v>
      </c>
      <c r="C48" t="s">
        <v>78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t="s">
        <v>508</v>
      </c>
      <c r="B49" t="s">
        <v>328</v>
      </c>
      <c r="C49" t="s">
        <v>447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t="s">
        <v>509</v>
      </c>
      <c r="B50" t="s">
        <v>334</v>
      </c>
      <c r="C50" t="s">
        <v>36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 t="s">
        <v>510</v>
      </c>
      <c r="B51" t="s">
        <v>334</v>
      </c>
      <c r="C51" t="s">
        <v>93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5">
      <c r="A52" t="s">
        <v>511</v>
      </c>
      <c r="B52" t="s">
        <v>334</v>
      </c>
      <c r="C52" t="s">
        <v>96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t="s">
        <v>512</v>
      </c>
      <c r="B53" t="s">
        <v>334</v>
      </c>
      <c r="C53" t="s">
        <v>338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t="s">
        <v>513</v>
      </c>
      <c r="B54" t="s">
        <v>334</v>
      </c>
      <c r="C54" t="s">
        <v>348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t="s">
        <v>514</v>
      </c>
      <c r="B55" t="s">
        <v>334</v>
      </c>
      <c r="C55" t="s">
        <v>329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t="s">
        <v>515</v>
      </c>
      <c r="B56" t="s">
        <v>334</v>
      </c>
      <c r="C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t="s">
        <v>516</v>
      </c>
      <c r="B57" t="s">
        <v>334</v>
      </c>
      <c r="C57" t="s">
        <v>447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 t="s">
        <v>517</v>
      </c>
      <c r="B58" t="s">
        <v>347</v>
      </c>
      <c r="C58" t="s">
        <v>36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5">
      <c r="A59" t="s">
        <v>518</v>
      </c>
      <c r="B59" t="s">
        <v>347</v>
      </c>
      <c r="C59" t="s">
        <v>93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 t="s">
        <v>519</v>
      </c>
      <c r="B60" t="s">
        <v>347</v>
      </c>
      <c r="C60" t="s">
        <v>96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5">
      <c r="A61" t="s">
        <v>520</v>
      </c>
      <c r="B61" t="s">
        <v>347</v>
      </c>
      <c r="C61" t="s">
        <v>338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 t="s">
        <v>521</v>
      </c>
      <c r="B62" t="s">
        <v>347</v>
      </c>
      <c r="C62" t="s">
        <v>348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 t="s">
        <v>522</v>
      </c>
      <c r="B63" t="s">
        <v>347</v>
      </c>
      <c r="C63" t="s">
        <v>329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 t="s">
        <v>523</v>
      </c>
      <c r="B64" t="s">
        <v>347</v>
      </c>
      <c r="C64" t="s">
        <v>78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 t="s">
        <v>524</v>
      </c>
      <c r="B65" t="s">
        <v>347</v>
      </c>
      <c r="C65" t="s">
        <v>447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5">
      <c r="A66" t="s">
        <v>525</v>
      </c>
      <c r="B66" t="s">
        <v>77</v>
      </c>
      <c r="C66" t="s">
        <v>36</v>
      </c>
      <c r="D66">
        <v>23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 t="s">
        <v>526</v>
      </c>
      <c r="B67" t="s">
        <v>77</v>
      </c>
      <c r="C67" t="s">
        <v>93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 t="s">
        <v>527</v>
      </c>
      <c r="B68" t="s">
        <v>77</v>
      </c>
      <c r="C68" t="s">
        <v>96</v>
      </c>
      <c r="D68">
        <v>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 t="s">
        <v>528</v>
      </c>
      <c r="B69" t="s">
        <v>77</v>
      </c>
      <c r="C69" t="s">
        <v>338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t="s">
        <v>529</v>
      </c>
      <c r="B70" t="s">
        <v>77</v>
      </c>
      <c r="C70" t="s">
        <v>348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 t="s">
        <v>530</v>
      </c>
      <c r="B71" t="s">
        <v>77</v>
      </c>
      <c r="C71" t="s">
        <v>329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5">
      <c r="A72" t="s">
        <v>531</v>
      </c>
      <c r="B72" t="s">
        <v>77</v>
      </c>
      <c r="C72" t="s">
        <v>78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5">
      <c r="A73" t="s">
        <v>532</v>
      </c>
      <c r="B73" t="s">
        <v>77</v>
      </c>
      <c r="C73" t="s">
        <v>447</v>
      </c>
      <c r="D73">
        <v>12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 t="s">
        <v>533</v>
      </c>
      <c r="B74" t="s">
        <v>451</v>
      </c>
      <c r="C74" t="s">
        <v>36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t="s">
        <v>534</v>
      </c>
      <c r="B75" t="s">
        <v>451</v>
      </c>
      <c r="C75" t="s">
        <v>93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5">
      <c r="A76" t="s">
        <v>535</v>
      </c>
      <c r="B76" t="s">
        <v>451</v>
      </c>
      <c r="C76" t="s">
        <v>96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 t="s">
        <v>536</v>
      </c>
      <c r="B77" t="s">
        <v>451</v>
      </c>
      <c r="C77" t="s">
        <v>338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t="s">
        <v>537</v>
      </c>
      <c r="B78" t="s">
        <v>451</v>
      </c>
      <c r="C78" t="s">
        <v>348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 t="s">
        <v>538</v>
      </c>
      <c r="B79" t="s">
        <v>451</v>
      </c>
      <c r="C79" t="s">
        <v>329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5">
      <c r="A80" t="s">
        <v>539</v>
      </c>
      <c r="B80" t="s">
        <v>451</v>
      </c>
      <c r="C80" t="s">
        <v>78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t="s">
        <v>540</v>
      </c>
      <c r="B81" t="s">
        <v>451</v>
      </c>
      <c r="C81" t="s">
        <v>447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1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56</v>
      </c>
      <c r="B1" t="s">
        <v>22</v>
      </c>
      <c r="C1" t="s">
        <v>24</v>
      </c>
      <c r="D1" t="s">
        <v>45</v>
      </c>
      <c r="E1" t="s">
        <v>19</v>
      </c>
      <c r="F1" t="s">
        <v>20</v>
      </c>
    </row>
    <row r="2" spans="1:6" x14ac:dyDescent="0.35">
      <c r="A2" t="s">
        <v>541</v>
      </c>
      <c r="B2" t="s">
        <v>36</v>
      </c>
      <c r="C2" t="s">
        <v>36</v>
      </c>
      <c r="D2" t="s">
        <v>29</v>
      </c>
      <c r="E2">
        <v>0</v>
      </c>
      <c r="F2">
        <v>0</v>
      </c>
    </row>
    <row r="3" spans="1:6" x14ac:dyDescent="0.35">
      <c r="A3" t="s">
        <v>542</v>
      </c>
      <c r="B3" t="s">
        <v>36</v>
      </c>
      <c r="C3" t="s">
        <v>36</v>
      </c>
      <c r="D3" t="s">
        <v>46</v>
      </c>
      <c r="E3">
        <v>0</v>
      </c>
      <c r="F3">
        <v>0</v>
      </c>
    </row>
    <row r="4" spans="1:6" x14ac:dyDescent="0.35">
      <c r="A4" t="s">
        <v>543</v>
      </c>
      <c r="B4" t="s">
        <v>36</v>
      </c>
      <c r="C4" t="s">
        <v>93</v>
      </c>
      <c r="D4" t="s">
        <v>29</v>
      </c>
      <c r="E4">
        <v>0</v>
      </c>
      <c r="F4">
        <v>0</v>
      </c>
    </row>
    <row r="5" spans="1:6" x14ac:dyDescent="0.35">
      <c r="A5" t="s">
        <v>544</v>
      </c>
      <c r="B5" t="s">
        <v>36</v>
      </c>
      <c r="C5" t="s">
        <v>93</v>
      </c>
      <c r="D5" t="s">
        <v>46</v>
      </c>
      <c r="E5">
        <v>0</v>
      </c>
      <c r="F5">
        <v>0</v>
      </c>
    </row>
    <row r="6" spans="1:6" x14ac:dyDescent="0.35">
      <c r="A6" t="s">
        <v>545</v>
      </c>
      <c r="B6" t="s">
        <v>36</v>
      </c>
      <c r="C6" t="s">
        <v>96</v>
      </c>
      <c r="D6" t="s">
        <v>29</v>
      </c>
      <c r="E6">
        <v>0</v>
      </c>
      <c r="F6">
        <v>0</v>
      </c>
    </row>
    <row r="7" spans="1:6" x14ac:dyDescent="0.35">
      <c r="A7" t="s">
        <v>546</v>
      </c>
      <c r="B7" t="s">
        <v>36</v>
      </c>
      <c r="C7" t="s">
        <v>96</v>
      </c>
      <c r="D7" t="s">
        <v>46</v>
      </c>
      <c r="E7">
        <v>0</v>
      </c>
      <c r="F7">
        <v>0</v>
      </c>
    </row>
    <row r="8" spans="1:6" x14ac:dyDescent="0.35">
      <c r="A8" t="s">
        <v>547</v>
      </c>
      <c r="B8" t="s">
        <v>36</v>
      </c>
      <c r="C8" t="s">
        <v>338</v>
      </c>
      <c r="D8" t="s">
        <v>29</v>
      </c>
      <c r="E8">
        <v>0</v>
      </c>
      <c r="F8">
        <v>0</v>
      </c>
    </row>
    <row r="9" spans="1:6" x14ac:dyDescent="0.35">
      <c r="A9" t="s">
        <v>548</v>
      </c>
      <c r="B9" t="s">
        <v>36</v>
      </c>
      <c r="C9" t="s">
        <v>338</v>
      </c>
      <c r="D9" t="s">
        <v>46</v>
      </c>
      <c r="E9">
        <v>0</v>
      </c>
      <c r="F9">
        <v>0</v>
      </c>
    </row>
    <row r="10" spans="1:6" x14ac:dyDescent="0.35">
      <c r="A10" t="s">
        <v>549</v>
      </c>
      <c r="B10" t="s">
        <v>36</v>
      </c>
      <c r="C10" t="s">
        <v>348</v>
      </c>
      <c r="D10" t="s">
        <v>29</v>
      </c>
      <c r="E10">
        <v>0</v>
      </c>
      <c r="F10">
        <v>0</v>
      </c>
    </row>
    <row r="11" spans="1:6" x14ac:dyDescent="0.35">
      <c r="A11" t="s">
        <v>550</v>
      </c>
      <c r="B11" t="s">
        <v>36</v>
      </c>
      <c r="C11" t="s">
        <v>348</v>
      </c>
      <c r="D11" t="s">
        <v>46</v>
      </c>
      <c r="E11">
        <v>0</v>
      </c>
      <c r="F11">
        <v>0</v>
      </c>
    </row>
    <row r="12" spans="1:6" x14ac:dyDescent="0.35">
      <c r="A12" t="s">
        <v>551</v>
      </c>
      <c r="B12" t="s">
        <v>36</v>
      </c>
      <c r="C12" t="s">
        <v>329</v>
      </c>
      <c r="D12" t="s">
        <v>29</v>
      </c>
      <c r="E12">
        <v>0</v>
      </c>
      <c r="F12">
        <v>0</v>
      </c>
    </row>
    <row r="13" spans="1:6" x14ac:dyDescent="0.35">
      <c r="A13" t="s">
        <v>552</v>
      </c>
      <c r="B13" t="s">
        <v>36</v>
      </c>
      <c r="C13" t="s">
        <v>329</v>
      </c>
      <c r="D13" t="s">
        <v>46</v>
      </c>
      <c r="E13">
        <v>0</v>
      </c>
      <c r="F13">
        <v>0</v>
      </c>
    </row>
    <row r="14" spans="1:6" x14ac:dyDescent="0.35">
      <c r="A14" t="s">
        <v>553</v>
      </c>
      <c r="B14" t="s">
        <v>36</v>
      </c>
      <c r="C14" t="s">
        <v>78</v>
      </c>
      <c r="D14" t="s">
        <v>29</v>
      </c>
      <c r="E14">
        <v>0</v>
      </c>
      <c r="F14">
        <v>0</v>
      </c>
    </row>
    <row r="15" spans="1:6" x14ac:dyDescent="0.35">
      <c r="A15" t="s">
        <v>554</v>
      </c>
      <c r="B15" t="s">
        <v>36</v>
      </c>
      <c r="C15" t="s">
        <v>78</v>
      </c>
      <c r="D15" t="s">
        <v>46</v>
      </c>
      <c r="E15">
        <v>0</v>
      </c>
      <c r="F15">
        <v>0</v>
      </c>
    </row>
    <row r="16" spans="1:6" x14ac:dyDescent="0.35">
      <c r="A16" t="s">
        <v>555</v>
      </c>
      <c r="B16" t="s">
        <v>36</v>
      </c>
      <c r="C16" t="s">
        <v>447</v>
      </c>
      <c r="D16" t="s">
        <v>29</v>
      </c>
      <c r="E16">
        <v>0</v>
      </c>
      <c r="F16">
        <v>0</v>
      </c>
    </row>
    <row r="17" spans="1:6" x14ac:dyDescent="0.35">
      <c r="A17" t="s">
        <v>556</v>
      </c>
      <c r="B17" t="s">
        <v>36</v>
      </c>
      <c r="C17" t="s">
        <v>447</v>
      </c>
      <c r="D17" t="s">
        <v>46</v>
      </c>
      <c r="E17">
        <v>0</v>
      </c>
      <c r="F17">
        <v>0</v>
      </c>
    </row>
    <row r="18" spans="1:6" x14ac:dyDescent="0.35">
      <c r="A18" t="s">
        <v>557</v>
      </c>
      <c r="B18" t="s">
        <v>453</v>
      </c>
      <c r="C18" t="s">
        <v>36</v>
      </c>
      <c r="D18" t="s">
        <v>29</v>
      </c>
      <c r="E18">
        <v>0</v>
      </c>
      <c r="F18">
        <v>0</v>
      </c>
    </row>
    <row r="19" spans="1:6" x14ac:dyDescent="0.35">
      <c r="A19" t="s">
        <v>558</v>
      </c>
      <c r="B19" t="s">
        <v>453</v>
      </c>
      <c r="C19" t="s">
        <v>36</v>
      </c>
      <c r="D19" t="s">
        <v>46</v>
      </c>
      <c r="E19">
        <v>0</v>
      </c>
      <c r="F19">
        <v>0</v>
      </c>
    </row>
    <row r="20" spans="1:6" x14ac:dyDescent="0.35">
      <c r="A20" t="s">
        <v>559</v>
      </c>
      <c r="B20" t="s">
        <v>453</v>
      </c>
      <c r="C20" t="s">
        <v>93</v>
      </c>
      <c r="D20" t="s">
        <v>29</v>
      </c>
      <c r="E20">
        <v>0</v>
      </c>
      <c r="F20">
        <v>0</v>
      </c>
    </row>
    <row r="21" spans="1:6" x14ac:dyDescent="0.35">
      <c r="A21" t="s">
        <v>560</v>
      </c>
      <c r="B21" t="s">
        <v>453</v>
      </c>
      <c r="C21" t="s">
        <v>93</v>
      </c>
      <c r="D21" t="s">
        <v>46</v>
      </c>
      <c r="E21">
        <v>0</v>
      </c>
      <c r="F21">
        <v>0</v>
      </c>
    </row>
    <row r="22" spans="1:6" x14ac:dyDescent="0.35">
      <c r="A22" t="s">
        <v>561</v>
      </c>
      <c r="B22" t="s">
        <v>453</v>
      </c>
      <c r="C22" t="s">
        <v>96</v>
      </c>
      <c r="D22" t="s">
        <v>29</v>
      </c>
      <c r="E22">
        <v>0</v>
      </c>
      <c r="F22">
        <v>0</v>
      </c>
    </row>
    <row r="23" spans="1:6" x14ac:dyDescent="0.35">
      <c r="A23" t="s">
        <v>562</v>
      </c>
      <c r="B23" t="s">
        <v>453</v>
      </c>
      <c r="C23" t="s">
        <v>96</v>
      </c>
      <c r="D23" t="s">
        <v>46</v>
      </c>
      <c r="E23">
        <v>0</v>
      </c>
      <c r="F23">
        <v>0</v>
      </c>
    </row>
    <row r="24" spans="1:6" x14ac:dyDescent="0.35">
      <c r="A24" t="s">
        <v>563</v>
      </c>
      <c r="B24" t="s">
        <v>453</v>
      </c>
      <c r="C24" t="s">
        <v>338</v>
      </c>
      <c r="D24" t="s">
        <v>29</v>
      </c>
      <c r="E24">
        <v>0</v>
      </c>
      <c r="F24">
        <v>0</v>
      </c>
    </row>
    <row r="25" spans="1:6" x14ac:dyDescent="0.35">
      <c r="A25" t="s">
        <v>564</v>
      </c>
      <c r="B25" t="s">
        <v>453</v>
      </c>
      <c r="C25" t="s">
        <v>338</v>
      </c>
      <c r="D25" t="s">
        <v>46</v>
      </c>
      <c r="E25">
        <v>0</v>
      </c>
      <c r="F25">
        <v>0</v>
      </c>
    </row>
    <row r="26" spans="1:6" x14ac:dyDescent="0.35">
      <c r="A26" t="s">
        <v>565</v>
      </c>
      <c r="B26" t="s">
        <v>453</v>
      </c>
      <c r="C26" t="s">
        <v>348</v>
      </c>
      <c r="D26" t="s">
        <v>29</v>
      </c>
      <c r="E26">
        <v>0</v>
      </c>
      <c r="F26">
        <v>0</v>
      </c>
    </row>
    <row r="27" spans="1:6" x14ac:dyDescent="0.35">
      <c r="A27" t="s">
        <v>566</v>
      </c>
      <c r="B27" t="s">
        <v>453</v>
      </c>
      <c r="C27" t="s">
        <v>348</v>
      </c>
      <c r="D27" t="s">
        <v>46</v>
      </c>
      <c r="E27">
        <v>0</v>
      </c>
      <c r="F27">
        <v>0</v>
      </c>
    </row>
    <row r="28" spans="1:6" x14ac:dyDescent="0.35">
      <c r="A28" t="s">
        <v>567</v>
      </c>
      <c r="B28" t="s">
        <v>453</v>
      </c>
      <c r="C28" t="s">
        <v>329</v>
      </c>
      <c r="D28" t="s">
        <v>29</v>
      </c>
      <c r="E28">
        <v>0</v>
      </c>
      <c r="F28">
        <v>0</v>
      </c>
    </row>
    <row r="29" spans="1:6" x14ac:dyDescent="0.35">
      <c r="A29" t="s">
        <v>568</v>
      </c>
      <c r="B29" t="s">
        <v>453</v>
      </c>
      <c r="C29" t="s">
        <v>329</v>
      </c>
      <c r="D29" t="s">
        <v>46</v>
      </c>
      <c r="E29">
        <v>0</v>
      </c>
      <c r="F29">
        <v>0</v>
      </c>
    </row>
    <row r="30" spans="1:6" x14ac:dyDescent="0.35">
      <c r="A30" t="s">
        <v>569</v>
      </c>
      <c r="B30" t="s">
        <v>453</v>
      </c>
      <c r="C30" t="s">
        <v>78</v>
      </c>
      <c r="D30" t="s">
        <v>29</v>
      </c>
      <c r="E30">
        <v>0</v>
      </c>
      <c r="F30">
        <v>0</v>
      </c>
    </row>
    <row r="31" spans="1:6" x14ac:dyDescent="0.35">
      <c r="A31" t="s">
        <v>570</v>
      </c>
      <c r="B31" t="s">
        <v>453</v>
      </c>
      <c r="C31" t="s">
        <v>78</v>
      </c>
      <c r="D31" t="s">
        <v>46</v>
      </c>
      <c r="E31">
        <v>0</v>
      </c>
      <c r="F31">
        <v>0</v>
      </c>
    </row>
    <row r="32" spans="1:6" x14ac:dyDescent="0.35">
      <c r="A32" t="s">
        <v>571</v>
      </c>
      <c r="B32" t="s">
        <v>453</v>
      </c>
      <c r="C32" t="s">
        <v>447</v>
      </c>
      <c r="D32" t="s">
        <v>29</v>
      </c>
      <c r="E32">
        <v>0</v>
      </c>
      <c r="F32">
        <v>0</v>
      </c>
    </row>
    <row r="33" spans="1:6" x14ac:dyDescent="0.35">
      <c r="A33" t="s">
        <v>572</v>
      </c>
      <c r="B33" t="s">
        <v>453</v>
      </c>
      <c r="C33" t="s">
        <v>447</v>
      </c>
      <c r="D33" t="s">
        <v>46</v>
      </c>
      <c r="E33">
        <v>0</v>
      </c>
      <c r="F33">
        <v>0</v>
      </c>
    </row>
    <row r="34" spans="1:6" x14ac:dyDescent="0.35">
      <c r="A34" t="s">
        <v>573</v>
      </c>
      <c r="B34" t="s">
        <v>316</v>
      </c>
      <c r="C34" t="s">
        <v>36</v>
      </c>
      <c r="D34" t="s">
        <v>29</v>
      </c>
      <c r="E34">
        <v>0</v>
      </c>
      <c r="F34">
        <v>0</v>
      </c>
    </row>
    <row r="35" spans="1:6" x14ac:dyDescent="0.35">
      <c r="A35" t="s">
        <v>574</v>
      </c>
      <c r="B35" t="s">
        <v>316</v>
      </c>
      <c r="C35" t="s">
        <v>36</v>
      </c>
      <c r="D35" t="s">
        <v>46</v>
      </c>
      <c r="E35">
        <v>0</v>
      </c>
      <c r="F35">
        <v>0</v>
      </c>
    </row>
    <row r="36" spans="1:6" x14ac:dyDescent="0.35">
      <c r="A36" t="s">
        <v>575</v>
      </c>
      <c r="B36" t="s">
        <v>316</v>
      </c>
      <c r="C36" t="s">
        <v>93</v>
      </c>
      <c r="D36" t="s">
        <v>29</v>
      </c>
      <c r="E36">
        <v>0</v>
      </c>
      <c r="F36">
        <v>0</v>
      </c>
    </row>
    <row r="37" spans="1:6" x14ac:dyDescent="0.35">
      <c r="A37" t="s">
        <v>576</v>
      </c>
      <c r="B37" t="s">
        <v>316</v>
      </c>
      <c r="C37" t="s">
        <v>93</v>
      </c>
      <c r="D37" t="s">
        <v>46</v>
      </c>
      <c r="E37">
        <v>0</v>
      </c>
      <c r="F37">
        <v>0</v>
      </c>
    </row>
    <row r="38" spans="1:6" x14ac:dyDescent="0.35">
      <c r="A38" t="s">
        <v>577</v>
      </c>
      <c r="B38" t="s">
        <v>316</v>
      </c>
      <c r="C38" t="s">
        <v>96</v>
      </c>
      <c r="D38" t="s">
        <v>29</v>
      </c>
      <c r="E38">
        <v>0</v>
      </c>
      <c r="F38">
        <v>0</v>
      </c>
    </row>
    <row r="39" spans="1:6" x14ac:dyDescent="0.35">
      <c r="A39" t="s">
        <v>578</v>
      </c>
      <c r="B39" t="s">
        <v>316</v>
      </c>
      <c r="C39" t="s">
        <v>96</v>
      </c>
      <c r="D39" t="s">
        <v>46</v>
      </c>
      <c r="E39">
        <v>0</v>
      </c>
      <c r="F39">
        <v>0</v>
      </c>
    </row>
    <row r="40" spans="1:6" x14ac:dyDescent="0.35">
      <c r="A40" t="s">
        <v>579</v>
      </c>
      <c r="B40" t="s">
        <v>316</v>
      </c>
      <c r="C40" t="s">
        <v>338</v>
      </c>
      <c r="D40" t="s">
        <v>29</v>
      </c>
      <c r="E40">
        <v>0</v>
      </c>
      <c r="F40">
        <v>0</v>
      </c>
    </row>
    <row r="41" spans="1:6" x14ac:dyDescent="0.35">
      <c r="A41" t="s">
        <v>580</v>
      </c>
      <c r="B41" t="s">
        <v>316</v>
      </c>
      <c r="C41" t="s">
        <v>338</v>
      </c>
      <c r="D41" t="s">
        <v>46</v>
      </c>
      <c r="E41">
        <v>0</v>
      </c>
      <c r="F41">
        <v>0</v>
      </c>
    </row>
    <row r="42" spans="1:6" x14ac:dyDescent="0.35">
      <c r="A42" t="s">
        <v>581</v>
      </c>
      <c r="B42" t="s">
        <v>316</v>
      </c>
      <c r="C42" t="s">
        <v>348</v>
      </c>
      <c r="D42" t="s">
        <v>29</v>
      </c>
      <c r="E42">
        <v>0</v>
      </c>
      <c r="F42">
        <v>0</v>
      </c>
    </row>
    <row r="43" spans="1:6" x14ac:dyDescent="0.35">
      <c r="A43" t="s">
        <v>582</v>
      </c>
      <c r="B43" t="s">
        <v>316</v>
      </c>
      <c r="C43" t="s">
        <v>348</v>
      </c>
      <c r="D43" t="s">
        <v>46</v>
      </c>
      <c r="E43">
        <v>0</v>
      </c>
      <c r="F43">
        <v>0</v>
      </c>
    </row>
    <row r="44" spans="1:6" x14ac:dyDescent="0.35">
      <c r="A44" t="s">
        <v>583</v>
      </c>
      <c r="B44" t="s">
        <v>316</v>
      </c>
      <c r="C44" t="s">
        <v>329</v>
      </c>
      <c r="D44" t="s">
        <v>29</v>
      </c>
      <c r="E44">
        <v>0</v>
      </c>
      <c r="F44">
        <v>0</v>
      </c>
    </row>
    <row r="45" spans="1:6" x14ac:dyDescent="0.35">
      <c r="A45" t="s">
        <v>584</v>
      </c>
      <c r="B45" t="s">
        <v>316</v>
      </c>
      <c r="C45" t="s">
        <v>329</v>
      </c>
      <c r="D45" t="s">
        <v>46</v>
      </c>
      <c r="E45">
        <v>0</v>
      </c>
      <c r="F45">
        <v>0</v>
      </c>
    </row>
    <row r="46" spans="1:6" x14ac:dyDescent="0.35">
      <c r="A46" t="s">
        <v>585</v>
      </c>
      <c r="B46" t="s">
        <v>316</v>
      </c>
      <c r="C46" t="s">
        <v>78</v>
      </c>
      <c r="D46" t="s">
        <v>29</v>
      </c>
      <c r="E46">
        <v>0</v>
      </c>
      <c r="F46">
        <v>0</v>
      </c>
    </row>
    <row r="47" spans="1:6" x14ac:dyDescent="0.35">
      <c r="A47" t="s">
        <v>586</v>
      </c>
      <c r="B47" t="s">
        <v>316</v>
      </c>
      <c r="C47" t="s">
        <v>78</v>
      </c>
      <c r="D47" t="s">
        <v>46</v>
      </c>
      <c r="E47">
        <v>0</v>
      </c>
      <c r="F47">
        <v>0</v>
      </c>
    </row>
    <row r="48" spans="1:6" x14ac:dyDescent="0.35">
      <c r="A48" t="s">
        <v>587</v>
      </c>
      <c r="B48" t="s">
        <v>316</v>
      </c>
      <c r="C48" t="s">
        <v>447</v>
      </c>
      <c r="D48" t="s">
        <v>29</v>
      </c>
      <c r="E48">
        <v>0</v>
      </c>
      <c r="F48">
        <v>0</v>
      </c>
    </row>
    <row r="49" spans="1:6" x14ac:dyDescent="0.35">
      <c r="A49" t="s">
        <v>588</v>
      </c>
      <c r="B49" t="s">
        <v>316</v>
      </c>
      <c r="C49" t="s">
        <v>447</v>
      </c>
      <c r="D49" t="s">
        <v>46</v>
      </c>
      <c r="E49">
        <v>0</v>
      </c>
      <c r="F49">
        <v>0</v>
      </c>
    </row>
    <row r="50" spans="1:6" x14ac:dyDescent="0.35">
      <c r="A50" t="s">
        <v>589</v>
      </c>
      <c r="B50" t="s">
        <v>313</v>
      </c>
      <c r="C50" t="s">
        <v>36</v>
      </c>
      <c r="D50" t="s">
        <v>29</v>
      </c>
      <c r="E50">
        <v>0</v>
      </c>
      <c r="F50">
        <v>0</v>
      </c>
    </row>
    <row r="51" spans="1:6" x14ac:dyDescent="0.35">
      <c r="A51" t="s">
        <v>590</v>
      </c>
      <c r="B51" t="s">
        <v>313</v>
      </c>
      <c r="C51" t="s">
        <v>36</v>
      </c>
      <c r="D51" t="s">
        <v>46</v>
      </c>
      <c r="E51">
        <v>0</v>
      </c>
      <c r="F51">
        <v>0</v>
      </c>
    </row>
    <row r="52" spans="1:6" x14ac:dyDescent="0.35">
      <c r="A52" t="s">
        <v>591</v>
      </c>
      <c r="B52" t="s">
        <v>313</v>
      </c>
      <c r="C52" t="s">
        <v>93</v>
      </c>
      <c r="D52" t="s">
        <v>29</v>
      </c>
      <c r="E52">
        <v>0</v>
      </c>
      <c r="F52">
        <v>0</v>
      </c>
    </row>
    <row r="53" spans="1:6" x14ac:dyDescent="0.35">
      <c r="A53" t="s">
        <v>592</v>
      </c>
      <c r="B53" t="s">
        <v>313</v>
      </c>
      <c r="C53" t="s">
        <v>93</v>
      </c>
      <c r="D53" t="s">
        <v>46</v>
      </c>
      <c r="E53">
        <v>0</v>
      </c>
      <c r="F53">
        <v>0</v>
      </c>
    </row>
    <row r="54" spans="1:6" x14ac:dyDescent="0.35">
      <c r="A54" t="s">
        <v>593</v>
      </c>
      <c r="B54" t="s">
        <v>313</v>
      </c>
      <c r="C54" t="s">
        <v>96</v>
      </c>
      <c r="D54" t="s">
        <v>29</v>
      </c>
      <c r="E54">
        <v>0</v>
      </c>
      <c r="F54">
        <v>0</v>
      </c>
    </row>
    <row r="55" spans="1:6" x14ac:dyDescent="0.35">
      <c r="A55" t="s">
        <v>594</v>
      </c>
      <c r="B55" t="s">
        <v>313</v>
      </c>
      <c r="C55" t="s">
        <v>96</v>
      </c>
      <c r="D55" t="s">
        <v>46</v>
      </c>
      <c r="E55">
        <v>0</v>
      </c>
      <c r="F55">
        <v>0</v>
      </c>
    </row>
    <row r="56" spans="1:6" x14ac:dyDescent="0.35">
      <c r="A56" t="s">
        <v>595</v>
      </c>
      <c r="B56" t="s">
        <v>313</v>
      </c>
      <c r="C56" t="s">
        <v>338</v>
      </c>
      <c r="D56" t="s">
        <v>29</v>
      </c>
      <c r="E56">
        <v>0</v>
      </c>
      <c r="F56">
        <v>0</v>
      </c>
    </row>
    <row r="57" spans="1:6" x14ac:dyDescent="0.35">
      <c r="A57" t="s">
        <v>596</v>
      </c>
      <c r="B57" t="s">
        <v>313</v>
      </c>
      <c r="C57" t="s">
        <v>338</v>
      </c>
      <c r="D57" t="s">
        <v>46</v>
      </c>
      <c r="E57">
        <v>0</v>
      </c>
      <c r="F57">
        <v>0</v>
      </c>
    </row>
    <row r="58" spans="1:6" x14ac:dyDescent="0.35">
      <c r="A58" t="s">
        <v>597</v>
      </c>
      <c r="B58" t="s">
        <v>313</v>
      </c>
      <c r="C58" t="s">
        <v>348</v>
      </c>
      <c r="D58" t="s">
        <v>29</v>
      </c>
      <c r="E58">
        <v>0</v>
      </c>
      <c r="F58">
        <v>0</v>
      </c>
    </row>
    <row r="59" spans="1:6" x14ac:dyDescent="0.35">
      <c r="A59" t="s">
        <v>598</v>
      </c>
      <c r="B59" t="s">
        <v>313</v>
      </c>
      <c r="C59" t="s">
        <v>348</v>
      </c>
      <c r="D59" t="s">
        <v>46</v>
      </c>
      <c r="E59">
        <v>0</v>
      </c>
      <c r="F59">
        <v>0</v>
      </c>
    </row>
    <row r="60" spans="1:6" x14ac:dyDescent="0.35">
      <c r="A60" t="s">
        <v>599</v>
      </c>
      <c r="B60" t="s">
        <v>313</v>
      </c>
      <c r="C60" t="s">
        <v>329</v>
      </c>
      <c r="D60" t="s">
        <v>29</v>
      </c>
      <c r="E60">
        <v>0</v>
      </c>
      <c r="F60">
        <v>0</v>
      </c>
    </row>
    <row r="61" spans="1:6" x14ac:dyDescent="0.35">
      <c r="A61" t="s">
        <v>600</v>
      </c>
      <c r="B61" t="s">
        <v>313</v>
      </c>
      <c r="C61" t="s">
        <v>329</v>
      </c>
      <c r="D61" t="s">
        <v>46</v>
      </c>
      <c r="E61">
        <v>0</v>
      </c>
      <c r="F61">
        <v>0</v>
      </c>
    </row>
    <row r="62" spans="1:6" x14ac:dyDescent="0.35">
      <c r="A62" t="s">
        <v>601</v>
      </c>
      <c r="B62" t="s">
        <v>313</v>
      </c>
      <c r="C62" t="s">
        <v>78</v>
      </c>
      <c r="D62" t="s">
        <v>29</v>
      </c>
      <c r="E62">
        <v>0</v>
      </c>
      <c r="F62">
        <v>0</v>
      </c>
    </row>
    <row r="63" spans="1:6" x14ac:dyDescent="0.35">
      <c r="A63" t="s">
        <v>602</v>
      </c>
      <c r="B63" t="s">
        <v>313</v>
      </c>
      <c r="C63" t="s">
        <v>78</v>
      </c>
      <c r="D63" t="s">
        <v>46</v>
      </c>
      <c r="E63">
        <v>0</v>
      </c>
      <c r="F63">
        <v>0</v>
      </c>
    </row>
    <row r="64" spans="1:6" x14ac:dyDescent="0.35">
      <c r="A64" t="s">
        <v>603</v>
      </c>
      <c r="B64" t="s">
        <v>313</v>
      </c>
      <c r="C64" t="s">
        <v>447</v>
      </c>
      <c r="D64" t="s">
        <v>29</v>
      </c>
      <c r="E64">
        <v>0</v>
      </c>
      <c r="F64">
        <v>0</v>
      </c>
    </row>
    <row r="65" spans="1:6" x14ac:dyDescent="0.35">
      <c r="A65" t="s">
        <v>604</v>
      </c>
      <c r="B65" t="s">
        <v>313</v>
      </c>
      <c r="C65" t="s">
        <v>447</v>
      </c>
      <c r="D65" t="s">
        <v>46</v>
      </c>
      <c r="E65">
        <v>0</v>
      </c>
      <c r="F65">
        <v>0</v>
      </c>
    </row>
    <row r="66" spans="1:6" x14ac:dyDescent="0.35">
      <c r="A66" t="s">
        <v>605</v>
      </c>
      <c r="B66" t="s">
        <v>323</v>
      </c>
      <c r="C66" t="s">
        <v>36</v>
      </c>
      <c r="D66" t="s">
        <v>29</v>
      </c>
      <c r="E66">
        <v>0</v>
      </c>
      <c r="F66">
        <v>0</v>
      </c>
    </row>
    <row r="67" spans="1:6" x14ac:dyDescent="0.35">
      <c r="A67" t="s">
        <v>606</v>
      </c>
      <c r="B67" t="s">
        <v>323</v>
      </c>
      <c r="C67" t="s">
        <v>36</v>
      </c>
      <c r="D67" t="s">
        <v>46</v>
      </c>
      <c r="E67">
        <v>0</v>
      </c>
      <c r="F67">
        <v>0</v>
      </c>
    </row>
    <row r="68" spans="1:6" x14ac:dyDescent="0.35">
      <c r="A68" t="s">
        <v>607</v>
      </c>
      <c r="B68" t="s">
        <v>323</v>
      </c>
      <c r="C68" t="s">
        <v>93</v>
      </c>
      <c r="D68" t="s">
        <v>29</v>
      </c>
      <c r="E68">
        <v>0</v>
      </c>
      <c r="F68">
        <v>0</v>
      </c>
    </row>
    <row r="69" spans="1:6" x14ac:dyDescent="0.35">
      <c r="A69" t="s">
        <v>608</v>
      </c>
      <c r="B69" t="s">
        <v>323</v>
      </c>
      <c r="C69" t="s">
        <v>93</v>
      </c>
      <c r="D69" t="s">
        <v>46</v>
      </c>
      <c r="E69">
        <v>0</v>
      </c>
      <c r="F69">
        <v>0</v>
      </c>
    </row>
    <row r="70" spans="1:6" x14ac:dyDescent="0.35">
      <c r="A70" t="s">
        <v>609</v>
      </c>
      <c r="B70" t="s">
        <v>323</v>
      </c>
      <c r="C70" t="s">
        <v>96</v>
      </c>
      <c r="D70" t="s">
        <v>29</v>
      </c>
      <c r="E70">
        <v>0</v>
      </c>
      <c r="F70">
        <v>0</v>
      </c>
    </row>
    <row r="71" spans="1:6" x14ac:dyDescent="0.35">
      <c r="A71" t="s">
        <v>610</v>
      </c>
      <c r="B71" t="s">
        <v>323</v>
      </c>
      <c r="C71" t="s">
        <v>96</v>
      </c>
      <c r="D71" t="s">
        <v>46</v>
      </c>
      <c r="E71">
        <v>0</v>
      </c>
      <c r="F71">
        <v>0</v>
      </c>
    </row>
    <row r="72" spans="1:6" x14ac:dyDescent="0.35">
      <c r="A72" t="s">
        <v>611</v>
      </c>
      <c r="B72" t="s">
        <v>323</v>
      </c>
      <c r="C72" t="s">
        <v>338</v>
      </c>
      <c r="D72" t="s">
        <v>29</v>
      </c>
      <c r="E72">
        <v>0</v>
      </c>
      <c r="F72">
        <v>0</v>
      </c>
    </row>
    <row r="73" spans="1:6" x14ac:dyDescent="0.35">
      <c r="A73" t="s">
        <v>612</v>
      </c>
      <c r="B73" t="s">
        <v>323</v>
      </c>
      <c r="C73" t="s">
        <v>338</v>
      </c>
      <c r="D73" t="s">
        <v>46</v>
      </c>
      <c r="E73">
        <v>0</v>
      </c>
      <c r="F73">
        <v>0</v>
      </c>
    </row>
    <row r="74" spans="1:6" x14ac:dyDescent="0.35">
      <c r="A74" t="s">
        <v>613</v>
      </c>
      <c r="B74" t="s">
        <v>323</v>
      </c>
      <c r="C74" t="s">
        <v>348</v>
      </c>
      <c r="D74" t="s">
        <v>29</v>
      </c>
      <c r="E74">
        <v>0</v>
      </c>
      <c r="F74">
        <v>0</v>
      </c>
    </row>
    <row r="75" spans="1:6" x14ac:dyDescent="0.35">
      <c r="A75" t="s">
        <v>614</v>
      </c>
      <c r="B75" t="s">
        <v>323</v>
      </c>
      <c r="C75" t="s">
        <v>348</v>
      </c>
      <c r="D75" t="s">
        <v>46</v>
      </c>
      <c r="E75">
        <v>0</v>
      </c>
      <c r="F75">
        <v>0</v>
      </c>
    </row>
    <row r="76" spans="1:6" x14ac:dyDescent="0.35">
      <c r="A76" t="s">
        <v>615</v>
      </c>
      <c r="B76" t="s">
        <v>323</v>
      </c>
      <c r="C76" t="s">
        <v>329</v>
      </c>
      <c r="D76" t="s">
        <v>29</v>
      </c>
      <c r="E76">
        <v>0</v>
      </c>
      <c r="F76">
        <v>0</v>
      </c>
    </row>
    <row r="77" spans="1:6" x14ac:dyDescent="0.35">
      <c r="A77" t="s">
        <v>616</v>
      </c>
      <c r="B77" t="s">
        <v>323</v>
      </c>
      <c r="C77" t="s">
        <v>329</v>
      </c>
      <c r="D77" t="s">
        <v>46</v>
      </c>
      <c r="E77">
        <v>0</v>
      </c>
      <c r="F77">
        <v>0</v>
      </c>
    </row>
    <row r="78" spans="1:6" x14ac:dyDescent="0.35">
      <c r="A78" t="s">
        <v>617</v>
      </c>
      <c r="B78" t="s">
        <v>323</v>
      </c>
      <c r="C78" t="s">
        <v>78</v>
      </c>
      <c r="D78" t="s">
        <v>29</v>
      </c>
      <c r="E78">
        <v>0</v>
      </c>
      <c r="F78">
        <v>0</v>
      </c>
    </row>
    <row r="79" spans="1:6" x14ac:dyDescent="0.35">
      <c r="A79" t="s">
        <v>618</v>
      </c>
      <c r="B79" t="s">
        <v>323</v>
      </c>
      <c r="C79" t="s">
        <v>78</v>
      </c>
      <c r="D79" t="s">
        <v>46</v>
      </c>
      <c r="E79">
        <v>0</v>
      </c>
      <c r="F79">
        <v>0</v>
      </c>
    </row>
    <row r="80" spans="1:6" x14ac:dyDescent="0.35">
      <c r="A80" t="s">
        <v>619</v>
      </c>
      <c r="B80" t="s">
        <v>323</v>
      </c>
      <c r="C80" t="s">
        <v>447</v>
      </c>
      <c r="D80" t="s">
        <v>29</v>
      </c>
      <c r="E80">
        <v>0</v>
      </c>
      <c r="F80">
        <v>0</v>
      </c>
    </row>
    <row r="81" spans="1:6" x14ac:dyDescent="0.35">
      <c r="A81" t="s">
        <v>620</v>
      </c>
      <c r="B81" t="s">
        <v>323</v>
      </c>
      <c r="C81" t="s">
        <v>447</v>
      </c>
      <c r="D81" t="s">
        <v>46</v>
      </c>
      <c r="E81">
        <v>0</v>
      </c>
      <c r="F81">
        <v>0</v>
      </c>
    </row>
    <row r="82" spans="1:6" x14ac:dyDescent="0.35">
      <c r="A82" t="s">
        <v>621</v>
      </c>
      <c r="B82" t="s">
        <v>328</v>
      </c>
      <c r="C82" t="s">
        <v>36</v>
      </c>
      <c r="D82" t="s">
        <v>29</v>
      </c>
      <c r="E82">
        <v>0</v>
      </c>
      <c r="F82">
        <v>0</v>
      </c>
    </row>
    <row r="83" spans="1:6" x14ac:dyDescent="0.35">
      <c r="A83" t="s">
        <v>622</v>
      </c>
      <c r="B83" t="s">
        <v>328</v>
      </c>
      <c r="C83" t="s">
        <v>36</v>
      </c>
      <c r="D83" t="s">
        <v>46</v>
      </c>
      <c r="E83">
        <v>0</v>
      </c>
      <c r="F83">
        <v>0</v>
      </c>
    </row>
    <row r="84" spans="1:6" x14ac:dyDescent="0.35">
      <c r="A84" t="s">
        <v>623</v>
      </c>
      <c r="B84" t="s">
        <v>328</v>
      </c>
      <c r="C84" t="s">
        <v>93</v>
      </c>
      <c r="D84" t="s">
        <v>29</v>
      </c>
      <c r="E84">
        <v>0</v>
      </c>
      <c r="F84">
        <v>0</v>
      </c>
    </row>
    <row r="85" spans="1:6" x14ac:dyDescent="0.35">
      <c r="A85" t="s">
        <v>624</v>
      </c>
      <c r="B85" t="s">
        <v>328</v>
      </c>
      <c r="C85" t="s">
        <v>93</v>
      </c>
      <c r="D85" t="s">
        <v>46</v>
      </c>
      <c r="E85">
        <v>0</v>
      </c>
      <c r="F85">
        <v>0</v>
      </c>
    </row>
    <row r="86" spans="1:6" x14ac:dyDescent="0.35">
      <c r="A86" t="s">
        <v>625</v>
      </c>
      <c r="B86" t="s">
        <v>328</v>
      </c>
      <c r="C86" t="s">
        <v>96</v>
      </c>
      <c r="D86" t="s">
        <v>29</v>
      </c>
      <c r="E86">
        <v>0</v>
      </c>
      <c r="F86">
        <v>0</v>
      </c>
    </row>
    <row r="87" spans="1:6" x14ac:dyDescent="0.35">
      <c r="A87" t="s">
        <v>626</v>
      </c>
      <c r="B87" t="s">
        <v>328</v>
      </c>
      <c r="C87" t="s">
        <v>96</v>
      </c>
      <c r="D87" t="s">
        <v>46</v>
      </c>
      <c r="E87">
        <v>0</v>
      </c>
      <c r="F87">
        <v>0</v>
      </c>
    </row>
    <row r="88" spans="1:6" x14ac:dyDescent="0.35">
      <c r="A88" t="s">
        <v>627</v>
      </c>
      <c r="B88" t="s">
        <v>328</v>
      </c>
      <c r="C88" t="s">
        <v>338</v>
      </c>
      <c r="D88" t="s">
        <v>29</v>
      </c>
      <c r="E88">
        <v>0</v>
      </c>
      <c r="F88">
        <v>0</v>
      </c>
    </row>
    <row r="89" spans="1:6" x14ac:dyDescent="0.35">
      <c r="A89" t="s">
        <v>628</v>
      </c>
      <c r="B89" t="s">
        <v>328</v>
      </c>
      <c r="C89" t="s">
        <v>338</v>
      </c>
      <c r="D89" t="s">
        <v>46</v>
      </c>
      <c r="E89">
        <v>0</v>
      </c>
      <c r="F89">
        <v>0</v>
      </c>
    </row>
    <row r="90" spans="1:6" x14ac:dyDescent="0.35">
      <c r="A90" t="s">
        <v>629</v>
      </c>
      <c r="B90" t="s">
        <v>328</v>
      </c>
      <c r="C90" t="s">
        <v>348</v>
      </c>
      <c r="D90" t="s">
        <v>29</v>
      </c>
      <c r="E90">
        <v>0</v>
      </c>
      <c r="F90">
        <v>0</v>
      </c>
    </row>
    <row r="91" spans="1:6" x14ac:dyDescent="0.35">
      <c r="A91" t="s">
        <v>630</v>
      </c>
      <c r="B91" t="s">
        <v>328</v>
      </c>
      <c r="C91" t="s">
        <v>348</v>
      </c>
      <c r="D91" t="s">
        <v>46</v>
      </c>
      <c r="E91">
        <v>0</v>
      </c>
      <c r="F91">
        <v>0</v>
      </c>
    </row>
    <row r="92" spans="1:6" x14ac:dyDescent="0.35">
      <c r="A92" t="s">
        <v>631</v>
      </c>
      <c r="B92" t="s">
        <v>328</v>
      </c>
      <c r="C92" t="s">
        <v>329</v>
      </c>
      <c r="D92" t="s">
        <v>29</v>
      </c>
      <c r="E92">
        <v>0</v>
      </c>
      <c r="F92">
        <v>0</v>
      </c>
    </row>
    <row r="93" spans="1:6" x14ac:dyDescent="0.35">
      <c r="A93" t="s">
        <v>632</v>
      </c>
      <c r="B93" t="s">
        <v>328</v>
      </c>
      <c r="C93" t="s">
        <v>329</v>
      </c>
      <c r="D93" t="s">
        <v>46</v>
      </c>
      <c r="E93">
        <v>0</v>
      </c>
      <c r="F93">
        <v>0</v>
      </c>
    </row>
    <row r="94" spans="1:6" x14ac:dyDescent="0.35">
      <c r="A94" t="s">
        <v>633</v>
      </c>
      <c r="B94" t="s">
        <v>328</v>
      </c>
      <c r="C94" t="s">
        <v>78</v>
      </c>
      <c r="D94" t="s">
        <v>29</v>
      </c>
      <c r="E94">
        <v>0</v>
      </c>
      <c r="F94">
        <v>0</v>
      </c>
    </row>
    <row r="95" spans="1:6" x14ac:dyDescent="0.35">
      <c r="A95" t="s">
        <v>634</v>
      </c>
      <c r="B95" t="s">
        <v>328</v>
      </c>
      <c r="C95" t="s">
        <v>78</v>
      </c>
      <c r="D95" t="s">
        <v>46</v>
      </c>
      <c r="E95">
        <v>0</v>
      </c>
      <c r="F95">
        <v>0</v>
      </c>
    </row>
    <row r="96" spans="1:6" x14ac:dyDescent="0.35">
      <c r="A96" t="s">
        <v>635</v>
      </c>
      <c r="B96" t="s">
        <v>328</v>
      </c>
      <c r="C96" t="s">
        <v>447</v>
      </c>
      <c r="D96" t="s">
        <v>29</v>
      </c>
      <c r="E96">
        <v>0</v>
      </c>
      <c r="F96">
        <v>0</v>
      </c>
    </row>
    <row r="97" spans="1:6" x14ac:dyDescent="0.35">
      <c r="A97" t="s">
        <v>636</v>
      </c>
      <c r="B97" t="s">
        <v>328</v>
      </c>
      <c r="C97" t="s">
        <v>447</v>
      </c>
      <c r="D97" t="s">
        <v>46</v>
      </c>
      <c r="E97">
        <v>0</v>
      </c>
      <c r="F97">
        <v>0</v>
      </c>
    </row>
    <row r="98" spans="1:6" x14ac:dyDescent="0.35">
      <c r="A98" t="s">
        <v>637</v>
      </c>
      <c r="B98" t="s">
        <v>334</v>
      </c>
      <c r="C98" t="s">
        <v>36</v>
      </c>
      <c r="D98" t="s">
        <v>29</v>
      </c>
      <c r="E98">
        <v>0</v>
      </c>
      <c r="F98">
        <v>0</v>
      </c>
    </row>
    <row r="99" spans="1:6" x14ac:dyDescent="0.35">
      <c r="A99" t="s">
        <v>638</v>
      </c>
      <c r="B99" t="s">
        <v>334</v>
      </c>
      <c r="C99" t="s">
        <v>36</v>
      </c>
      <c r="D99" t="s">
        <v>46</v>
      </c>
      <c r="E99">
        <v>0</v>
      </c>
      <c r="F99">
        <v>0</v>
      </c>
    </row>
    <row r="100" spans="1:6" x14ac:dyDescent="0.35">
      <c r="A100" t="s">
        <v>639</v>
      </c>
      <c r="B100" t="s">
        <v>334</v>
      </c>
      <c r="C100" t="s">
        <v>93</v>
      </c>
      <c r="D100" t="s">
        <v>29</v>
      </c>
      <c r="E100">
        <v>0</v>
      </c>
      <c r="F100">
        <v>0</v>
      </c>
    </row>
    <row r="101" spans="1:6" x14ac:dyDescent="0.35">
      <c r="A101" t="s">
        <v>640</v>
      </c>
      <c r="B101" t="s">
        <v>334</v>
      </c>
      <c r="C101" t="s">
        <v>93</v>
      </c>
      <c r="D101" t="s">
        <v>46</v>
      </c>
      <c r="E101">
        <v>0</v>
      </c>
      <c r="F101">
        <v>0</v>
      </c>
    </row>
    <row r="102" spans="1:6" x14ac:dyDescent="0.35">
      <c r="A102" t="s">
        <v>641</v>
      </c>
      <c r="B102" t="s">
        <v>334</v>
      </c>
      <c r="C102" t="s">
        <v>96</v>
      </c>
      <c r="D102" t="s">
        <v>29</v>
      </c>
      <c r="E102">
        <v>0</v>
      </c>
      <c r="F102">
        <v>0</v>
      </c>
    </row>
    <row r="103" spans="1:6" x14ac:dyDescent="0.35">
      <c r="A103" t="s">
        <v>642</v>
      </c>
      <c r="B103" t="s">
        <v>334</v>
      </c>
      <c r="C103" t="s">
        <v>96</v>
      </c>
      <c r="D103" t="s">
        <v>46</v>
      </c>
      <c r="E103">
        <v>0</v>
      </c>
      <c r="F103">
        <v>0</v>
      </c>
    </row>
    <row r="104" spans="1:6" x14ac:dyDescent="0.35">
      <c r="A104" t="s">
        <v>643</v>
      </c>
      <c r="B104" t="s">
        <v>334</v>
      </c>
      <c r="C104" t="s">
        <v>338</v>
      </c>
      <c r="D104" t="s">
        <v>29</v>
      </c>
      <c r="E104">
        <v>0</v>
      </c>
      <c r="F104">
        <v>0</v>
      </c>
    </row>
    <row r="105" spans="1:6" x14ac:dyDescent="0.35">
      <c r="A105" t="s">
        <v>644</v>
      </c>
      <c r="B105" t="s">
        <v>334</v>
      </c>
      <c r="C105" t="s">
        <v>338</v>
      </c>
      <c r="D105" t="s">
        <v>46</v>
      </c>
      <c r="E105">
        <v>0</v>
      </c>
      <c r="F105">
        <v>0</v>
      </c>
    </row>
    <row r="106" spans="1:6" x14ac:dyDescent="0.35">
      <c r="A106" t="s">
        <v>645</v>
      </c>
      <c r="B106" t="s">
        <v>334</v>
      </c>
      <c r="C106" t="s">
        <v>348</v>
      </c>
      <c r="D106" t="s">
        <v>29</v>
      </c>
      <c r="E106">
        <v>0</v>
      </c>
      <c r="F106">
        <v>0</v>
      </c>
    </row>
    <row r="107" spans="1:6" x14ac:dyDescent="0.35">
      <c r="A107" t="s">
        <v>646</v>
      </c>
      <c r="B107" t="s">
        <v>334</v>
      </c>
      <c r="C107" t="s">
        <v>348</v>
      </c>
      <c r="D107" t="s">
        <v>46</v>
      </c>
      <c r="E107">
        <v>0</v>
      </c>
      <c r="F107">
        <v>0</v>
      </c>
    </row>
    <row r="108" spans="1:6" x14ac:dyDescent="0.35">
      <c r="A108" t="s">
        <v>647</v>
      </c>
      <c r="B108" t="s">
        <v>334</v>
      </c>
      <c r="C108" t="s">
        <v>329</v>
      </c>
      <c r="D108" t="s">
        <v>29</v>
      </c>
      <c r="E108">
        <v>0</v>
      </c>
      <c r="F108">
        <v>0</v>
      </c>
    </row>
    <row r="109" spans="1:6" x14ac:dyDescent="0.35">
      <c r="A109" t="s">
        <v>648</v>
      </c>
      <c r="B109" t="s">
        <v>334</v>
      </c>
      <c r="C109" t="s">
        <v>329</v>
      </c>
      <c r="D109" t="s">
        <v>46</v>
      </c>
      <c r="E109">
        <v>0</v>
      </c>
      <c r="F109">
        <v>0</v>
      </c>
    </row>
    <row r="110" spans="1:6" x14ac:dyDescent="0.35">
      <c r="A110" t="s">
        <v>649</v>
      </c>
      <c r="B110" t="s">
        <v>334</v>
      </c>
      <c r="C110" t="s">
        <v>78</v>
      </c>
      <c r="D110" t="s">
        <v>29</v>
      </c>
      <c r="E110">
        <v>0</v>
      </c>
      <c r="F110">
        <v>0</v>
      </c>
    </row>
    <row r="111" spans="1:6" x14ac:dyDescent="0.35">
      <c r="A111" t="s">
        <v>650</v>
      </c>
      <c r="B111" t="s">
        <v>334</v>
      </c>
      <c r="C111" t="s">
        <v>78</v>
      </c>
      <c r="D111" t="s">
        <v>46</v>
      </c>
      <c r="E111">
        <v>0</v>
      </c>
      <c r="F111">
        <v>0</v>
      </c>
    </row>
    <row r="112" spans="1:6" x14ac:dyDescent="0.35">
      <c r="A112" t="s">
        <v>651</v>
      </c>
      <c r="B112" t="s">
        <v>334</v>
      </c>
      <c r="C112" t="s">
        <v>447</v>
      </c>
      <c r="D112" t="s">
        <v>29</v>
      </c>
      <c r="E112">
        <v>0</v>
      </c>
      <c r="F112">
        <v>0</v>
      </c>
    </row>
    <row r="113" spans="1:6" x14ac:dyDescent="0.35">
      <c r="A113" t="s">
        <v>652</v>
      </c>
      <c r="B113" t="s">
        <v>334</v>
      </c>
      <c r="C113" t="s">
        <v>447</v>
      </c>
      <c r="D113" t="s">
        <v>46</v>
      </c>
      <c r="E113">
        <v>0</v>
      </c>
      <c r="F113">
        <v>0</v>
      </c>
    </row>
    <row r="114" spans="1:6" x14ac:dyDescent="0.35">
      <c r="A114" t="s">
        <v>653</v>
      </c>
      <c r="B114" t="s">
        <v>347</v>
      </c>
      <c r="C114" t="s">
        <v>36</v>
      </c>
      <c r="D114" t="s">
        <v>29</v>
      </c>
      <c r="E114">
        <v>0</v>
      </c>
      <c r="F114">
        <v>0</v>
      </c>
    </row>
    <row r="115" spans="1:6" x14ac:dyDescent="0.35">
      <c r="A115" t="s">
        <v>654</v>
      </c>
      <c r="B115" t="s">
        <v>347</v>
      </c>
      <c r="C115" t="s">
        <v>36</v>
      </c>
      <c r="D115" t="s">
        <v>46</v>
      </c>
      <c r="E115">
        <v>0</v>
      </c>
      <c r="F115">
        <v>0</v>
      </c>
    </row>
    <row r="116" spans="1:6" x14ac:dyDescent="0.35">
      <c r="A116" t="s">
        <v>655</v>
      </c>
      <c r="B116" t="s">
        <v>347</v>
      </c>
      <c r="C116" t="s">
        <v>93</v>
      </c>
      <c r="D116" t="s">
        <v>29</v>
      </c>
      <c r="E116">
        <v>0</v>
      </c>
      <c r="F116">
        <v>0</v>
      </c>
    </row>
    <row r="117" spans="1:6" x14ac:dyDescent="0.35">
      <c r="A117" t="s">
        <v>656</v>
      </c>
      <c r="B117" t="s">
        <v>347</v>
      </c>
      <c r="C117" t="s">
        <v>93</v>
      </c>
      <c r="D117" t="s">
        <v>46</v>
      </c>
      <c r="E117">
        <v>0</v>
      </c>
      <c r="F117">
        <v>0</v>
      </c>
    </row>
    <row r="118" spans="1:6" x14ac:dyDescent="0.35">
      <c r="A118" t="s">
        <v>657</v>
      </c>
      <c r="B118" t="s">
        <v>347</v>
      </c>
      <c r="C118" t="s">
        <v>96</v>
      </c>
      <c r="D118" t="s">
        <v>29</v>
      </c>
      <c r="E118">
        <v>0</v>
      </c>
      <c r="F118">
        <v>0</v>
      </c>
    </row>
    <row r="119" spans="1:6" x14ac:dyDescent="0.35">
      <c r="A119" t="s">
        <v>658</v>
      </c>
      <c r="B119" t="s">
        <v>347</v>
      </c>
      <c r="C119" t="s">
        <v>96</v>
      </c>
      <c r="D119" t="s">
        <v>46</v>
      </c>
      <c r="E119">
        <v>0</v>
      </c>
      <c r="F119">
        <v>0</v>
      </c>
    </row>
    <row r="120" spans="1:6" x14ac:dyDescent="0.35">
      <c r="A120" t="s">
        <v>659</v>
      </c>
      <c r="B120" t="s">
        <v>347</v>
      </c>
      <c r="C120" t="s">
        <v>338</v>
      </c>
      <c r="D120" t="s">
        <v>29</v>
      </c>
      <c r="E120">
        <v>0</v>
      </c>
      <c r="F120">
        <v>0</v>
      </c>
    </row>
    <row r="121" spans="1:6" x14ac:dyDescent="0.35">
      <c r="A121" t="s">
        <v>660</v>
      </c>
      <c r="B121" t="s">
        <v>347</v>
      </c>
      <c r="C121" t="s">
        <v>338</v>
      </c>
      <c r="D121" t="s">
        <v>46</v>
      </c>
      <c r="E121">
        <v>0</v>
      </c>
      <c r="F121">
        <v>0</v>
      </c>
    </row>
    <row r="122" spans="1:6" x14ac:dyDescent="0.35">
      <c r="A122" t="s">
        <v>661</v>
      </c>
      <c r="B122" t="s">
        <v>347</v>
      </c>
      <c r="C122" t="s">
        <v>348</v>
      </c>
      <c r="D122" t="s">
        <v>29</v>
      </c>
      <c r="E122">
        <v>0</v>
      </c>
      <c r="F122">
        <v>0</v>
      </c>
    </row>
    <row r="123" spans="1:6" x14ac:dyDescent="0.35">
      <c r="A123" t="s">
        <v>662</v>
      </c>
      <c r="B123" t="s">
        <v>347</v>
      </c>
      <c r="C123" t="s">
        <v>348</v>
      </c>
      <c r="D123" t="s">
        <v>46</v>
      </c>
      <c r="E123">
        <v>0</v>
      </c>
      <c r="F123">
        <v>0</v>
      </c>
    </row>
    <row r="124" spans="1:6" x14ac:dyDescent="0.35">
      <c r="A124" t="s">
        <v>663</v>
      </c>
      <c r="B124" t="s">
        <v>347</v>
      </c>
      <c r="C124" t="s">
        <v>329</v>
      </c>
      <c r="D124" t="s">
        <v>29</v>
      </c>
      <c r="E124">
        <v>0</v>
      </c>
      <c r="F124">
        <v>0</v>
      </c>
    </row>
    <row r="125" spans="1:6" x14ac:dyDescent="0.35">
      <c r="A125" t="s">
        <v>664</v>
      </c>
      <c r="B125" t="s">
        <v>347</v>
      </c>
      <c r="C125" t="s">
        <v>329</v>
      </c>
      <c r="D125" t="s">
        <v>46</v>
      </c>
      <c r="E125">
        <v>0</v>
      </c>
      <c r="F125">
        <v>0</v>
      </c>
    </row>
    <row r="126" spans="1:6" x14ac:dyDescent="0.35">
      <c r="A126" t="s">
        <v>665</v>
      </c>
      <c r="B126" t="s">
        <v>347</v>
      </c>
      <c r="C126" t="s">
        <v>78</v>
      </c>
      <c r="D126" t="s">
        <v>29</v>
      </c>
      <c r="E126">
        <v>0</v>
      </c>
      <c r="F126">
        <v>0</v>
      </c>
    </row>
    <row r="127" spans="1:6" x14ac:dyDescent="0.35">
      <c r="A127" t="s">
        <v>666</v>
      </c>
      <c r="B127" t="s">
        <v>347</v>
      </c>
      <c r="C127" t="s">
        <v>78</v>
      </c>
      <c r="D127" t="s">
        <v>46</v>
      </c>
      <c r="E127">
        <v>0</v>
      </c>
      <c r="F127">
        <v>0</v>
      </c>
    </row>
    <row r="128" spans="1:6" x14ac:dyDescent="0.35">
      <c r="A128" t="s">
        <v>667</v>
      </c>
      <c r="B128" t="s">
        <v>347</v>
      </c>
      <c r="C128" t="s">
        <v>447</v>
      </c>
      <c r="D128" t="s">
        <v>29</v>
      </c>
      <c r="E128">
        <v>0</v>
      </c>
      <c r="F128">
        <v>0</v>
      </c>
    </row>
    <row r="129" spans="1:6" x14ac:dyDescent="0.35">
      <c r="A129" t="s">
        <v>668</v>
      </c>
      <c r="B129" t="s">
        <v>347</v>
      </c>
      <c r="C129" t="s">
        <v>447</v>
      </c>
      <c r="D129" t="s">
        <v>46</v>
      </c>
      <c r="E129">
        <v>0</v>
      </c>
      <c r="F129">
        <v>0</v>
      </c>
    </row>
    <row r="130" spans="1:6" x14ac:dyDescent="0.35">
      <c r="A130" t="s">
        <v>669</v>
      </c>
      <c r="B130" t="s">
        <v>77</v>
      </c>
      <c r="C130" t="s">
        <v>36</v>
      </c>
      <c r="D130" t="s">
        <v>29</v>
      </c>
      <c r="E130">
        <v>0</v>
      </c>
      <c r="F130">
        <v>0</v>
      </c>
    </row>
    <row r="131" spans="1:6" x14ac:dyDescent="0.35">
      <c r="A131" t="s">
        <v>670</v>
      </c>
      <c r="B131" t="s">
        <v>77</v>
      </c>
      <c r="C131" t="s">
        <v>36</v>
      </c>
      <c r="D131" t="s">
        <v>46</v>
      </c>
      <c r="E131">
        <v>0</v>
      </c>
      <c r="F131">
        <v>0</v>
      </c>
    </row>
    <row r="132" spans="1:6" x14ac:dyDescent="0.35">
      <c r="A132" t="s">
        <v>671</v>
      </c>
      <c r="B132" t="s">
        <v>77</v>
      </c>
      <c r="C132" t="s">
        <v>93</v>
      </c>
      <c r="D132" t="s">
        <v>29</v>
      </c>
      <c r="E132">
        <v>0</v>
      </c>
      <c r="F132">
        <v>0</v>
      </c>
    </row>
    <row r="133" spans="1:6" x14ac:dyDescent="0.35">
      <c r="A133" t="s">
        <v>672</v>
      </c>
      <c r="B133" t="s">
        <v>77</v>
      </c>
      <c r="C133" t="s">
        <v>93</v>
      </c>
      <c r="D133" t="s">
        <v>46</v>
      </c>
      <c r="E133">
        <v>0</v>
      </c>
      <c r="F133">
        <v>0</v>
      </c>
    </row>
    <row r="134" spans="1:6" x14ac:dyDescent="0.35">
      <c r="A134" t="s">
        <v>673</v>
      </c>
      <c r="B134" t="s">
        <v>77</v>
      </c>
      <c r="C134" t="s">
        <v>96</v>
      </c>
      <c r="D134" t="s">
        <v>29</v>
      </c>
      <c r="E134">
        <v>0</v>
      </c>
      <c r="F134">
        <v>0</v>
      </c>
    </row>
    <row r="135" spans="1:6" x14ac:dyDescent="0.35">
      <c r="A135" t="s">
        <v>674</v>
      </c>
      <c r="B135" t="s">
        <v>77</v>
      </c>
      <c r="C135" t="s">
        <v>96</v>
      </c>
      <c r="D135" t="s">
        <v>46</v>
      </c>
      <c r="E135">
        <v>0</v>
      </c>
      <c r="F135">
        <v>0</v>
      </c>
    </row>
    <row r="136" spans="1:6" x14ac:dyDescent="0.35">
      <c r="A136" t="s">
        <v>675</v>
      </c>
      <c r="B136" t="s">
        <v>77</v>
      </c>
      <c r="C136" t="s">
        <v>338</v>
      </c>
      <c r="D136" t="s">
        <v>29</v>
      </c>
      <c r="E136">
        <v>0</v>
      </c>
      <c r="F136">
        <v>0</v>
      </c>
    </row>
    <row r="137" spans="1:6" x14ac:dyDescent="0.35">
      <c r="A137" t="s">
        <v>676</v>
      </c>
      <c r="B137" t="s">
        <v>77</v>
      </c>
      <c r="C137" t="s">
        <v>338</v>
      </c>
      <c r="D137" t="s">
        <v>46</v>
      </c>
      <c r="E137">
        <v>0</v>
      </c>
      <c r="F137">
        <v>0</v>
      </c>
    </row>
    <row r="138" spans="1:6" x14ac:dyDescent="0.35">
      <c r="A138" t="s">
        <v>677</v>
      </c>
      <c r="B138" t="s">
        <v>77</v>
      </c>
      <c r="C138" t="s">
        <v>348</v>
      </c>
      <c r="D138" t="s">
        <v>29</v>
      </c>
      <c r="E138">
        <v>0</v>
      </c>
      <c r="F138">
        <v>0</v>
      </c>
    </row>
    <row r="139" spans="1:6" x14ac:dyDescent="0.35">
      <c r="A139" t="s">
        <v>678</v>
      </c>
      <c r="B139" t="s">
        <v>77</v>
      </c>
      <c r="C139" t="s">
        <v>348</v>
      </c>
      <c r="D139" t="s">
        <v>46</v>
      </c>
      <c r="E139">
        <v>0</v>
      </c>
      <c r="F139">
        <v>0</v>
      </c>
    </row>
    <row r="140" spans="1:6" x14ac:dyDescent="0.35">
      <c r="A140" t="s">
        <v>679</v>
      </c>
      <c r="B140" t="s">
        <v>77</v>
      </c>
      <c r="C140" t="s">
        <v>329</v>
      </c>
      <c r="D140" t="s">
        <v>29</v>
      </c>
      <c r="E140">
        <v>0</v>
      </c>
      <c r="F140">
        <v>0</v>
      </c>
    </row>
    <row r="141" spans="1:6" x14ac:dyDescent="0.35">
      <c r="A141" t="s">
        <v>680</v>
      </c>
      <c r="B141" t="s">
        <v>77</v>
      </c>
      <c r="C141" t="s">
        <v>329</v>
      </c>
      <c r="D141" t="s">
        <v>46</v>
      </c>
      <c r="E141">
        <v>0</v>
      </c>
      <c r="F141">
        <v>0</v>
      </c>
    </row>
    <row r="142" spans="1:6" x14ac:dyDescent="0.35">
      <c r="A142" t="s">
        <v>681</v>
      </c>
      <c r="B142" t="s">
        <v>77</v>
      </c>
      <c r="C142" t="s">
        <v>78</v>
      </c>
      <c r="D142" t="s">
        <v>29</v>
      </c>
      <c r="E142">
        <v>0</v>
      </c>
      <c r="F142">
        <v>0</v>
      </c>
    </row>
    <row r="143" spans="1:6" x14ac:dyDescent="0.35">
      <c r="A143" t="s">
        <v>682</v>
      </c>
      <c r="B143" t="s">
        <v>77</v>
      </c>
      <c r="C143" t="s">
        <v>78</v>
      </c>
      <c r="D143" t="s">
        <v>46</v>
      </c>
      <c r="E143">
        <v>0</v>
      </c>
      <c r="F143">
        <v>0</v>
      </c>
    </row>
    <row r="144" spans="1:6" x14ac:dyDescent="0.35">
      <c r="A144" t="s">
        <v>683</v>
      </c>
      <c r="B144" t="s">
        <v>77</v>
      </c>
      <c r="C144" t="s">
        <v>447</v>
      </c>
      <c r="D144" t="s">
        <v>29</v>
      </c>
      <c r="E144">
        <v>0</v>
      </c>
      <c r="F144">
        <v>0</v>
      </c>
    </row>
    <row r="145" spans="1:6" x14ac:dyDescent="0.35">
      <c r="A145" t="s">
        <v>684</v>
      </c>
      <c r="B145" t="s">
        <v>77</v>
      </c>
      <c r="C145" t="s">
        <v>447</v>
      </c>
      <c r="D145" t="s">
        <v>46</v>
      </c>
      <c r="E145">
        <v>0</v>
      </c>
      <c r="F145">
        <v>0</v>
      </c>
    </row>
    <row r="146" spans="1:6" x14ac:dyDescent="0.35">
      <c r="A146" t="s">
        <v>685</v>
      </c>
      <c r="B146" t="s">
        <v>451</v>
      </c>
      <c r="C146" t="s">
        <v>36</v>
      </c>
      <c r="D146" t="s">
        <v>29</v>
      </c>
      <c r="E146">
        <v>0</v>
      </c>
      <c r="F146">
        <v>0</v>
      </c>
    </row>
    <row r="147" spans="1:6" x14ac:dyDescent="0.35">
      <c r="A147" t="s">
        <v>686</v>
      </c>
      <c r="B147" t="s">
        <v>451</v>
      </c>
      <c r="C147" t="s">
        <v>36</v>
      </c>
      <c r="D147" t="s">
        <v>46</v>
      </c>
      <c r="E147">
        <v>0</v>
      </c>
      <c r="F147">
        <v>0</v>
      </c>
    </row>
    <row r="148" spans="1:6" x14ac:dyDescent="0.35">
      <c r="A148" t="s">
        <v>687</v>
      </c>
      <c r="B148" t="s">
        <v>451</v>
      </c>
      <c r="C148" t="s">
        <v>93</v>
      </c>
      <c r="D148" t="s">
        <v>29</v>
      </c>
      <c r="E148">
        <v>0</v>
      </c>
      <c r="F148">
        <v>0</v>
      </c>
    </row>
    <row r="149" spans="1:6" x14ac:dyDescent="0.35">
      <c r="A149" t="s">
        <v>688</v>
      </c>
      <c r="B149" t="s">
        <v>451</v>
      </c>
      <c r="C149" t="s">
        <v>93</v>
      </c>
      <c r="D149" t="s">
        <v>46</v>
      </c>
      <c r="E149">
        <v>0</v>
      </c>
      <c r="F149">
        <v>0</v>
      </c>
    </row>
    <row r="150" spans="1:6" x14ac:dyDescent="0.35">
      <c r="A150" t="s">
        <v>689</v>
      </c>
      <c r="B150" t="s">
        <v>451</v>
      </c>
      <c r="C150" t="s">
        <v>96</v>
      </c>
      <c r="D150" t="s">
        <v>29</v>
      </c>
      <c r="E150">
        <v>0</v>
      </c>
      <c r="F150">
        <v>0</v>
      </c>
    </row>
    <row r="151" spans="1:6" x14ac:dyDescent="0.35">
      <c r="A151" t="s">
        <v>690</v>
      </c>
      <c r="B151" t="s">
        <v>451</v>
      </c>
      <c r="C151" t="s">
        <v>96</v>
      </c>
      <c r="D151" t="s">
        <v>46</v>
      </c>
      <c r="E151">
        <v>0</v>
      </c>
      <c r="F151">
        <v>0</v>
      </c>
    </row>
    <row r="152" spans="1:6" x14ac:dyDescent="0.35">
      <c r="A152" t="s">
        <v>691</v>
      </c>
      <c r="B152" t="s">
        <v>451</v>
      </c>
      <c r="C152" t="s">
        <v>338</v>
      </c>
      <c r="D152" t="s">
        <v>29</v>
      </c>
      <c r="E152">
        <v>0</v>
      </c>
      <c r="F152">
        <v>0</v>
      </c>
    </row>
    <row r="153" spans="1:6" x14ac:dyDescent="0.35">
      <c r="A153" t="s">
        <v>692</v>
      </c>
      <c r="B153" t="s">
        <v>451</v>
      </c>
      <c r="C153" t="s">
        <v>338</v>
      </c>
      <c r="D153" t="s">
        <v>46</v>
      </c>
      <c r="E153">
        <v>0</v>
      </c>
      <c r="F153">
        <v>0</v>
      </c>
    </row>
    <row r="154" spans="1:6" x14ac:dyDescent="0.35">
      <c r="A154" t="s">
        <v>693</v>
      </c>
      <c r="B154" t="s">
        <v>451</v>
      </c>
      <c r="C154" t="s">
        <v>348</v>
      </c>
      <c r="D154" t="s">
        <v>29</v>
      </c>
      <c r="E154">
        <v>0</v>
      </c>
      <c r="F154">
        <v>0</v>
      </c>
    </row>
    <row r="155" spans="1:6" x14ac:dyDescent="0.35">
      <c r="A155" t="s">
        <v>694</v>
      </c>
      <c r="B155" t="s">
        <v>451</v>
      </c>
      <c r="C155" t="s">
        <v>348</v>
      </c>
      <c r="D155" t="s">
        <v>46</v>
      </c>
      <c r="E155">
        <v>0</v>
      </c>
      <c r="F155">
        <v>0</v>
      </c>
    </row>
    <row r="156" spans="1:6" x14ac:dyDescent="0.35">
      <c r="A156" t="s">
        <v>695</v>
      </c>
      <c r="B156" t="s">
        <v>451</v>
      </c>
      <c r="C156" t="s">
        <v>329</v>
      </c>
      <c r="D156" t="s">
        <v>29</v>
      </c>
      <c r="E156">
        <v>0</v>
      </c>
      <c r="F156">
        <v>0</v>
      </c>
    </row>
    <row r="157" spans="1:6" x14ac:dyDescent="0.35">
      <c r="A157" t="s">
        <v>696</v>
      </c>
      <c r="B157" t="s">
        <v>451</v>
      </c>
      <c r="C157" t="s">
        <v>329</v>
      </c>
      <c r="D157" t="s">
        <v>46</v>
      </c>
      <c r="E157">
        <v>0</v>
      </c>
      <c r="F157">
        <v>0</v>
      </c>
    </row>
    <row r="158" spans="1:6" x14ac:dyDescent="0.35">
      <c r="A158" t="s">
        <v>697</v>
      </c>
      <c r="B158" t="s">
        <v>451</v>
      </c>
      <c r="C158" t="s">
        <v>78</v>
      </c>
      <c r="D158" t="s">
        <v>29</v>
      </c>
      <c r="E158">
        <v>0</v>
      </c>
      <c r="F158">
        <v>0</v>
      </c>
    </row>
    <row r="159" spans="1:6" x14ac:dyDescent="0.35">
      <c r="A159" t="s">
        <v>698</v>
      </c>
      <c r="B159" t="s">
        <v>451</v>
      </c>
      <c r="C159" t="s">
        <v>78</v>
      </c>
      <c r="D159" t="s">
        <v>46</v>
      </c>
      <c r="E159">
        <v>0</v>
      </c>
      <c r="F159">
        <v>0</v>
      </c>
    </row>
    <row r="160" spans="1:6" x14ac:dyDescent="0.35">
      <c r="A160" t="s">
        <v>699</v>
      </c>
      <c r="B160" t="s">
        <v>451</v>
      </c>
      <c r="C160" t="s">
        <v>447</v>
      </c>
      <c r="D160" t="s">
        <v>29</v>
      </c>
      <c r="E160">
        <v>0</v>
      </c>
      <c r="F160">
        <v>0</v>
      </c>
    </row>
    <row r="161" spans="1:6" x14ac:dyDescent="0.35">
      <c r="A161" t="s">
        <v>700</v>
      </c>
      <c r="B161" t="s">
        <v>451</v>
      </c>
      <c r="C161" t="s">
        <v>447</v>
      </c>
      <c r="D161" t="s">
        <v>46</v>
      </c>
      <c r="E161">
        <v>0</v>
      </c>
      <c r="F16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1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56</v>
      </c>
      <c r="B1" t="s">
        <v>22</v>
      </c>
      <c r="C1" t="s">
        <v>24</v>
      </c>
      <c r="D1" t="s">
        <v>701</v>
      </c>
      <c r="E1" t="s">
        <v>11</v>
      </c>
      <c r="F1" t="s">
        <v>12</v>
      </c>
      <c r="G1" t="s">
        <v>51</v>
      </c>
    </row>
    <row r="2" spans="1:7" x14ac:dyDescent="0.35">
      <c r="A2" t="s">
        <v>702</v>
      </c>
      <c r="B2" t="s">
        <v>36</v>
      </c>
      <c r="C2" t="s">
        <v>36</v>
      </c>
      <c r="D2" t="s">
        <v>52</v>
      </c>
      <c r="E2">
        <v>0</v>
      </c>
      <c r="F2">
        <v>0</v>
      </c>
      <c r="G2">
        <v>0</v>
      </c>
    </row>
    <row r="3" spans="1:7" x14ac:dyDescent="0.35">
      <c r="A3" t="s">
        <v>703</v>
      </c>
      <c r="B3" t="s">
        <v>36</v>
      </c>
      <c r="C3" t="s">
        <v>36</v>
      </c>
      <c r="D3" t="s">
        <v>53</v>
      </c>
      <c r="E3">
        <v>0</v>
      </c>
      <c r="F3">
        <v>0</v>
      </c>
      <c r="G3">
        <v>0</v>
      </c>
    </row>
    <row r="4" spans="1:7" x14ac:dyDescent="0.35">
      <c r="A4" t="s">
        <v>704</v>
      </c>
      <c r="B4" t="s">
        <v>36</v>
      </c>
      <c r="C4" t="s">
        <v>93</v>
      </c>
      <c r="D4" t="s">
        <v>52</v>
      </c>
      <c r="E4">
        <v>0</v>
      </c>
      <c r="F4">
        <v>0</v>
      </c>
      <c r="G4">
        <v>0</v>
      </c>
    </row>
    <row r="5" spans="1:7" x14ac:dyDescent="0.35">
      <c r="A5" t="s">
        <v>705</v>
      </c>
      <c r="B5" t="s">
        <v>36</v>
      </c>
      <c r="C5" t="s">
        <v>93</v>
      </c>
      <c r="D5" t="s">
        <v>53</v>
      </c>
      <c r="E5">
        <v>0</v>
      </c>
      <c r="F5">
        <v>0</v>
      </c>
      <c r="G5">
        <v>0</v>
      </c>
    </row>
    <row r="6" spans="1:7" x14ac:dyDescent="0.35">
      <c r="A6" t="s">
        <v>706</v>
      </c>
      <c r="B6" t="s">
        <v>36</v>
      </c>
      <c r="C6" t="s">
        <v>96</v>
      </c>
      <c r="D6" t="s">
        <v>52</v>
      </c>
      <c r="E6">
        <v>0</v>
      </c>
      <c r="F6">
        <v>0</v>
      </c>
      <c r="G6">
        <v>0</v>
      </c>
    </row>
    <row r="7" spans="1:7" x14ac:dyDescent="0.35">
      <c r="A7" t="s">
        <v>707</v>
      </c>
      <c r="B7" t="s">
        <v>36</v>
      </c>
      <c r="C7" t="s">
        <v>96</v>
      </c>
      <c r="D7" t="s">
        <v>53</v>
      </c>
      <c r="E7">
        <v>0</v>
      </c>
      <c r="F7">
        <v>0</v>
      </c>
      <c r="G7">
        <v>0</v>
      </c>
    </row>
    <row r="8" spans="1:7" x14ac:dyDescent="0.35">
      <c r="A8" t="s">
        <v>708</v>
      </c>
      <c r="B8" t="s">
        <v>36</v>
      </c>
      <c r="C8" t="s">
        <v>338</v>
      </c>
      <c r="D8" t="s">
        <v>52</v>
      </c>
      <c r="E8">
        <v>0</v>
      </c>
      <c r="F8">
        <v>0</v>
      </c>
      <c r="G8">
        <v>0</v>
      </c>
    </row>
    <row r="9" spans="1:7" x14ac:dyDescent="0.35">
      <c r="A9" t="s">
        <v>709</v>
      </c>
      <c r="B9" t="s">
        <v>36</v>
      </c>
      <c r="C9" t="s">
        <v>338</v>
      </c>
      <c r="D9" t="s">
        <v>53</v>
      </c>
      <c r="E9">
        <v>0</v>
      </c>
      <c r="F9">
        <v>0</v>
      </c>
      <c r="G9">
        <v>0</v>
      </c>
    </row>
    <row r="10" spans="1:7" x14ac:dyDescent="0.35">
      <c r="A10" t="s">
        <v>710</v>
      </c>
      <c r="B10" t="s">
        <v>36</v>
      </c>
      <c r="C10" t="s">
        <v>348</v>
      </c>
      <c r="D10" t="s">
        <v>52</v>
      </c>
      <c r="E10">
        <v>0</v>
      </c>
      <c r="F10">
        <v>0</v>
      </c>
      <c r="G10">
        <v>0</v>
      </c>
    </row>
    <row r="11" spans="1:7" x14ac:dyDescent="0.35">
      <c r="A11" t="s">
        <v>711</v>
      </c>
      <c r="B11" t="s">
        <v>36</v>
      </c>
      <c r="C11" t="s">
        <v>348</v>
      </c>
      <c r="D11" t="s">
        <v>53</v>
      </c>
      <c r="E11">
        <v>0</v>
      </c>
      <c r="F11">
        <v>0</v>
      </c>
      <c r="G11">
        <v>0</v>
      </c>
    </row>
    <row r="12" spans="1:7" x14ac:dyDescent="0.35">
      <c r="A12" t="s">
        <v>712</v>
      </c>
      <c r="B12" t="s">
        <v>36</v>
      </c>
      <c r="C12" t="s">
        <v>329</v>
      </c>
      <c r="D12" t="s">
        <v>52</v>
      </c>
      <c r="E12">
        <v>0</v>
      </c>
      <c r="F12">
        <v>0</v>
      </c>
      <c r="G12">
        <v>0</v>
      </c>
    </row>
    <row r="13" spans="1:7" x14ac:dyDescent="0.35">
      <c r="A13" t="s">
        <v>713</v>
      </c>
      <c r="B13" t="s">
        <v>36</v>
      </c>
      <c r="C13" t="s">
        <v>329</v>
      </c>
      <c r="D13" t="s">
        <v>53</v>
      </c>
      <c r="E13">
        <v>0</v>
      </c>
      <c r="F13">
        <v>0</v>
      </c>
      <c r="G13">
        <v>0</v>
      </c>
    </row>
    <row r="14" spans="1:7" x14ac:dyDescent="0.35">
      <c r="A14" t="s">
        <v>714</v>
      </c>
      <c r="B14" t="s">
        <v>36</v>
      </c>
      <c r="C14" t="s">
        <v>78</v>
      </c>
      <c r="D14" t="s">
        <v>52</v>
      </c>
      <c r="E14">
        <v>0</v>
      </c>
      <c r="F14">
        <v>0</v>
      </c>
      <c r="G14">
        <v>0</v>
      </c>
    </row>
    <row r="15" spans="1:7" x14ac:dyDescent="0.35">
      <c r="A15" t="s">
        <v>715</v>
      </c>
      <c r="B15" t="s">
        <v>36</v>
      </c>
      <c r="C15" t="s">
        <v>78</v>
      </c>
      <c r="D15" t="s">
        <v>53</v>
      </c>
      <c r="E15">
        <v>0</v>
      </c>
      <c r="F15">
        <v>0</v>
      </c>
      <c r="G15">
        <v>0</v>
      </c>
    </row>
    <row r="16" spans="1:7" x14ac:dyDescent="0.35">
      <c r="A16" t="s">
        <v>716</v>
      </c>
      <c r="B16" t="s">
        <v>36</v>
      </c>
      <c r="C16" t="s">
        <v>447</v>
      </c>
      <c r="D16" t="s">
        <v>52</v>
      </c>
      <c r="E16">
        <v>0</v>
      </c>
      <c r="F16">
        <v>0</v>
      </c>
      <c r="G16">
        <v>0</v>
      </c>
    </row>
    <row r="17" spans="1:7" x14ac:dyDescent="0.35">
      <c r="A17" t="s">
        <v>717</v>
      </c>
      <c r="B17" t="s">
        <v>36</v>
      </c>
      <c r="C17" t="s">
        <v>447</v>
      </c>
      <c r="D17" t="s">
        <v>53</v>
      </c>
      <c r="E17">
        <v>0</v>
      </c>
      <c r="F17">
        <v>0</v>
      </c>
      <c r="G17">
        <v>0</v>
      </c>
    </row>
    <row r="18" spans="1:7" x14ac:dyDescent="0.35">
      <c r="A18" t="s">
        <v>718</v>
      </c>
      <c r="B18" t="s">
        <v>453</v>
      </c>
      <c r="C18" t="s">
        <v>36</v>
      </c>
      <c r="D18" t="s">
        <v>52</v>
      </c>
      <c r="E18">
        <v>0</v>
      </c>
      <c r="F18">
        <v>0</v>
      </c>
      <c r="G18">
        <v>0</v>
      </c>
    </row>
    <row r="19" spans="1:7" x14ac:dyDescent="0.35">
      <c r="A19" t="s">
        <v>719</v>
      </c>
      <c r="B19" t="s">
        <v>453</v>
      </c>
      <c r="C19" t="s">
        <v>36</v>
      </c>
      <c r="D19" t="s">
        <v>53</v>
      </c>
      <c r="E19">
        <v>0</v>
      </c>
      <c r="F19">
        <v>0</v>
      </c>
      <c r="G19">
        <v>0</v>
      </c>
    </row>
    <row r="20" spans="1:7" x14ac:dyDescent="0.35">
      <c r="A20" t="s">
        <v>720</v>
      </c>
      <c r="B20" t="s">
        <v>453</v>
      </c>
      <c r="C20" t="s">
        <v>93</v>
      </c>
      <c r="D20" t="s">
        <v>52</v>
      </c>
      <c r="E20">
        <v>0</v>
      </c>
      <c r="F20">
        <v>0</v>
      </c>
      <c r="G20">
        <v>0</v>
      </c>
    </row>
    <row r="21" spans="1:7" x14ac:dyDescent="0.35">
      <c r="A21" t="s">
        <v>721</v>
      </c>
      <c r="B21" t="s">
        <v>453</v>
      </c>
      <c r="C21" t="s">
        <v>93</v>
      </c>
      <c r="D21" t="s">
        <v>53</v>
      </c>
      <c r="E21">
        <v>0</v>
      </c>
      <c r="F21">
        <v>0</v>
      </c>
      <c r="G21">
        <v>0</v>
      </c>
    </row>
    <row r="22" spans="1:7" x14ac:dyDescent="0.35">
      <c r="A22" t="s">
        <v>722</v>
      </c>
      <c r="B22" t="s">
        <v>453</v>
      </c>
      <c r="C22" t="s">
        <v>96</v>
      </c>
      <c r="D22" t="s">
        <v>52</v>
      </c>
      <c r="E22">
        <v>0</v>
      </c>
      <c r="F22">
        <v>0</v>
      </c>
      <c r="G22">
        <v>0</v>
      </c>
    </row>
    <row r="23" spans="1:7" x14ac:dyDescent="0.35">
      <c r="A23" t="s">
        <v>723</v>
      </c>
      <c r="B23" t="s">
        <v>453</v>
      </c>
      <c r="C23" t="s">
        <v>96</v>
      </c>
      <c r="D23" t="s">
        <v>53</v>
      </c>
      <c r="E23">
        <v>0</v>
      </c>
      <c r="F23">
        <v>0</v>
      </c>
      <c r="G23">
        <v>0</v>
      </c>
    </row>
    <row r="24" spans="1:7" x14ac:dyDescent="0.35">
      <c r="A24" t="s">
        <v>724</v>
      </c>
      <c r="B24" t="s">
        <v>453</v>
      </c>
      <c r="C24" t="s">
        <v>338</v>
      </c>
      <c r="D24" t="s">
        <v>52</v>
      </c>
      <c r="E24">
        <v>0</v>
      </c>
      <c r="F24">
        <v>0</v>
      </c>
      <c r="G24">
        <v>0</v>
      </c>
    </row>
    <row r="25" spans="1:7" x14ac:dyDescent="0.35">
      <c r="A25" t="s">
        <v>725</v>
      </c>
      <c r="B25" t="s">
        <v>453</v>
      </c>
      <c r="C25" t="s">
        <v>338</v>
      </c>
      <c r="D25" t="s">
        <v>53</v>
      </c>
      <c r="E25">
        <v>0</v>
      </c>
      <c r="F25">
        <v>0</v>
      </c>
      <c r="G25">
        <v>0</v>
      </c>
    </row>
    <row r="26" spans="1:7" x14ac:dyDescent="0.35">
      <c r="A26" t="s">
        <v>726</v>
      </c>
      <c r="B26" t="s">
        <v>453</v>
      </c>
      <c r="C26" t="s">
        <v>348</v>
      </c>
      <c r="D26" t="s">
        <v>52</v>
      </c>
      <c r="E26">
        <v>0</v>
      </c>
      <c r="F26">
        <v>0</v>
      </c>
      <c r="G26">
        <v>0</v>
      </c>
    </row>
    <row r="27" spans="1:7" x14ac:dyDescent="0.35">
      <c r="A27" t="s">
        <v>727</v>
      </c>
      <c r="B27" t="s">
        <v>453</v>
      </c>
      <c r="C27" t="s">
        <v>348</v>
      </c>
      <c r="D27" t="s">
        <v>53</v>
      </c>
      <c r="E27">
        <v>0</v>
      </c>
      <c r="F27">
        <v>0</v>
      </c>
      <c r="G27">
        <v>0</v>
      </c>
    </row>
    <row r="28" spans="1:7" x14ac:dyDescent="0.35">
      <c r="A28" t="s">
        <v>728</v>
      </c>
      <c r="B28" t="s">
        <v>453</v>
      </c>
      <c r="C28" t="s">
        <v>329</v>
      </c>
      <c r="D28" t="s">
        <v>52</v>
      </c>
      <c r="E28">
        <v>0</v>
      </c>
      <c r="F28">
        <v>0</v>
      </c>
      <c r="G28">
        <v>0</v>
      </c>
    </row>
    <row r="29" spans="1:7" x14ac:dyDescent="0.35">
      <c r="A29" t="s">
        <v>729</v>
      </c>
      <c r="B29" t="s">
        <v>453</v>
      </c>
      <c r="C29" t="s">
        <v>329</v>
      </c>
      <c r="D29" t="s">
        <v>53</v>
      </c>
      <c r="E29">
        <v>0</v>
      </c>
      <c r="F29">
        <v>0</v>
      </c>
      <c r="G29">
        <v>0</v>
      </c>
    </row>
    <row r="30" spans="1:7" x14ac:dyDescent="0.35">
      <c r="A30" t="s">
        <v>730</v>
      </c>
      <c r="B30" t="s">
        <v>453</v>
      </c>
      <c r="C30" t="s">
        <v>78</v>
      </c>
      <c r="D30" t="s">
        <v>52</v>
      </c>
      <c r="E30">
        <v>0</v>
      </c>
      <c r="F30">
        <v>0</v>
      </c>
      <c r="G30">
        <v>0</v>
      </c>
    </row>
    <row r="31" spans="1:7" x14ac:dyDescent="0.35">
      <c r="A31" t="s">
        <v>731</v>
      </c>
      <c r="B31" t="s">
        <v>453</v>
      </c>
      <c r="C31" t="s">
        <v>78</v>
      </c>
      <c r="D31" t="s">
        <v>53</v>
      </c>
      <c r="E31">
        <v>0</v>
      </c>
      <c r="F31">
        <v>0</v>
      </c>
      <c r="G31">
        <v>0</v>
      </c>
    </row>
    <row r="32" spans="1:7" x14ac:dyDescent="0.35">
      <c r="A32" t="s">
        <v>732</v>
      </c>
      <c r="B32" t="s">
        <v>453</v>
      </c>
      <c r="C32" t="s">
        <v>447</v>
      </c>
      <c r="D32" t="s">
        <v>52</v>
      </c>
      <c r="E32">
        <v>0</v>
      </c>
      <c r="F32">
        <v>0</v>
      </c>
      <c r="G32">
        <v>0</v>
      </c>
    </row>
    <row r="33" spans="1:7" x14ac:dyDescent="0.35">
      <c r="A33" t="s">
        <v>733</v>
      </c>
      <c r="B33" t="s">
        <v>453</v>
      </c>
      <c r="C33" t="s">
        <v>447</v>
      </c>
      <c r="D33" t="s">
        <v>53</v>
      </c>
      <c r="E33">
        <v>0</v>
      </c>
      <c r="F33">
        <v>0</v>
      </c>
      <c r="G33">
        <v>0</v>
      </c>
    </row>
    <row r="34" spans="1:7" x14ac:dyDescent="0.35">
      <c r="A34" t="s">
        <v>734</v>
      </c>
      <c r="B34" t="s">
        <v>316</v>
      </c>
      <c r="C34" t="s">
        <v>36</v>
      </c>
      <c r="D34" t="s">
        <v>52</v>
      </c>
      <c r="E34">
        <v>0</v>
      </c>
      <c r="F34">
        <v>0</v>
      </c>
      <c r="G34">
        <v>0</v>
      </c>
    </row>
    <row r="35" spans="1:7" x14ac:dyDescent="0.35">
      <c r="A35" t="s">
        <v>735</v>
      </c>
      <c r="B35" t="s">
        <v>316</v>
      </c>
      <c r="C35" t="s">
        <v>36</v>
      </c>
      <c r="D35" t="s">
        <v>53</v>
      </c>
      <c r="E35">
        <v>0</v>
      </c>
      <c r="F35">
        <v>0</v>
      </c>
      <c r="G35">
        <v>0</v>
      </c>
    </row>
    <row r="36" spans="1:7" x14ac:dyDescent="0.35">
      <c r="A36" t="s">
        <v>736</v>
      </c>
      <c r="B36" t="s">
        <v>316</v>
      </c>
      <c r="C36" t="s">
        <v>93</v>
      </c>
      <c r="D36" t="s">
        <v>52</v>
      </c>
      <c r="E36">
        <v>0</v>
      </c>
      <c r="F36">
        <v>0</v>
      </c>
      <c r="G36">
        <v>0</v>
      </c>
    </row>
    <row r="37" spans="1:7" x14ac:dyDescent="0.35">
      <c r="A37" t="s">
        <v>737</v>
      </c>
      <c r="B37" t="s">
        <v>316</v>
      </c>
      <c r="C37" t="s">
        <v>93</v>
      </c>
      <c r="D37" t="s">
        <v>53</v>
      </c>
      <c r="E37">
        <v>0</v>
      </c>
      <c r="F37">
        <v>0</v>
      </c>
      <c r="G37">
        <v>0</v>
      </c>
    </row>
    <row r="38" spans="1:7" x14ac:dyDescent="0.35">
      <c r="A38" t="s">
        <v>738</v>
      </c>
      <c r="B38" t="s">
        <v>316</v>
      </c>
      <c r="C38" t="s">
        <v>96</v>
      </c>
      <c r="D38" t="s">
        <v>52</v>
      </c>
      <c r="E38">
        <v>0</v>
      </c>
      <c r="F38">
        <v>0</v>
      </c>
      <c r="G38">
        <v>0</v>
      </c>
    </row>
    <row r="39" spans="1:7" x14ac:dyDescent="0.35">
      <c r="A39" t="s">
        <v>739</v>
      </c>
      <c r="B39" t="s">
        <v>316</v>
      </c>
      <c r="C39" t="s">
        <v>96</v>
      </c>
      <c r="D39" t="s">
        <v>53</v>
      </c>
      <c r="E39">
        <v>0</v>
      </c>
      <c r="F39">
        <v>0</v>
      </c>
      <c r="G39">
        <v>0</v>
      </c>
    </row>
    <row r="40" spans="1:7" x14ac:dyDescent="0.35">
      <c r="A40" t="s">
        <v>740</v>
      </c>
      <c r="B40" t="s">
        <v>316</v>
      </c>
      <c r="C40" t="s">
        <v>338</v>
      </c>
      <c r="D40" t="s">
        <v>52</v>
      </c>
      <c r="E40">
        <v>0</v>
      </c>
      <c r="F40">
        <v>0</v>
      </c>
      <c r="G40">
        <v>0</v>
      </c>
    </row>
    <row r="41" spans="1:7" x14ac:dyDescent="0.35">
      <c r="A41" t="s">
        <v>741</v>
      </c>
      <c r="B41" t="s">
        <v>316</v>
      </c>
      <c r="C41" t="s">
        <v>338</v>
      </c>
      <c r="D41" t="s">
        <v>53</v>
      </c>
      <c r="E41">
        <v>0</v>
      </c>
      <c r="F41">
        <v>0</v>
      </c>
      <c r="G41">
        <v>0</v>
      </c>
    </row>
    <row r="42" spans="1:7" x14ac:dyDescent="0.35">
      <c r="A42" t="s">
        <v>742</v>
      </c>
      <c r="B42" t="s">
        <v>316</v>
      </c>
      <c r="C42" t="s">
        <v>348</v>
      </c>
      <c r="D42" t="s">
        <v>52</v>
      </c>
      <c r="E42">
        <v>0</v>
      </c>
      <c r="F42">
        <v>0</v>
      </c>
      <c r="G42">
        <v>0</v>
      </c>
    </row>
    <row r="43" spans="1:7" x14ac:dyDescent="0.35">
      <c r="A43" t="s">
        <v>743</v>
      </c>
      <c r="B43" t="s">
        <v>316</v>
      </c>
      <c r="C43" t="s">
        <v>348</v>
      </c>
      <c r="D43" t="s">
        <v>53</v>
      </c>
      <c r="E43">
        <v>0</v>
      </c>
      <c r="F43">
        <v>0</v>
      </c>
      <c r="G43">
        <v>0</v>
      </c>
    </row>
    <row r="44" spans="1:7" x14ac:dyDescent="0.35">
      <c r="A44" t="s">
        <v>744</v>
      </c>
      <c r="B44" t="s">
        <v>316</v>
      </c>
      <c r="C44" t="s">
        <v>329</v>
      </c>
      <c r="D44" t="s">
        <v>52</v>
      </c>
      <c r="E44">
        <v>0</v>
      </c>
      <c r="F44">
        <v>0</v>
      </c>
      <c r="G44">
        <v>0</v>
      </c>
    </row>
    <row r="45" spans="1:7" x14ac:dyDescent="0.35">
      <c r="A45" t="s">
        <v>745</v>
      </c>
      <c r="B45" t="s">
        <v>316</v>
      </c>
      <c r="C45" t="s">
        <v>329</v>
      </c>
      <c r="D45" t="s">
        <v>53</v>
      </c>
      <c r="E45">
        <v>0</v>
      </c>
      <c r="F45">
        <v>0</v>
      </c>
      <c r="G45">
        <v>0</v>
      </c>
    </row>
    <row r="46" spans="1:7" x14ac:dyDescent="0.35">
      <c r="A46" t="s">
        <v>746</v>
      </c>
      <c r="B46" t="s">
        <v>316</v>
      </c>
      <c r="C46" t="s">
        <v>78</v>
      </c>
      <c r="D46" t="s">
        <v>52</v>
      </c>
      <c r="E46">
        <v>0</v>
      </c>
      <c r="F46">
        <v>0</v>
      </c>
      <c r="G46">
        <v>0</v>
      </c>
    </row>
    <row r="47" spans="1:7" x14ac:dyDescent="0.35">
      <c r="A47" t="s">
        <v>747</v>
      </c>
      <c r="B47" t="s">
        <v>316</v>
      </c>
      <c r="C47" t="s">
        <v>78</v>
      </c>
      <c r="D47" t="s">
        <v>53</v>
      </c>
      <c r="E47">
        <v>0</v>
      </c>
      <c r="F47">
        <v>0</v>
      </c>
      <c r="G47">
        <v>0</v>
      </c>
    </row>
    <row r="48" spans="1:7" x14ac:dyDescent="0.35">
      <c r="A48" t="s">
        <v>748</v>
      </c>
      <c r="B48" t="s">
        <v>316</v>
      </c>
      <c r="C48" t="s">
        <v>447</v>
      </c>
      <c r="D48" t="s">
        <v>52</v>
      </c>
      <c r="E48">
        <v>0</v>
      </c>
      <c r="F48">
        <v>0</v>
      </c>
      <c r="G48">
        <v>0</v>
      </c>
    </row>
    <row r="49" spans="1:7" x14ac:dyDescent="0.35">
      <c r="A49" t="s">
        <v>749</v>
      </c>
      <c r="B49" t="s">
        <v>316</v>
      </c>
      <c r="C49" t="s">
        <v>447</v>
      </c>
      <c r="D49" t="s">
        <v>53</v>
      </c>
      <c r="E49">
        <v>0</v>
      </c>
      <c r="F49">
        <v>0</v>
      </c>
      <c r="G49">
        <v>0</v>
      </c>
    </row>
    <row r="50" spans="1:7" x14ac:dyDescent="0.35">
      <c r="A50" t="s">
        <v>750</v>
      </c>
      <c r="B50" t="s">
        <v>313</v>
      </c>
      <c r="C50" t="s">
        <v>36</v>
      </c>
      <c r="D50" t="s">
        <v>52</v>
      </c>
      <c r="E50">
        <v>0</v>
      </c>
      <c r="F50">
        <v>0</v>
      </c>
      <c r="G50">
        <v>0</v>
      </c>
    </row>
    <row r="51" spans="1:7" x14ac:dyDescent="0.35">
      <c r="A51" t="s">
        <v>751</v>
      </c>
      <c r="B51" t="s">
        <v>313</v>
      </c>
      <c r="C51" t="s">
        <v>36</v>
      </c>
      <c r="D51" t="s">
        <v>53</v>
      </c>
      <c r="E51">
        <v>0</v>
      </c>
      <c r="F51">
        <v>0</v>
      </c>
      <c r="G51">
        <v>0</v>
      </c>
    </row>
    <row r="52" spans="1:7" x14ac:dyDescent="0.35">
      <c r="A52" t="s">
        <v>752</v>
      </c>
      <c r="B52" t="s">
        <v>313</v>
      </c>
      <c r="C52" t="s">
        <v>93</v>
      </c>
      <c r="D52" t="s">
        <v>52</v>
      </c>
      <c r="E52">
        <v>0</v>
      </c>
      <c r="F52">
        <v>0</v>
      </c>
      <c r="G52">
        <v>0</v>
      </c>
    </row>
    <row r="53" spans="1:7" x14ac:dyDescent="0.35">
      <c r="A53" t="s">
        <v>753</v>
      </c>
      <c r="B53" t="s">
        <v>313</v>
      </c>
      <c r="C53" t="s">
        <v>93</v>
      </c>
      <c r="D53" t="s">
        <v>53</v>
      </c>
      <c r="E53">
        <v>0</v>
      </c>
      <c r="F53">
        <v>0</v>
      </c>
      <c r="G53">
        <v>0</v>
      </c>
    </row>
    <row r="54" spans="1:7" x14ac:dyDescent="0.35">
      <c r="A54" t="s">
        <v>754</v>
      </c>
      <c r="B54" t="s">
        <v>313</v>
      </c>
      <c r="C54" t="s">
        <v>96</v>
      </c>
      <c r="D54" t="s">
        <v>52</v>
      </c>
      <c r="E54">
        <v>0</v>
      </c>
      <c r="F54">
        <v>0</v>
      </c>
      <c r="G54">
        <v>0</v>
      </c>
    </row>
    <row r="55" spans="1:7" x14ac:dyDescent="0.35">
      <c r="A55" t="s">
        <v>755</v>
      </c>
      <c r="B55" t="s">
        <v>313</v>
      </c>
      <c r="C55" t="s">
        <v>96</v>
      </c>
      <c r="D55" t="s">
        <v>53</v>
      </c>
      <c r="E55">
        <v>0</v>
      </c>
      <c r="F55">
        <v>0</v>
      </c>
      <c r="G55">
        <v>0</v>
      </c>
    </row>
    <row r="56" spans="1:7" x14ac:dyDescent="0.35">
      <c r="A56" t="s">
        <v>756</v>
      </c>
      <c r="B56" t="s">
        <v>313</v>
      </c>
      <c r="C56" t="s">
        <v>338</v>
      </c>
      <c r="D56" t="s">
        <v>52</v>
      </c>
      <c r="E56">
        <v>0</v>
      </c>
      <c r="F56">
        <v>0</v>
      </c>
      <c r="G56">
        <v>0</v>
      </c>
    </row>
    <row r="57" spans="1:7" x14ac:dyDescent="0.35">
      <c r="A57" t="s">
        <v>757</v>
      </c>
      <c r="B57" t="s">
        <v>313</v>
      </c>
      <c r="C57" t="s">
        <v>338</v>
      </c>
      <c r="D57" t="s">
        <v>53</v>
      </c>
      <c r="E57">
        <v>0</v>
      </c>
      <c r="F57">
        <v>0</v>
      </c>
      <c r="G57">
        <v>0</v>
      </c>
    </row>
    <row r="58" spans="1:7" x14ac:dyDescent="0.35">
      <c r="A58" t="s">
        <v>758</v>
      </c>
      <c r="B58" t="s">
        <v>313</v>
      </c>
      <c r="C58" t="s">
        <v>348</v>
      </c>
      <c r="D58" t="s">
        <v>52</v>
      </c>
      <c r="E58">
        <v>0</v>
      </c>
      <c r="F58">
        <v>0</v>
      </c>
      <c r="G58">
        <v>0</v>
      </c>
    </row>
    <row r="59" spans="1:7" x14ac:dyDescent="0.35">
      <c r="A59" t="s">
        <v>759</v>
      </c>
      <c r="B59" t="s">
        <v>313</v>
      </c>
      <c r="C59" t="s">
        <v>348</v>
      </c>
      <c r="D59" t="s">
        <v>53</v>
      </c>
      <c r="E59">
        <v>0</v>
      </c>
      <c r="F59">
        <v>0</v>
      </c>
      <c r="G59">
        <v>0</v>
      </c>
    </row>
    <row r="60" spans="1:7" x14ac:dyDescent="0.35">
      <c r="A60" t="s">
        <v>760</v>
      </c>
      <c r="B60" t="s">
        <v>313</v>
      </c>
      <c r="C60" t="s">
        <v>329</v>
      </c>
      <c r="D60" t="s">
        <v>52</v>
      </c>
      <c r="E60">
        <v>0</v>
      </c>
      <c r="F60">
        <v>0</v>
      </c>
      <c r="G60">
        <v>0</v>
      </c>
    </row>
    <row r="61" spans="1:7" x14ac:dyDescent="0.35">
      <c r="A61" t="s">
        <v>761</v>
      </c>
      <c r="B61" t="s">
        <v>313</v>
      </c>
      <c r="C61" t="s">
        <v>329</v>
      </c>
      <c r="D61" t="s">
        <v>53</v>
      </c>
      <c r="E61">
        <v>0</v>
      </c>
      <c r="F61">
        <v>0</v>
      </c>
      <c r="G61">
        <v>0</v>
      </c>
    </row>
    <row r="62" spans="1:7" x14ac:dyDescent="0.35">
      <c r="A62" t="s">
        <v>762</v>
      </c>
      <c r="B62" t="s">
        <v>313</v>
      </c>
      <c r="C62" t="s">
        <v>78</v>
      </c>
      <c r="D62" t="s">
        <v>52</v>
      </c>
      <c r="E62">
        <v>0</v>
      </c>
      <c r="F62">
        <v>0</v>
      </c>
      <c r="G62">
        <v>0</v>
      </c>
    </row>
    <row r="63" spans="1:7" x14ac:dyDescent="0.35">
      <c r="A63" t="s">
        <v>763</v>
      </c>
      <c r="B63" t="s">
        <v>313</v>
      </c>
      <c r="C63" t="s">
        <v>78</v>
      </c>
      <c r="D63" t="s">
        <v>53</v>
      </c>
      <c r="E63">
        <v>0</v>
      </c>
      <c r="F63">
        <v>0</v>
      </c>
      <c r="G63">
        <v>0</v>
      </c>
    </row>
    <row r="64" spans="1:7" x14ac:dyDescent="0.35">
      <c r="A64" t="s">
        <v>764</v>
      </c>
      <c r="B64" t="s">
        <v>313</v>
      </c>
      <c r="C64" t="s">
        <v>447</v>
      </c>
      <c r="D64" t="s">
        <v>52</v>
      </c>
      <c r="E64">
        <v>0</v>
      </c>
      <c r="F64">
        <v>0</v>
      </c>
      <c r="G64">
        <v>0</v>
      </c>
    </row>
    <row r="65" spans="1:7" x14ac:dyDescent="0.35">
      <c r="A65" t="s">
        <v>765</v>
      </c>
      <c r="B65" t="s">
        <v>313</v>
      </c>
      <c r="C65" t="s">
        <v>447</v>
      </c>
      <c r="D65" t="s">
        <v>53</v>
      </c>
      <c r="E65">
        <v>0</v>
      </c>
      <c r="F65">
        <v>0</v>
      </c>
      <c r="G65">
        <v>0</v>
      </c>
    </row>
    <row r="66" spans="1:7" x14ac:dyDescent="0.35">
      <c r="A66" t="s">
        <v>766</v>
      </c>
      <c r="B66" t="s">
        <v>323</v>
      </c>
      <c r="C66" t="s">
        <v>36</v>
      </c>
      <c r="D66" t="s">
        <v>52</v>
      </c>
      <c r="E66">
        <v>0</v>
      </c>
      <c r="F66">
        <v>0</v>
      </c>
      <c r="G66">
        <v>0</v>
      </c>
    </row>
    <row r="67" spans="1:7" x14ac:dyDescent="0.35">
      <c r="A67" t="s">
        <v>767</v>
      </c>
      <c r="B67" t="s">
        <v>323</v>
      </c>
      <c r="C67" t="s">
        <v>36</v>
      </c>
      <c r="D67" t="s">
        <v>53</v>
      </c>
      <c r="E67">
        <v>0</v>
      </c>
      <c r="F67">
        <v>0</v>
      </c>
      <c r="G67">
        <v>0</v>
      </c>
    </row>
    <row r="68" spans="1:7" x14ac:dyDescent="0.35">
      <c r="A68" t="s">
        <v>768</v>
      </c>
      <c r="B68" t="s">
        <v>323</v>
      </c>
      <c r="C68" t="s">
        <v>93</v>
      </c>
      <c r="D68" t="s">
        <v>52</v>
      </c>
      <c r="E68">
        <v>0</v>
      </c>
      <c r="F68">
        <v>0</v>
      </c>
      <c r="G68">
        <v>0</v>
      </c>
    </row>
    <row r="69" spans="1:7" x14ac:dyDescent="0.35">
      <c r="A69" t="s">
        <v>769</v>
      </c>
      <c r="B69" t="s">
        <v>323</v>
      </c>
      <c r="C69" t="s">
        <v>93</v>
      </c>
      <c r="D69" t="s">
        <v>53</v>
      </c>
      <c r="E69">
        <v>0</v>
      </c>
      <c r="F69">
        <v>0</v>
      </c>
      <c r="G69">
        <v>0</v>
      </c>
    </row>
    <row r="70" spans="1:7" x14ac:dyDescent="0.35">
      <c r="A70" t="s">
        <v>770</v>
      </c>
      <c r="B70" t="s">
        <v>323</v>
      </c>
      <c r="C70" t="s">
        <v>96</v>
      </c>
      <c r="D70" t="s">
        <v>52</v>
      </c>
      <c r="E70">
        <v>0</v>
      </c>
      <c r="F70">
        <v>0</v>
      </c>
      <c r="G70">
        <v>0</v>
      </c>
    </row>
    <row r="71" spans="1:7" x14ac:dyDescent="0.35">
      <c r="A71" t="s">
        <v>771</v>
      </c>
      <c r="B71" t="s">
        <v>323</v>
      </c>
      <c r="C71" t="s">
        <v>96</v>
      </c>
      <c r="D71" t="s">
        <v>53</v>
      </c>
      <c r="E71">
        <v>0</v>
      </c>
      <c r="F71">
        <v>0</v>
      </c>
      <c r="G71">
        <v>0</v>
      </c>
    </row>
    <row r="72" spans="1:7" x14ac:dyDescent="0.35">
      <c r="A72" t="s">
        <v>772</v>
      </c>
      <c r="B72" t="s">
        <v>323</v>
      </c>
      <c r="C72" t="s">
        <v>338</v>
      </c>
      <c r="D72" t="s">
        <v>52</v>
      </c>
      <c r="E72">
        <v>0</v>
      </c>
      <c r="F72">
        <v>0</v>
      </c>
      <c r="G72">
        <v>0</v>
      </c>
    </row>
    <row r="73" spans="1:7" x14ac:dyDescent="0.35">
      <c r="A73" t="s">
        <v>773</v>
      </c>
      <c r="B73" t="s">
        <v>323</v>
      </c>
      <c r="C73" t="s">
        <v>338</v>
      </c>
      <c r="D73" t="s">
        <v>53</v>
      </c>
      <c r="E73">
        <v>0</v>
      </c>
      <c r="F73">
        <v>0</v>
      </c>
      <c r="G73">
        <v>0</v>
      </c>
    </row>
    <row r="74" spans="1:7" x14ac:dyDescent="0.35">
      <c r="A74" t="s">
        <v>774</v>
      </c>
      <c r="B74" t="s">
        <v>323</v>
      </c>
      <c r="C74" t="s">
        <v>348</v>
      </c>
      <c r="D74" t="s">
        <v>52</v>
      </c>
      <c r="E74">
        <v>0</v>
      </c>
      <c r="F74">
        <v>0</v>
      </c>
      <c r="G74">
        <v>0</v>
      </c>
    </row>
    <row r="75" spans="1:7" x14ac:dyDescent="0.35">
      <c r="A75" t="s">
        <v>775</v>
      </c>
      <c r="B75" t="s">
        <v>323</v>
      </c>
      <c r="C75" t="s">
        <v>348</v>
      </c>
      <c r="D75" t="s">
        <v>53</v>
      </c>
      <c r="E75">
        <v>0</v>
      </c>
      <c r="F75">
        <v>0</v>
      </c>
      <c r="G75">
        <v>0</v>
      </c>
    </row>
    <row r="76" spans="1:7" x14ac:dyDescent="0.35">
      <c r="A76" t="s">
        <v>776</v>
      </c>
      <c r="B76" t="s">
        <v>323</v>
      </c>
      <c r="C76" t="s">
        <v>329</v>
      </c>
      <c r="D76" t="s">
        <v>52</v>
      </c>
      <c r="E76">
        <v>0</v>
      </c>
      <c r="F76">
        <v>0</v>
      </c>
      <c r="G76">
        <v>0</v>
      </c>
    </row>
    <row r="77" spans="1:7" x14ac:dyDescent="0.35">
      <c r="A77" t="s">
        <v>777</v>
      </c>
      <c r="B77" t="s">
        <v>323</v>
      </c>
      <c r="C77" t="s">
        <v>329</v>
      </c>
      <c r="D77" t="s">
        <v>53</v>
      </c>
      <c r="E77">
        <v>0</v>
      </c>
      <c r="F77">
        <v>0</v>
      </c>
      <c r="G77">
        <v>0</v>
      </c>
    </row>
    <row r="78" spans="1:7" x14ac:dyDescent="0.35">
      <c r="A78" t="s">
        <v>778</v>
      </c>
      <c r="B78" t="s">
        <v>323</v>
      </c>
      <c r="C78" t="s">
        <v>78</v>
      </c>
      <c r="D78" t="s">
        <v>52</v>
      </c>
      <c r="E78">
        <v>0</v>
      </c>
      <c r="F78">
        <v>0</v>
      </c>
      <c r="G78">
        <v>0</v>
      </c>
    </row>
    <row r="79" spans="1:7" x14ac:dyDescent="0.35">
      <c r="A79" t="s">
        <v>779</v>
      </c>
      <c r="B79" t="s">
        <v>323</v>
      </c>
      <c r="C79" t="s">
        <v>78</v>
      </c>
      <c r="D79" t="s">
        <v>53</v>
      </c>
      <c r="E79">
        <v>0</v>
      </c>
      <c r="F79">
        <v>0</v>
      </c>
      <c r="G79">
        <v>0</v>
      </c>
    </row>
    <row r="80" spans="1:7" x14ac:dyDescent="0.35">
      <c r="A80" t="s">
        <v>780</v>
      </c>
      <c r="B80" t="s">
        <v>323</v>
      </c>
      <c r="C80" t="s">
        <v>447</v>
      </c>
      <c r="D80" t="s">
        <v>52</v>
      </c>
      <c r="E80">
        <v>0</v>
      </c>
      <c r="F80">
        <v>0</v>
      </c>
      <c r="G80">
        <v>0</v>
      </c>
    </row>
    <row r="81" spans="1:7" x14ac:dyDescent="0.35">
      <c r="A81" t="s">
        <v>781</v>
      </c>
      <c r="B81" t="s">
        <v>323</v>
      </c>
      <c r="C81" t="s">
        <v>447</v>
      </c>
      <c r="D81" t="s">
        <v>53</v>
      </c>
      <c r="E81">
        <v>0</v>
      </c>
      <c r="F81">
        <v>0</v>
      </c>
      <c r="G81">
        <v>0</v>
      </c>
    </row>
    <row r="82" spans="1:7" x14ac:dyDescent="0.35">
      <c r="A82" t="s">
        <v>782</v>
      </c>
      <c r="B82" t="s">
        <v>328</v>
      </c>
      <c r="C82" t="s">
        <v>36</v>
      </c>
      <c r="D82" t="s">
        <v>52</v>
      </c>
      <c r="E82">
        <v>0</v>
      </c>
      <c r="F82">
        <v>0</v>
      </c>
      <c r="G82">
        <v>0</v>
      </c>
    </row>
    <row r="83" spans="1:7" x14ac:dyDescent="0.35">
      <c r="A83" t="s">
        <v>783</v>
      </c>
      <c r="B83" t="s">
        <v>328</v>
      </c>
      <c r="C83" t="s">
        <v>36</v>
      </c>
      <c r="D83" t="s">
        <v>53</v>
      </c>
      <c r="E83">
        <v>0</v>
      </c>
      <c r="F83">
        <v>0</v>
      </c>
      <c r="G83">
        <v>0</v>
      </c>
    </row>
    <row r="84" spans="1:7" x14ac:dyDescent="0.35">
      <c r="A84" t="s">
        <v>784</v>
      </c>
      <c r="B84" t="s">
        <v>328</v>
      </c>
      <c r="C84" t="s">
        <v>93</v>
      </c>
      <c r="D84" t="s">
        <v>52</v>
      </c>
      <c r="E84">
        <v>0</v>
      </c>
      <c r="F84">
        <v>0</v>
      </c>
      <c r="G84">
        <v>0</v>
      </c>
    </row>
    <row r="85" spans="1:7" x14ac:dyDescent="0.35">
      <c r="A85" t="s">
        <v>785</v>
      </c>
      <c r="B85" t="s">
        <v>328</v>
      </c>
      <c r="C85" t="s">
        <v>93</v>
      </c>
      <c r="D85" t="s">
        <v>53</v>
      </c>
      <c r="E85">
        <v>0</v>
      </c>
      <c r="F85">
        <v>0</v>
      </c>
      <c r="G85">
        <v>0</v>
      </c>
    </row>
    <row r="86" spans="1:7" x14ac:dyDescent="0.35">
      <c r="A86" t="s">
        <v>786</v>
      </c>
      <c r="B86" t="s">
        <v>328</v>
      </c>
      <c r="C86" t="s">
        <v>96</v>
      </c>
      <c r="D86" t="s">
        <v>52</v>
      </c>
      <c r="E86">
        <v>0</v>
      </c>
      <c r="F86">
        <v>0</v>
      </c>
      <c r="G86">
        <v>0</v>
      </c>
    </row>
    <row r="87" spans="1:7" x14ac:dyDescent="0.35">
      <c r="A87" t="s">
        <v>787</v>
      </c>
      <c r="B87" t="s">
        <v>328</v>
      </c>
      <c r="C87" t="s">
        <v>96</v>
      </c>
      <c r="D87" t="s">
        <v>53</v>
      </c>
      <c r="E87">
        <v>0</v>
      </c>
      <c r="F87">
        <v>0</v>
      </c>
      <c r="G87">
        <v>0</v>
      </c>
    </row>
    <row r="88" spans="1:7" x14ac:dyDescent="0.35">
      <c r="A88" t="s">
        <v>788</v>
      </c>
      <c r="B88" t="s">
        <v>328</v>
      </c>
      <c r="C88" t="s">
        <v>338</v>
      </c>
      <c r="D88" t="s">
        <v>52</v>
      </c>
      <c r="E88">
        <v>0</v>
      </c>
      <c r="F88">
        <v>0</v>
      </c>
      <c r="G88">
        <v>0</v>
      </c>
    </row>
    <row r="89" spans="1:7" x14ac:dyDescent="0.35">
      <c r="A89" t="s">
        <v>789</v>
      </c>
      <c r="B89" t="s">
        <v>328</v>
      </c>
      <c r="C89" t="s">
        <v>338</v>
      </c>
      <c r="D89" t="s">
        <v>53</v>
      </c>
      <c r="E89">
        <v>0</v>
      </c>
      <c r="F89">
        <v>0</v>
      </c>
      <c r="G89">
        <v>0</v>
      </c>
    </row>
    <row r="90" spans="1:7" x14ac:dyDescent="0.35">
      <c r="A90" t="s">
        <v>790</v>
      </c>
      <c r="B90" t="s">
        <v>328</v>
      </c>
      <c r="C90" t="s">
        <v>348</v>
      </c>
      <c r="D90" t="s">
        <v>52</v>
      </c>
      <c r="E90">
        <v>0</v>
      </c>
      <c r="F90">
        <v>0</v>
      </c>
      <c r="G90">
        <v>0</v>
      </c>
    </row>
    <row r="91" spans="1:7" x14ac:dyDescent="0.35">
      <c r="A91" t="s">
        <v>791</v>
      </c>
      <c r="B91" t="s">
        <v>328</v>
      </c>
      <c r="C91" t="s">
        <v>348</v>
      </c>
      <c r="D91" t="s">
        <v>53</v>
      </c>
      <c r="E91">
        <v>0</v>
      </c>
      <c r="F91">
        <v>0</v>
      </c>
      <c r="G91">
        <v>0</v>
      </c>
    </row>
    <row r="92" spans="1:7" x14ac:dyDescent="0.35">
      <c r="A92" t="s">
        <v>792</v>
      </c>
      <c r="B92" t="s">
        <v>328</v>
      </c>
      <c r="C92" t="s">
        <v>329</v>
      </c>
      <c r="D92" t="s">
        <v>52</v>
      </c>
      <c r="E92">
        <v>0</v>
      </c>
      <c r="F92">
        <v>0</v>
      </c>
      <c r="G92">
        <v>0</v>
      </c>
    </row>
    <row r="93" spans="1:7" x14ac:dyDescent="0.35">
      <c r="A93" t="s">
        <v>793</v>
      </c>
      <c r="B93" t="s">
        <v>328</v>
      </c>
      <c r="C93" t="s">
        <v>329</v>
      </c>
      <c r="D93" t="s">
        <v>53</v>
      </c>
      <c r="E93">
        <v>0</v>
      </c>
      <c r="F93">
        <v>0</v>
      </c>
      <c r="G93">
        <v>0</v>
      </c>
    </row>
    <row r="94" spans="1:7" x14ac:dyDescent="0.35">
      <c r="A94" t="s">
        <v>794</v>
      </c>
      <c r="B94" t="s">
        <v>328</v>
      </c>
      <c r="C94" t="s">
        <v>78</v>
      </c>
      <c r="D94" t="s">
        <v>52</v>
      </c>
      <c r="E94">
        <v>0</v>
      </c>
      <c r="F94">
        <v>0</v>
      </c>
      <c r="G94">
        <v>0</v>
      </c>
    </row>
    <row r="95" spans="1:7" x14ac:dyDescent="0.35">
      <c r="A95" t="s">
        <v>795</v>
      </c>
      <c r="B95" t="s">
        <v>328</v>
      </c>
      <c r="C95" t="s">
        <v>78</v>
      </c>
      <c r="D95" t="s">
        <v>53</v>
      </c>
      <c r="E95">
        <v>0</v>
      </c>
      <c r="F95">
        <v>0</v>
      </c>
      <c r="G95">
        <v>0</v>
      </c>
    </row>
    <row r="96" spans="1:7" x14ac:dyDescent="0.35">
      <c r="A96" t="s">
        <v>796</v>
      </c>
      <c r="B96" t="s">
        <v>328</v>
      </c>
      <c r="C96" t="s">
        <v>447</v>
      </c>
      <c r="D96" t="s">
        <v>52</v>
      </c>
      <c r="E96">
        <v>0</v>
      </c>
      <c r="F96">
        <v>0</v>
      </c>
      <c r="G96">
        <v>0</v>
      </c>
    </row>
    <row r="97" spans="1:7" x14ac:dyDescent="0.35">
      <c r="A97" t="s">
        <v>797</v>
      </c>
      <c r="B97" t="s">
        <v>328</v>
      </c>
      <c r="C97" t="s">
        <v>447</v>
      </c>
      <c r="D97" t="s">
        <v>53</v>
      </c>
      <c r="E97">
        <v>0</v>
      </c>
      <c r="F97">
        <v>0</v>
      </c>
      <c r="G97">
        <v>0</v>
      </c>
    </row>
    <row r="98" spans="1:7" x14ac:dyDescent="0.35">
      <c r="A98" t="s">
        <v>798</v>
      </c>
      <c r="B98" t="s">
        <v>334</v>
      </c>
      <c r="C98" t="s">
        <v>36</v>
      </c>
      <c r="D98" t="s">
        <v>52</v>
      </c>
      <c r="E98">
        <v>0</v>
      </c>
      <c r="F98">
        <v>0</v>
      </c>
      <c r="G98">
        <v>0</v>
      </c>
    </row>
    <row r="99" spans="1:7" x14ac:dyDescent="0.35">
      <c r="A99" t="s">
        <v>799</v>
      </c>
      <c r="B99" t="s">
        <v>334</v>
      </c>
      <c r="C99" t="s">
        <v>36</v>
      </c>
      <c r="D99" t="s">
        <v>53</v>
      </c>
      <c r="E99">
        <v>0</v>
      </c>
      <c r="F99">
        <v>0</v>
      </c>
      <c r="G99">
        <v>0</v>
      </c>
    </row>
    <row r="100" spans="1:7" x14ac:dyDescent="0.35">
      <c r="A100" t="s">
        <v>800</v>
      </c>
      <c r="B100" t="s">
        <v>334</v>
      </c>
      <c r="C100" t="s">
        <v>93</v>
      </c>
      <c r="D100" t="s">
        <v>52</v>
      </c>
      <c r="E100">
        <v>0</v>
      </c>
      <c r="F100">
        <v>0</v>
      </c>
      <c r="G100">
        <v>0</v>
      </c>
    </row>
    <row r="101" spans="1:7" x14ac:dyDescent="0.35">
      <c r="A101" t="s">
        <v>801</v>
      </c>
      <c r="B101" t="s">
        <v>334</v>
      </c>
      <c r="C101" t="s">
        <v>93</v>
      </c>
      <c r="D101" t="s">
        <v>53</v>
      </c>
      <c r="E101">
        <v>0</v>
      </c>
      <c r="F101">
        <v>0</v>
      </c>
      <c r="G101">
        <v>0</v>
      </c>
    </row>
    <row r="102" spans="1:7" x14ac:dyDescent="0.35">
      <c r="A102" t="s">
        <v>802</v>
      </c>
      <c r="B102" t="s">
        <v>334</v>
      </c>
      <c r="C102" t="s">
        <v>96</v>
      </c>
      <c r="D102" t="s">
        <v>52</v>
      </c>
      <c r="E102">
        <v>0</v>
      </c>
      <c r="F102">
        <v>0</v>
      </c>
      <c r="G102">
        <v>0</v>
      </c>
    </row>
    <row r="103" spans="1:7" x14ac:dyDescent="0.35">
      <c r="A103" t="s">
        <v>803</v>
      </c>
      <c r="B103" t="s">
        <v>334</v>
      </c>
      <c r="C103" t="s">
        <v>96</v>
      </c>
      <c r="D103" t="s">
        <v>53</v>
      </c>
      <c r="E103">
        <v>0</v>
      </c>
      <c r="F103">
        <v>0</v>
      </c>
      <c r="G103">
        <v>0</v>
      </c>
    </row>
    <row r="104" spans="1:7" x14ac:dyDescent="0.35">
      <c r="A104" t="s">
        <v>804</v>
      </c>
      <c r="B104" t="s">
        <v>334</v>
      </c>
      <c r="C104" t="s">
        <v>338</v>
      </c>
      <c r="D104" t="s">
        <v>52</v>
      </c>
      <c r="E104">
        <v>0</v>
      </c>
      <c r="F104">
        <v>0</v>
      </c>
      <c r="G104">
        <v>0</v>
      </c>
    </row>
    <row r="105" spans="1:7" x14ac:dyDescent="0.35">
      <c r="A105" t="s">
        <v>805</v>
      </c>
      <c r="B105" t="s">
        <v>334</v>
      </c>
      <c r="C105" t="s">
        <v>338</v>
      </c>
      <c r="D105" t="s">
        <v>53</v>
      </c>
      <c r="E105">
        <v>0</v>
      </c>
      <c r="F105">
        <v>0</v>
      </c>
      <c r="G105">
        <v>0</v>
      </c>
    </row>
    <row r="106" spans="1:7" x14ac:dyDescent="0.35">
      <c r="A106" t="s">
        <v>806</v>
      </c>
      <c r="B106" t="s">
        <v>334</v>
      </c>
      <c r="C106" t="s">
        <v>348</v>
      </c>
      <c r="D106" t="s">
        <v>52</v>
      </c>
      <c r="E106">
        <v>0</v>
      </c>
      <c r="F106">
        <v>0</v>
      </c>
      <c r="G106">
        <v>0</v>
      </c>
    </row>
    <row r="107" spans="1:7" x14ac:dyDescent="0.35">
      <c r="A107" t="s">
        <v>807</v>
      </c>
      <c r="B107" t="s">
        <v>334</v>
      </c>
      <c r="C107" t="s">
        <v>348</v>
      </c>
      <c r="D107" t="s">
        <v>53</v>
      </c>
      <c r="E107">
        <v>0</v>
      </c>
      <c r="F107">
        <v>0</v>
      </c>
      <c r="G107">
        <v>0</v>
      </c>
    </row>
    <row r="108" spans="1:7" x14ac:dyDescent="0.35">
      <c r="A108" t="s">
        <v>808</v>
      </c>
      <c r="B108" t="s">
        <v>334</v>
      </c>
      <c r="C108" t="s">
        <v>329</v>
      </c>
      <c r="D108" t="s">
        <v>52</v>
      </c>
      <c r="E108">
        <v>0</v>
      </c>
      <c r="F108">
        <v>0</v>
      </c>
      <c r="G108">
        <v>0</v>
      </c>
    </row>
    <row r="109" spans="1:7" x14ac:dyDescent="0.35">
      <c r="A109" t="s">
        <v>809</v>
      </c>
      <c r="B109" t="s">
        <v>334</v>
      </c>
      <c r="C109" t="s">
        <v>329</v>
      </c>
      <c r="D109" t="s">
        <v>53</v>
      </c>
      <c r="E109">
        <v>0</v>
      </c>
      <c r="F109">
        <v>0</v>
      </c>
      <c r="G109">
        <v>0</v>
      </c>
    </row>
    <row r="110" spans="1:7" x14ac:dyDescent="0.35">
      <c r="A110" t="s">
        <v>810</v>
      </c>
      <c r="B110" t="s">
        <v>334</v>
      </c>
      <c r="C110" t="s">
        <v>78</v>
      </c>
      <c r="D110" t="s">
        <v>52</v>
      </c>
      <c r="E110">
        <v>0</v>
      </c>
      <c r="F110">
        <v>0</v>
      </c>
      <c r="G110">
        <v>0</v>
      </c>
    </row>
    <row r="111" spans="1:7" x14ac:dyDescent="0.35">
      <c r="A111" t="s">
        <v>811</v>
      </c>
      <c r="B111" t="s">
        <v>334</v>
      </c>
      <c r="C111" t="s">
        <v>78</v>
      </c>
      <c r="D111" t="s">
        <v>53</v>
      </c>
      <c r="E111">
        <v>0</v>
      </c>
      <c r="F111">
        <v>0</v>
      </c>
      <c r="G111">
        <v>0</v>
      </c>
    </row>
    <row r="112" spans="1:7" x14ac:dyDescent="0.35">
      <c r="A112" t="s">
        <v>812</v>
      </c>
      <c r="B112" t="s">
        <v>334</v>
      </c>
      <c r="C112" t="s">
        <v>447</v>
      </c>
      <c r="D112" t="s">
        <v>52</v>
      </c>
      <c r="E112">
        <v>0</v>
      </c>
      <c r="F112">
        <v>0</v>
      </c>
      <c r="G112">
        <v>0</v>
      </c>
    </row>
    <row r="113" spans="1:7" x14ac:dyDescent="0.35">
      <c r="A113" t="s">
        <v>813</v>
      </c>
      <c r="B113" t="s">
        <v>334</v>
      </c>
      <c r="C113" t="s">
        <v>447</v>
      </c>
      <c r="D113" t="s">
        <v>53</v>
      </c>
      <c r="E113">
        <v>0</v>
      </c>
      <c r="F113">
        <v>0</v>
      </c>
      <c r="G113">
        <v>0</v>
      </c>
    </row>
    <row r="114" spans="1:7" x14ac:dyDescent="0.35">
      <c r="A114" t="s">
        <v>814</v>
      </c>
      <c r="B114" t="s">
        <v>347</v>
      </c>
      <c r="C114" t="s">
        <v>36</v>
      </c>
      <c r="D114" t="s">
        <v>52</v>
      </c>
      <c r="E114">
        <v>0</v>
      </c>
      <c r="F114">
        <v>0</v>
      </c>
      <c r="G114">
        <v>0</v>
      </c>
    </row>
    <row r="115" spans="1:7" x14ac:dyDescent="0.35">
      <c r="A115" t="s">
        <v>815</v>
      </c>
      <c r="B115" t="s">
        <v>347</v>
      </c>
      <c r="C115" t="s">
        <v>36</v>
      </c>
      <c r="D115" t="s">
        <v>53</v>
      </c>
      <c r="E115">
        <v>0</v>
      </c>
      <c r="F115">
        <v>0</v>
      </c>
      <c r="G115">
        <v>0</v>
      </c>
    </row>
    <row r="116" spans="1:7" x14ac:dyDescent="0.35">
      <c r="A116" t="s">
        <v>816</v>
      </c>
      <c r="B116" t="s">
        <v>347</v>
      </c>
      <c r="C116" t="s">
        <v>93</v>
      </c>
      <c r="D116" t="s">
        <v>52</v>
      </c>
      <c r="E116">
        <v>0</v>
      </c>
      <c r="F116">
        <v>0</v>
      </c>
      <c r="G116">
        <v>0</v>
      </c>
    </row>
    <row r="117" spans="1:7" x14ac:dyDescent="0.35">
      <c r="A117" t="s">
        <v>817</v>
      </c>
      <c r="B117" t="s">
        <v>347</v>
      </c>
      <c r="C117" t="s">
        <v>93</v>
      </c>
      <c r="D117" t="s">
        <v>53</v>
      </c>
      <c r="E117">
        <v>0</v>
      </c>
      <c r="F117">
        <v>0</v>
      </c>
      <c r="G117">
        <v>0</v>
      </c>
    </row>
    <row r="118" spans="1:7" x14ac:dyDescent="0.35">
      <c r="A118" t="s">
        <v>818</v>
      </c>
      <c r="B118" t="s">
        <v>347</v>
      </c>
      <c r="C118" t="s">
        <v>96</v>
      </c>
      <c r="D118" t="s">
        <v>52</v>
      </c>
      <c r="E118">
        <v>0</v>
      </c>
      <c r="F118">
        <v>0</v>
      </c>
      <c r="G118">
        <v>0</v>
      </c>
    </row>
    <row r="119" spans="1:7" x14ac:dyDescent="0.35">
      <c r="A119" t="s">
        <v>819</v>
      </c>
      <c r="B119" t="s">
        <v>347</v>
      </c>
      <c r="C119" t="s">
        <v>96</v>
      </c>
      <c r="D119" t="s">
        <v>53</v>
      </c>
      <c r="E119">
        <v>0</v>
      </c>
      <c r="F119">
        <v>0</v>
      </c>
      <c r="G119">
        <v>0</v>
      </c>
    </row>
    <row r="120" spans="1:7" x14ac:dyDescent="0.35">
      <c r="A120" t="s">
        <v>820</v>
      </c>
      <c r="B120" t="s">
        <v>347</v>
      </c>
      <c r="C120" t="s">
        <v>338</v>
      </c>
      <c r="D120" t="s">
        <v>52</v>
      </c>
      <c r="E120">
        <v>0</v>
      </c>
      <c r="F120">
        <v>0</v>
      </c>
      <c r="G120">
        <v>0</v>
      </c>
    </row>
    <row r="121" spans="1:7" x14ac:dyDescent="0.35">
      <c r="A121" t="s">
        <v>821</v>
      </c>
      <c r="B121" t="s">
        <v>347</v>
      </c>
      <c r="C121" t="s">
        <v>338</v>
      </c>
      <c r="D121" t="s">
        <v>53</v>
      </c>
      <c r="E121">
        <v>0</v>
      </c>
      <c r="F121">
        <v>0</v>
      </c>
      <c r="G121">
        <v>0</v>
      </c>
    </row>
    <row r="122" spans="1:7" x14ac:dyDescent="0.35">
      <c r="A122" t="s">
        <v>822</v>
      </c>
      <c r="B122" t="s">
        <v>347</v>
      </c>
      <c r="C122" t="s">
        <v>348</v>
      </c>
      <c r="D122" t="s">
        <v>52</v>
      </c>
      <c r="E122">
        <v>0</v>
      </c>
      <c r="F122">
        <v>0</v>
      </c>
      <c r="G122">
        <v>0</v>
      </c>
    </row>
    <row r="123" spans="1:7" x14ac:dyDescent="0.35">
      <c r="A123" t="s">
        <v>823</v>
      </c>
      <c r="B123" t="s">
        <v>347</v>
      </c>
      <c r="C123" t="s">
        <v>348</v>
      </c>
      <c r="D123" t="s">
        <v>53</v>
      </c>
      <c r="E123">
        <v>0</v>
      </c>
      <c r="F123">
        <v>0</v>
      </c>
      <c r="G123">
        <v>0</v>
      </c>
    </row>
    <row r="124" spans="1:7" x14ac:dyDescent="0.35">
      <c r="A124" t="s">
        <v>824</v>
      </c>
      <c r="B124" t="s">
        <v>347</v>
      </c>
      <c r="C124" t="s">
        <v>329</v>
      </c>
      <c r="D124" t="s">
        <v>52</v>
      </c>
      <c r="E124">
        <v>0</v>
      </c>
      <c r="F124">
        <v>0</v>
      </c>
      <c r="G124">
        <v>0</v>
      </c>
    </row>
    <row r="125" spans="1:7" x14ac:dyDescent="0.35">
      <c r="A125" t="s">
        <v>825</v>
      </c>
      <c r="B125" t="s">
        <v>347</v>
      </c>
      <c r="C125" t="s">
        <v>329</v>
      </c>
      <c r="D125" t="s">
        <v>53</v>
      </c>
      <c r="E125">
        <v>0</v>
      </c>
      <c r="F125">
        <v>0</v>
      </c>
      <c r="G125">
        <v>0</v>
      </c>
    </row>
    <row r="126" spans="1:7" x14ac:dyDescent="0.35">
      <c r="A126" t="s">
        <v>826</v>
      </c>
      <c r="B126" t="s">
        <v>347</v>
      </c>
      <c r="C126" t="s">
        <v>78</v>
      </c>
      <c r="D126" t="s">
        <v>52</v>
      </c>
      <c r="E126">
        <v>0</v>
      </c>
      <c r="F126">
        <v>0</v>
      </c>
      <c r="G126">
        <v>0</v>
      </c>
    </row>
    <row r="127" spans="1:7" x14ac:dyDescent="0.35">
      <c r="A127" t="s">
        <v>827</v>
      </c>
      <c r="B127" t="s">
        <v>347</v>
      </c>
      <c r="C127" t="s">
        <v>78</v>
      </c>
      <c r="D127" t="s">
        <v>53</v>
      </c>
      <c r="E127">
        <v>0</v>
      </c>
      <c r="F127">
        <v>0</v>
      </c>
      <c r="G127">
        <v>0</v>
      </c>
    </row>
    <row r="128" spans="1:7" x14ac:dyDescent="0.35">
      <c r="A128" t="s">
        <v>828</v>
      </c>
      <c r="B128" t="s">
        <v>347</v>
      </c>
      <c r="C128" t="s">
        <v>447</v>
      </c>
      <c r="D128" t="s">
        <v>52</v>
      </c>
      <c r="E128">
        <v>0</v>
      </c>
      <c r="F128">
        <v>0</v>
      </c>
      <c r="G128">
        <v>0</v>
      </c>
    </row>
    <row r="129" spans="1:7" x14ac:dyDescent="0.35">
      <c r="A129" t="s">
        <v>829</v>
      </c>
      <c r="B129" t="s">
        <v>347</v>
      </c>
      <c r="C129" t="s">
        <v>447</v>
      </c>
      <c r="D129" t="s">
        <v>53</v>
      </c>
      <c r="E129">
        <v>0</v>
      </c>
      <c r="F129">
        <v>0</v>
      </c>
      <c r="G129">
        <v>0</v>
      </c>
    </row>
    <row r="130" spans="1:7" x14ac:dyDescent="0.35">
      <c r="A130" t="s">
        <v>830</v>
      </c>
      <c r="B130" t="s">
        <v>77</v>
      </c>
      <c r="C130" t="s">
        <v>36</v>
      </c>
      <c r="D130" t="s">
        <v>52</v>
      </c>
      <c r="E130">
        <v>0</v>
      </c>
      <c r="F130">
        <v>0</v>
      </c>
      <c r="G130">
        <v>0</v>
      </c>
    </row>
    <row r="131" spans="1:7" x14ac:dyDescent="0.35">
      <c r="A131" t="s">
        <v>831</v>
      </c>
      <c r="B131" t="s">
        <v>77</v>
      </c>
      <c r="C131" t="s">
        <v>36</v>
      </c>
      <c r="D131" t="s">
        <v>53</v>
      </c>
      <c r="E131">
        <v>0</v>
      </c>
      <c r="F131">
        <v>0</v>
      </c>
      <c r="G131">
        <v>0</v>
      </c>
    </row>
    <row r="132" spans="1:7" x14ac:dyDescent="0.35">
      <c r="A132" t="s">
        <v>832</v>
      </c>
      <c r="B132" t="s">
        <v>77</v>
      </c>
      <c r="C132" t="s">
        <v>93</v>
      </c>
      <c r="D132" t="s">
        <v>52</v>
      </c>
      <c r="E132">
        <v>0</v>
      </c>
      <c r="F132">
        <v>0</v>
      </c>
      <c r="G132">
        <v>0</v>
      </c>
    </row>
    <row r="133" spans="1:7" x14ac:dyDescent="0.35">
      <c r="A133" t="s">
        <v>833</v>
      </c>
      <c r="B133" t="s">
        <v>77</v>
      </c>
      <c r="C133" t="s">
        <v>93</v>
      </c>
      <c r="D133" t="s">
        <v>53</v>
      </c>
      <c r="E133">
        <v>0</v>
      </c>
      <c r="F133">
        <v>0</v>
      </c>
      <c r="G133">
        <v>0</v>
      </c>
    </row>
    <row r="134" spans="1:7" x14ac:dyDescent="0.35">
      <c r="A134" t="s">
        <v>834</v>
      </c>
      <c r="B134" t="s">
        <v>77</v>
      </c>
      <c r="C134" t="s">
        <v>96</v>
      </c>
      <c r="D134" t="s">
        <v>52</v>
      </c>
      <c r="E134">
        <v>0</v>
      </c>
      <c r="F134">
        <v>0</v>
      </c>
      <c r="G134">
        <v>0</v>
      </c>
    </row>
    <row r="135" spans="1:7" x14ac:dyDescent="0.35">
      <c r="A135" t="s">
        <v>835</v>
      </c>
      <c r="B135" t="s">
        <v>77</v>
      </c>
      <c r="C135" t="s">
        <v>96</v>
      </c>
      <c r="D135" t="s">
        <v>53</v>
      </c>
      <c r="E135">
        <v>0</v>
      </c>
      <c r="F135">
        <v>0</v>
      </c>
      <c r="G135">
        <v>0</v>
      </c>
    </row>
    <row r="136" spans="1:7" x14ac:dyDescent="0.35">
      <c r="A136" t="s">
        <v>836</v>
      </c>
      <c r="B136" t="s">
        <v>77</v>
      </c>
      <c r="C136" t="s">
        <v>338</v>
      </c>
      <c r="D136" t="s">
        <v>52</v>
      </c>
      <c r="E136">
        <v>0</v>
      </c>
      <c r="F136">
        <v>0</v>
      </c>
      <c r="G136">
        <v>0</v>
      </c>
    </row>
    <row r="137" spans="1:7" x14ac:dyDescent="0.35">
      <c r="A137" t="s">
        <v>837</v>
      </c>
      <c r="B137" t="s">
        <v>77</v>
      </c>
      <c r="C137" t="s">
        <v>338</v>
      </c>
      <c r="D137" t="s">
        <v>53</v>
      </c>
      <c r="E137">
        <v>0</v>
      </c>
      <c r="F137">
        <v>0</v>
      </c>
      <c r="G137">
        <v>0</v>
      </c>
    </row>
    <row r="138" spans="1:7" x14ac:dyDescent="0.35">
      <c r="A138" t="s">
        <v>838</v>
      </c>
      <c r="B138" t="s">
        <v>77</v>
      </c>
      <c r="C138" t="s">
        <v>348</v>
      </c>
      <c r="D138" t="s">
        <v>52</v>
      </c>
      <c r="E138">
        <v>0</v>
      </c>
      <c r="F138">
        <v>0</v>
      </c>
      <c r="G138">
        <v>0</v>
      </c>
    </row>
    <row r="139" spans="1:7" x14ac:dyDescent="0.35">
      <c r="A139" t="s">
        <v>839</v>
      </c>
      <c r="B139" t="s">
        <v>77</v>
      </c>
      <c r="C139" t="s">
        <v>348</v>
      </c>
      <c r="D139" t="s">
        <v>53</v>
      </c>
      <c r="E139">
        <v>0</v>
      </c>
      <c r="F139">
        <v>0</v>
      </c>
      <c r="G139">
        <v>0</v>
      </c>
    </row>
    <row r="140" spans="1:7" x14ac:dyDescent="0.35">
      <c r="A140" t="s">
        <v>840</v>
      </c>
      <c r="B140" t="s">
        <v>77</v>
      </c>
      <c r="C140" t="s">
        <v>329</v>
      </c>
      <c r="D140" t="s">
        <v>52</v>
      </c>
      <c r="E140">
        <v>0</v>
      </c>
      <c r="F140">
        <v>0</v>
      </c>
      <c r="G140">
        <v>0</v>
      </c>
    </row>
    <row r="141" spans="1:7" x14ac:dyDescent="0.35">
      <c r="A141" t="s">
        <v>841</v>
      </c>
      <c r="B141" t="s">
        <v>77</v>
      </c>
      <c r="C141" t="s">
        <v>329</v>
      </c>
      <c r="D141" t="s">
        <v>53</v>
      </c>
      <c r="E141">
        <v>0</v>
      </c>
      <c r="F141">
        <v>0</v>
      </c>
      <c r="G141">
        <v>0</v>
      </c>
    </row>
    <row r="142" spans="1:7" x14ac:dyDescent="0.35">
      <c r="A142" t="s">
        <v>842</v>
      </c>
      <c r="B142" t="s">
        <v>77</v>
      </c>
      <c r="C142" t="s">
        <v>78</v>
      </c>
      <c r="D142" t="s">
        <v>52</v>
      </c>
      <c r="E142">
        <v>0</v>
      </c>
      <c r="F142">
        <v>0</v>
      </c>
      <c r="G142">
        <v>0</v>
      </c>
    </row>
    <row r="143" spans="1:7" x14ac:dyDescent="0.35">
      <c r="A143" t="s">
        <v>843</v>
      </c>
      <c r="B143" t="s">
        <v>77</v>
      </c>
      <c r="C143" t="s">
        <v>78</v>
      </c>
      <c r="D143" t="s">
        <v>53</v>
      </c>
      <c r="E143">
        <v>0</v>
      </c>
      <c r="F143">
        <v>0</v>
      </c>
      <c r="G143">
        <v>0</v>
      </c>
    </row>
    <row r="144" spans="1:7" x14ac:dyDescent="0.35">
      <c r="A144" t="s">
        <v>844</v>
      </c>
      <c r="B144" t="s">
        <v>77</v>
      </c>
      <c r="C144" t="s">
        <v>447</v>
      </c>
      <c r="D144" t="s">
        <v>52</v>
      </c>
      <c r="E144">
        <v>0</v>
      </c>
      <c r="F144">
        <v>0</v>
      </c>
      <c r="G144">
        <v>0</v>
      </c>
    </row>
    <row r="145" spans="1:7" x14ac:dyDescent="0.35">
      <c r="A145" t="s">
        <v>845</v>
      </c>
      <c r="B145" t="s">
        <v>77</v>
      </c>
      <c r="C145" t="s">
        <v>447</v>
      </c>
      <c r="D145" t="s">
        <v>53</v>
      </c>
      <c r="E145">
        <v>0</v>
      </c>
      <c r="F145">
        <v>0</v>
      </c>
      <c r="G145">
        <v>0</v>
      </c>
    </row>
    <row r="146" spans="1:7" x14ac:dyDescent="0.35">
      <c r="A146" t="s">
        <v>846</v>
      </c>
      <c r="B146" t="s">
        <v>451</v>
      </c>
      <c r="C146" t="s">
        <v>36</v>
      </c>
      <c r="D146" t="s">
        <v>52</v>
      </c>
      <c r="E146">
        <v>0</v>
      </c>
      <c r="F146">
        <v>0</v>
      </c>
      <c r="G146">
        <v>0</v>
      </c>
    </row>
    <row r="147" spans="1:7" x14ac:dyDescent="0.35">
      <c r="A147" t="s">
        <v>847</v>
      </c>
      <c r="B147" t="s">
        <v>451</v>
      </c>
      <c r="C147" t="s">
        <v>36</v>
      </c>
      <c r="D147" t="s">
        <v>53</v>
      </c>
      <c r="E147">
        <v>0</v>
      </c>
      <c r="F147">
        <v>0</v>
      </c>
      <c r="G147">
        <v>0</v>
      </c>
    </row>
    <row r="148" spans="1:7" x14ac:dyDescent="0.35">
      <c r="A148" t="s">
        <v>848</v>
      </c>
      <c r="B148" t="s">
        <v>451</v>
      </c>
      <c r="C148" t="s">
        <v>93</v>
      </c>
      <c r="D148" t="s">
        <v>52</v>
      </c>
      <c r="E148">
        <v>0</v>
      </c>
      <c r="F148">
        <v>0</v>
      </c>
      <c r="G148">
        <v>0</v>
      </c>
    </row>
    <row r="149" spans="1:7" x14ac:dyDescent="0.35">
      <c r="A149" t="s">
        <v>849</v>
      </c>
      <c r="B149" t="s">
        <v>451</v>
      </c>
      <c r="C149" t="s">
        <v>93</v>
      </c>
      <c r="D149" t="s">
        <v>53</v>
      </c>
      <c r="E149">
        <v>0</v>
      </c>
      <c r="F149">
        <v>0</v>
      </c>
      <c r="G149">
        <v>0</v>
      </c>
    </row>
    <row r="150" spans="1:7" x14ac:dyDescent="0.35">
      <c r="A150" t="s">
        <v>850</v>
      </c>
      <c r="B150" t="s">
        <v>451</v>
      </c>
      <c r="C150" t="s">
        <v>96</v>
      </c>
      <c r="D150" t="s">
        <v>52</v>
      </c>
      <c r="E150">
        <v>0</v>
      </c>
      <c r="F150">
        <v>0</v>
      </c>
      <c r="G150">
        <v>0</v>
      </c>
    </row>
    <row r="151" spans="1:7" x14ac:dyDescent="0.35">
      <c r="A151" t="s">
        <v>851</v>
      </c>
      <c r="B151" t="s">
        <v>451</v>
      </c>
      <c r="C151" t="s">
        <v>96</v>
      </c>
      <c r="D151" t="s">
        <v>53</v>
      </c>
      <c r="E151">
        <v>0</v>
      </c>
      <c r="F151">
        <v>0</v>
      </c>
      <c r="G151">
        <v>0</v>
      </c>
    </row>
    <row r="152" spans="1:7" x14ac:dyDescent="0.35">
      <c r="A152" t="s">
        <v>852</v>
      </c>
      <c r="B152" t="s">
        <v>451</v>
      </c>
      <c r="C152" t="s">
        <v>338</v>
      </c>
      <c r="D152" t="s">
        <v>52</v>
      </c>
      <c r="E152">
        <v>0</v>
      </c>
      <c r="F152">
        <v>0</v>
      </c>
      <c r="G152">
        <v>0</v>
      </c>
    </row>
    <row r="153" spans="1:7" x14ac:dyDescent="0.35">
      <c r="A153" t="s">
        <v>853</v>
      </c>
      <c r="B153" t="s">
        <v>451</v>
      </c>
      <c r="C153" t="s">
        <v>338</v>
      </c>
      <c r="D153" t="s">
        <v>53</v>
      </c>
      <c r="E153">
        <v>0</v>
      </c>
      <c r="F153">
        <v>0</v>
      </c>
      <c r="G153">
        <v>0</v>
      </c>
    </row>
    <row r="154" spans="1:7" x14ac:dyDescent="0.35">
      <c r="A154" t="s">
        <v>854</v>
      </c>
      <c r="B154" t="s">
        <v>451</v>
      </c>
      <c r="C154" t="s">
        <v>348</v>
      </c>
      <c r="D154" t="s">
        <v>52</v>
      </c>
      <c r="E154">
        <v>0</v>
      </c>
      <c r="F154">
        <v>0</v>
      </c>
      <c r="G154">
        <v>0</v>
      </c>
    </row>
    <row r="155" spans="1:7" x14ac:dyDescent="0.35">
      <c r="A155" t="s">
        <v>855</v>
      </c>
      <c r="B155" t="s">
        <v>451</v>
      </c>
      <c r="C155" t="s">
        <v>348</v>
      </c>
      <c r="D155" t="s">
        <v>53</v>
      </c>
      <c r="E155">
        <v>0</v>
      </c>
      <c r="F155">
        <v>0</v>
      </c>
      <c r="G155">
        <v>0</v>
      </c>
    </row>
    <row r="156" spans="1:7" x14ac:dyDescent="0.35">
      <c r="A156" t="s">
        <v>856</v>
      </c>
      <c r="B156" t="s">
        <v>451</v>
      </c>
      <c r="C156" t="s">
        <v>329</v>
      </c>
      <c r="D156" t="s">
        <v>52</v>
      </c>
      <c r="E156">
        <v>0</v>
      </c>
      <c r="F156">
        <v>0</v>
      </c>
      <c r="G156">
        <v>0</v>
      </c>
    </row>
    <row r="157" spans="1:7" x14ac:dyDescent="0.35">
      <c r="A157" t="s">
        <v>857</v>
      </c>
      <c r="B157" t="s">
        <v>451</v>
      </c>
      <c r="C157" t="s">
        <v>329</v>
      </c>
      <c r="D157" t="s">
        <v>53</v>
      </c>
      <c r="E157">
        <v>0</v>
      </c>
      <c r="F157">
        <v>0</v>
      </c>
      <c r="G157">
        <v>0</v>
      </c>
    </row>
    <row r="158" spans="1:7" x14ac:dyDescent="0.35">
      <c r="A158" t="s">
        <v>858</v>
      </c>
      <c r="B158" t="s">
        <v>451</v>
      </c>
      <c r="C158" t="s">
        <v>78</v>
      </c>
      <c r="D158" t="s">
        <v>52</v>
      </c>
      <c r="E158">
        <v>0</v>
      </c>
      <c r="F158">
        <v>0</v>
      </c>
      <c r="G158">
        <v>0</v>
      </c>
    </row>
    <row r="159" spans="1:7" x14ac:dyDescent="0.35">
      <c r="A159" t="s">
        <v>859</v>
      </c>
      <c r="B159" t="s">
        <v>451</v>
      </c>
      <c r="C159" t="s">
        <v>78</v>
      </c>
      <c r="D159" t="s">
        <v>53</v>
      </c>
      <c r="E159">
        <v>0</v>
      </c>
      <c r="F159">
        <v>0</v>
      </c>
      <c r="G159">
        <v>0</v>
      </c>
    </row>
    <row r="160" spans="1:7" x14ac:dyDescent="0.35">
      <c r="A160" t="s">
        <v>860</v>
      </c>
      <c r="B160" t="s">
        <v>451</v>
      </c>
      <c r="C160" t="s">
        <v>447</v>
      </c>
      <c r="D160" t="s">
        <v>52</v>
      </c>
      <c r="E160">
        <v>0</v>
      </c>
      <c r="F160">
        <v>0</v>
      </c>
      <c r="G160">
        <v>0</v>
      </c>
    </row>
    <row r="161" spans="1:7" x14ac:dyDescent="0.35">
      <c r="A161" t="s">
        <v>861</v>
      </c>
      <c r="B161" t="s">
        <v>451</v>
      </c>
      <c r="C161" t="s">
        <v>447</v>
      </c>
      <c r="D161" t="s">
        <v>53</v>
      </c>
      <c r="E161">
        <v>0</v>
      </c>
      <c r="F161">
        <v>0</v>
      </c>
      <c r="G16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"/>
  <sheetViews>
    <sheetView workbookViewId="0"/>
  </sheetViews>
  <sheetFormatPr baseColWidth="10" defaultColWidth="8.7265625" defaultRowHeight="14.5" x14ac:dyDescent="0.35"/>
  <sheetData>
    <row r="1" spans="1:13" x14ac:dyDescent="0.35">
      <c r="A1" t="s">
        <v>56</v>
      </c>
      <c r="B1" t="s">
        <v>22</v>
      </c>
      <c r="C1" t="s">
        <v>24</v>
      </c>
      <c r="D1" t="s">
        <v>55</v>
      </c>
      <c r="E1" t="s">
        <v>65</v>
      </c>
      <c r="F1" t="s">
        <v>862</v>
      </c>
      <c r="G1" t="s">
        <v>31</v>
      </c>
      <c r="H1" t="s">
        <v>863</v>
      </c>
      <c r="I1" t="s">
        <v>29</v>
      </c>
      <c r="J1" t="s">
        <v>50</v>
      </c>
      <c r="K1" t="s">
        <v>58</v>
      </c>
      <c r="L1" t="s">
        <v>43</v>
      </c>
      <c r="M1" t="s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"/>
  <sheetViews>
    <sheetView workbookViewId="0"/>
  </sheetViews>
  <sheetFormatPr baseColWidth="10" defaultColWidth="8.7265625" defaultRowHeight="14.5" x14ac:dyDescent="0.35"/>
  <sheetData>
    <row r="1" spans="1:13" x14ac:dyDescent="0.35">
      <c r="A1" t="s">
        <v>56</v>
      </c>
      <c r="B1" t="s">
        <v>22</v>
      </c>
      <c r="C1" t="s">
        <v>24</v>
      </c>
      <c r="D1" t="s">
        <v>55</v>
      </c>
      <c r="E1" t="s">
        <v>61</v>
      </c>
      <c r="F1" t="s">
        <v>862</v>
      </c>
      <c r="G1" t="s">
        <v>45</v>
      </c>
      <c r="H1" t="s">
        <v>863</v>
      </c>
      <c r="I1" t="s">
        <v>864</v>
      </c>
      <c r="J1" t="s">
        <v>62</v>
      </c>
      <c r="K1" t="s">
        <v>63</v>
      </c>
      <c r="L1" t="s">
        <v>59</v>
      </c>
      <c r="M1" t="s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141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1" customWidth="1"/>
    <col min="2" max="2" width="25" customWidth="1"/>
    <col min="3" max="4" width="31" customWidth="1"/>
    <col min="5" max="8" width="11" customWidth="1"/>
    <col min="9" max="11" width="46" customWidth="1"/>
    <col min="12" max="14" width="23" customWidth="1"/>
    <col min="15" max="16" width="24" customWidth="1"/>
    <col min="17" max="17" width="12" customWidth="1"/>
    <col min="18" max="19" width="16" customWidth="1"/>
    <col min="20" max="21" width="24" customWidth="1"/>
    <col min="22" max="23" width="16" customWidth="1"/>
    <col min="24" max="24" width="18" customWidth="1"/>
    <col min="25" max="25" width="29" customWidth="1"/>
    <col min="26" max="27" width="46" customWidth="1"/>
    <col min="28" max="29" width="14" customWidth="1"/>
    <col min="30" max="31" width="46" customWidth="1"/>
    <col min="32" max="33" width="21" customWidth="1"/>
    <col min="34" max="34" width="46" customWidth="1"/>
  </cols>
  <sheetData>
    <row r="1" spans="1:34" x14ac:dyDescent="0.35">
      <c r="A1" s="13" t="s">
        <v>865</v>
      </c>
      <c r="B1" s="13" t="s">
        <v>866</v>
      </c>
      <c r="C1" s="13" t="s">
        <v>72</v>
      </c>
      <c r="D1" s="13" t="s">
        <v>73</v>
      </c>
      <c r="E1" s="13" t="s">
        <v>65</v>
      </c>
      <c r="F1" s="13" t="s">
        <v>867</v>
      </c>
      <c r="G1" s="13" t="s">
        <v>868</v>
      </c>
      <c r="H1" s="13" t="s">
        <v>68</v>
      </c>
      <c r="I1" s="13" t="s">
        <v>869</v>
      </c>
      <c r="J1" s="13" t="s">
        <v>870</v>
      </c>
      <c r="K1" s="13" t="s">
        <v>871</v>
      </c>
      <c r="L1" s="13" t="s">
        <v>872</v>
      </c>
      <c r="M1" s="13" t="s">
        <v>873</v>
      </c>
      <c r="N1" s="13" t="s">
        <v>874</v>
      </c>
      <c r="O1" s="13" t="s">
        <v>875</v>
      </c>
      <c r="P1" s="13" t="s">
        <v>876</v>
      </c>
      <c r="Q1" s="13" t="s">
        <v>877</v>
      </c>
      <c r="R1" s="13" t="s">
        <v>878</v>
      </c>
      <c r="S1" s="13" t="s">
        <v>879</v>
      </c>
      <c r="T1" s="13" t="s">
        <v>880</v>
      </c>
      <c r="U1" s="13" t="s">
        <v>881</v>
      </c>
      <c r="V1" s="13" t="s">
        <v>882</v>
      </c>
      <c r="W1" s="13" t="s">
        <v>883</v>
      </c>
      <c r="X1" s="13" t="s">
        <v>18</v>
      </c>
      <c r="Y1" s="13" t="s">
        <v>67</v>
      </c>
      <c r="Z1" s="13" t="s">
        <v>70</v>
      </c>
      <c r="AA1" s="13" t="s">
        <v>71</v>
      </c>
      <c r="AB1" s="13" t="s">
        <v>884</v>
      </c>
      <c r="AC1" s="13" t="s">
        <v>885</v>
      </c>
      <c r="AD1" s="13" t="s">
        <v>62</v>
      </c>
      <c r="AE1" s="13" t="s">
        <v>63</v>
      </c>
      <c r="AF1" s="13" t="s">
        <v>886</v>
      </c>
      <c r="AG1" s="13" t="s">
        <v>74</v>
      </c>
      <c r="AH1" s="13" t="s">
        <v>59</v>
      </c>
    </row>
    <row r="2" spans="1:34" ht="29" x14ac:dyDescent="0.35">
      <c r="A2" s="11">
        <v>46178.648101851853</v>
      </c>
      <c r="B2" s="11">
        <v>46181.338217592587</v>
      </c>
      <c r="C2" s="12" t="s">
        <v>86</v>
      </c>
      <c r="D2" s="12" t="s">
        <v>87</v>
      </c>
      <c r="E2" s="12" t="s">
        <v>75</v>
      </c>
      <c r="F2" s="12" t="s">
        <v>76</v>
      </c>
      <c r="G2" s="12" t="s">
        <v>76</v>
      </c>
      <c r="H2" s="12" t="s">
        <v>81</v>
      </c>
      <c r="I2" s="12" t="s">
        <v>77</v>
      </c>
      <c r="J2" s="12" t="s">
        <v>77</v>
      </c>
      <c r="K2" s="12" t="s">
        <v>77</v>
      </c>
      <c r="L2" s="12" t="s">
        <v>93</v>
      </c>
      <c r="M2" s="12" t="s">
        <v>78</v>
      </c>
      <c r="N2" s="12" t="s">
        <v>78</v>
      </c>
      <c r="O2" s="12" t="s">
        <v>402</v>
      </c>
      <c r="P2" s="12" t="s">
        <v>402</v>
      </c>
      <c r="Q2" s="12" t="s">
        <v>79</v>
      </c>
      <c r="R2" s="12" t="s">
        <v>79</v>
      </c>
      <c r="S2" s="12" t="s">
        <v>79</v>
      </c>
      <c r="T2" s="12" t="s">
        <v>84</v>
      </c>
      <c r="U2" s="12" t="s">
        <v>82</v>
      </c>
      <c r="V2" s="12" t="s">
        <v>83</v>
      </c>
      <c r="W2" s="12" t="s">
        <v>83</v>
      </c>
      <c r="X2" s="12" t="s">
        <v>24</v>
      </c>
      <c r="Y2" s="12" t="s">
        <v>92</v>
      </c>
      <c r="Z2" s="12" t="s">
        <v>93</v>
      </c>
      <c r="AA2" s="12" t="s">
        <v>78</v>
      </c>
      <c r="AB2" s="12">
        <v>7</v>
      </c>
      <c r="AC2" s="12">
        <v>13</v>
      </c>
      <c r="AD2" s="12" t="s">
        <v>93</v>
      </c>
      <c r="AE2" s="12" t="s">
        <v>78</v>
      </c>
      <c r="AF2" s="11">
        <v>46178.544768518521</v>
      </c>
      <c r="AG2" s="11">
        <v>46178.661608796298</v>
      </c>
      <c r="AH2" s="12" t="s">
        <v>85</v>
      </c>
    </row>
    <row r="3" spans="1:34" ht="29" x14ac:dyDescent="0.35">
      <c r="A3" s="11">
        <v>46178.648101851853</v>
      </c>
      <c r="B3" s="11">
        <v>46181.338217592587</v>
      </c>
      <c r="C3" s="12" t="s">
        <v>86</v>
      </c>
      <c r="D3" s="12" t="s">
        <v>87</v>
      </c>
      <c r="E3" s="12" t="s">
        <v>75</v>
      </c>
      <c r="F3" s="12" t="s">
        <v>76</v>
      </c>
      <c r="G3" s="12" t="s">
        <v>76</v>
      </c>
      <c r="H3" s="12" t="s">
        <v>81</v>
      </c>
      <c r="I3" s="12" t="s">
        <v>77</v>
      </c>
      <c r="J3" s="12" t="s">
        <v>77</v>
      </c>
      <c r="K3" s="12" t="s">
        <v>77</v>
      </c>
      <c r="L3" s="12" t="s">
        <v>93</v>
      </c>
      <c r="M3" s="12" t="s">
        <v>78</v>
      </c>
      <c r="N3" s="12" t="s">
        <v>78</v>
      </c>
      <c r="O3" s="12" t="s">
        <v>402</v>
      </c>
      <c r="P3" s="12" t="s">
        <v>402</v>
      </c>
      <c r="Q3" s="12" t="s">
        <v>79</v>
      </c>
      <c r="R3" s="12" t="s">
        <v>79</v>
      </c>
      <c r="S3" s="12" t="s">
        <v>79</v>
      </c>
      <c r="T3" s="12" t="s">
        <v>84</v>
      </c>
      <c r="U3" s="12" t="s">
        <v>82</v>
      </c>
      <c r="V3" s="12" t="s">
        <v>83</v>
      </c>
      <c r="W3" s="12" t="s">
        <v>83</v>
      </c>
      <c r="X3" s="12" t="s">
        <v>23</v>
      </c>
      <c r="Y3" s="12" t="s">
        <v>80</v>
      </c>
      <c r="Z3" s="12" t="s">
        <v>84</v>
      </c>
      <c r="AA3" s="12" t="s">
        <v>82</v>
      </c>
      <c r="AB3" s="12">
        <v>11</v>
      </c>
      <c r="AC3" s="12">
        <v>14</v>
      </c>
      <c r="AD3" s="12" t="s">
        <v>84</v>
      </c>
      <c r="AE3" s="12" t="s">
        <v>82</v>
      </c>
      <c r="AF3" s="11">
        <v>46178.544768518521</v>
      </c>
      <c r="AG3" s="11">
        <v>46178.661608796298</v>
      </c>
      <c r="AH3" s="12" t="s">
        <v>85</v>
      </c>
    </row>
    <row r="4" spans="1:34" ht="29" x14ac:dyDescent="0.35">
      <c r="A4" s="11">
        <v>46178.648101851853</v>
      </c>
      <c r="B4" s="11">
        <v>46181.338217592587</v>
      </c>
      <c r="C4" s="12" t="s">
        <v>86</v>
      </c>
      <c r="D4" s="12" t="s">
        <v>87</v>
      </c>
      <c r="E4" s="12" t="s">
        <v>75</v>
      </c>
      <c r="F4" s="12" t="s">
        <v>76</v>
      </c>
      <c r="G4" s="12" t="s">
        <v>76</v>
      </c>
      <c r="H4" s="12" t="s">
        <v>81</v>
      </c>
      <c r="I4" s="12" t="s">
        <v>77</v>
      </c>
      <c r="J4" s="12" t="s">
        <v>77</v>
      </c>
      <c r="K4" s="12" t="s">
        <v>77</v>
      </c>
      <c r="L4" s="12" t="s">
        <v>93</v>
      </c>
      <c r="M4" s="12" t="s">
        <v>78</v>
      </c>
      <c r="N4" s="12" t="s">
        <v>78</v>
      </c>
      <c r="O4" s="12" t="s">
        <v>402</v>
      </c>
      <c r="P4" s="12" t="s">
        <v>402</v>
      </c>
      <c r="Q4" s="12" t="s">
        <v>79</v>
      </c>
      <c r="R4" s="12" t="s">
        <v>79</v>
      </c>
      <c r="S4" s="12" t="s">
        <v>79</v>
      </c>
      <c r="T4" s="12" t="s">
        <v>84</v>
      </c>
      <c r="U4" s="12" t="s">
        <v>82</v>
      </c>
      <c r="V4" s="12" t="s">
        <v>83</v>
      </c>
      <c r="W4" s="12" t="s">
        <v>83</v>
      </c>
      <c r="X4" s="12" t="s">
        <v>28</v>
      </c>
      <c r="Y4" s="12" t="s">
        <v>88</v>
      </c>
      <c r="Z4" s="12" t="s">
        <v>89</v>
      </c>
      <c r="AA4" s="12" t="s">
        <v>89</v>
      </c>
      <c r="AB4" s="12">
        <v>4</v>
      </c>
      <c r="AC4" s="12">
        <v>4</v>
      </c>
      <c r="AD4" s="12" t="s">
        <v>89</v>
      </c>
      <c r="AE4" s="12" t="s">
        <v>89</v>
      </c>
      <c r="AF4" s="11">
        <v>46178.544768518521</v>
      </c>
      <c r="AG4" s="11">
        <v>46178.661608796298</v>
      </c>
      <c r="AH4" s="12" t="s">
        <v>85</v>
      </c>
    </row>
    <row r="5" spans="1:34" ht="29" x14ac:dyDescent="0.35">
      <c r="A5" s="11">
        <v>46178.648101851853</v>
      </c>
      <c r="B5" s="11">
        <v>46181.338217592587</v>
      </c>
      <c r="C5" s="12" t="s">
        <v>86</v>
      </c>
      <c r="D5" s="12" t="s">
        <v>87</v>
      </c>
      <c r="E5" s="12" t="s">
        <v>75</v>
      </c>
      <c r="F5" s="12" t="s">
        <v>76</v>
      </c>
      <c r="G5" s="12" t="s">
        <v>76</v>
      </c>
      <c r="H5" s="12" t="s">
        <v>81</v>
      </c>
      <c r="I5" s="12" t="s">
        <v>77</v>
      </c>
      <c r="J5" s="12" t="s">
        <v>77</v>
      </c>
      <c r="K5" s="12" t="s">
        <v>77</v>
      </c>
      <c r="L5" s="12" t="s">
        <v>93</v>
      </c>
      <c r="M5" s="12" t="s">
        <v>78</v>
      </c>
      <c r="N5" s="12" t="s">
        <v>78</v>
      </c>
      <c r="O5" s="12" t="s">
        <v>402</v>
      </c>
      <c r="P5" s="12" t="s">
        <v>402</v>
      </c>
      <c r="Q5" s="12" t="s">
        <v>79</v>
      </c>
      <c r="R5" s="12" t="s">
        <v>79</v>
      </c>
      <c r="S5" s="12" t="s">
        <v>79</v>
      </c>
      <c r="T5" s="12" t="s">
        <v>84</v>
      </c>
      <c r="U5" s="12" t="s">
        <v>82</v>
      </c>
      <c r="V5" s="12" t="s">
        <v>83</v>
      </c>
      <c r="W5" s="12" t="s">
        <v>83</v>
      </c>
      <c r="X5" s="12" t="s">
        <v>30</v>
      </c>
      <c r="Y5" s="12" t="s">
        <v>90</v>
      </c>
      <c r="Z5" s="12" t="s">
        <v>91</v>
      </c>
      <c r="AA5" s="12" t="s">
        <v>91</v>
      </c>
      <c r="AB5" s="12">
        <v>1</v>
      </c>
      <c r="AC5" s="12">
        <v>1</v>
      </c>
      <c r="AD5" s="12" t="s">
        <v>91</v>
      </c>
      <c r="AE5" s="12" t="s">
        <v>91</v>
      </c>
      <c r="AF5" s="11">
        <v>46178.544768518521</v>
      </c>
      <c r="AG5" s="11">
        <v>46178.661608796298</v>
      </c>
      <c r="AH5" s="12" t="s">
        <v>85</v>
      </c>
    </row>
    <row r="6" spans="1:34" ht="29" x14ac:dyDescent="0.35">
      <c r="A6" s="11">
        <v>46181.338217592587</v>
      </c>
      <c r="B6" s="11">
        <v>46188.556851851848</v>
      </c>
      <c r="C6" s="12" t="s">
        <v>87</v>
      </c>
      <c r="D6" s="12" t="s">
        <v>103</v>
      </c>
      <c r="E6" s="12" t="s">
        <v>94</v>
      </c>
      <c r="F6" s="12"/>
      <c r="G6" s="12" t="s">
        <v>95</v>
      </c>
      <c r="H6" s="12" t="s">
        <v>81</v>
      </c>
      <c r="I6" s="12"/>
      <c r="J6" s="12"/>
      <c r="K6" s="12"/>
      <c r="L6" s="12"/>
      <c r="M6" s="12" t="s">
        <v>96</v>
      </c>
      <c r="N6" s="12" t="s">
        <v>96</v>
      </c>
      <c r="O6" s="12"/>
      <c r="P6" s="12" t="s">
        <v>263</v>
      </c>
      <c r="Q6" s="12"/>
      <c r="R6" s="12" t="s">
        <v>97</v>
      </c>
      <c r="S6" s="12" t="s">
        <v>97</v>
      </c>
      <c r="T6" s="12"/>
      <c r="U6" s="12" t="s">
        <v>99</v>
      </c>
      <c r="V6" s="12"/>
      <c r="W6" s="12" t="s">
        <v>100</v>
      </c>
      <c r="X6" s="12" t="s">
        <v>21</v>
      </c>
      <c r="Y6" s="12" t="s">
        <v>98</v>
      </c>
      <c r="Z6" s="12"/>
      <c r="AA6" s="12" t="s">
        <v>101</v>
      </c>
      <c r="AB6" s="12"/>
      <c r="AC6" s="12">
        <v>29</v>
      </c>
      <c r="AD6" s="12"/>
      <c r="AE6" s="12" t="s">
        <v>101</v>
      </c>
      <c r="AF6" s="12"/>
      <c r="AG6" s="11">
        <v>46181.353078703702</v>
      </c>
      <c r="AH6" s="12" t="s">
        <v>102</v>
      </c>
    </row>
    <row r="7" spans="1:34" ht="29" x14ac:dyDescent="0.35">
      <c r="A7" s="11">
        <v>46181.338217592587</v>
      </c>
      <c r="B7" s="11">
        <v>46188.556851851848</v>
      </c>
      <c r="C7" s="12" t="s">
        <v>87</v>
      </c>
      <c r="D7" s="12" t="s">
        <v>103</v>
      </c>
      <c r="E7" s="12" t="s">
        <v>104</v>
      </c>
      <c r="F7" s="12"/>
      <c r="G7" s="12" t="s">
        <v>105</v>
      </c>
      <c r="H7" s="12" t="s">
        <v>81</v>
      </c>
      <c r="I7" s="12"/>
      <c r="J7" s="12"/>
      <c r="K7" s="12"/>
      <c r="L7" s="12"/>
      <c r="M7" s="12" t="s">
        <v>96</v>
      </c>
      <c r="N7" s="12" t="s">
        <v>96</v>
      </c>
      <c r="O7" s="12"/>
      <c r="P7" s="12" t="s">
        <v>263</v>
      </c>
      <c r="Q7" s="12"/>
      <c r="R7" s="12" t="s">
        <v>97</v>
      </c>
      <c r="S7" s="12" t="s">
        <v>97</v>
      </c>
      <c r="T7" s="12"/>
      <c r="U7" s="12" t="s">
        <v>99</v>
      </c>
      <c r="V7" s="12"/>
      <c r="W7" s="12" t="s">
        <v>100</v>
      </c>
      <c r="X7" s="12" t="s">
        <v>21</v>
      </c>
      <c r="Y7" s="12" t="s">
        <v>98</v>
      </c>
      <c r="Z7" s="12"/>
      <c r="AA7" s="12" t="s">
        <v>106</v>
      </c>
      <c r="AB7" s="12"/>
      <c r="AC7" s="12">
        <v>29</v>
      </c>
      <c r="AD7" s="12"/>
      <c r="AE7" s="12" t="s">
        <v>106</v>
      </c>
      <c r="AF7" s="12"/>
      <c r="AG7" s="11">
        <v>46181.589791666673</v>
      </c>
      <c r="AH7" s="12" t="s">
        <v>107</v>
      </c>
    </row>
    <row r="8" spans="1:34" ht="29" x14ac:dyDescent="0.35">
      <c r="A8" s="11">
        <v>46181.338217592587</v>
      </c>
      <c r="B8" s="11">
        <v>46188.556851851848</v>
      </c>
      <c r="C8" s="12" t="s">
        <v>87</v>
      </c>
      <c r="D8" s="12" t="s">
        <v>103</v>
      </c>
      <c r="E8" s="12" t="s">
        <v>233</v>
      </c>
      <c r="F8" s="12"/>
      <c r="G8" s="12" t="s">
        <v>234</v>
      </c>
      <c r="H8" s="12" t="s">
        <v>81</v>
      </c>
      <c r="I8" s="12"/>
      <c r="J8" s="12"/>
      <c r="K8" s="12"/>
      <c r="L8" s="12"/>
      <c r="M8" s="12" t="s">
        <v>194</v>
      </c>
      <c r="N8" s="12" t="s">
        <v>194</v>
      </c>
      <c r="O8" s="12"/>
      <c r="P8" s="12" t="s">
        <v>263</v>
      </c>
      <c r="Q8" s="12"/>
      <c r="R8" s="12" t="s">
        <v>228</v>
      </c>
      <c r="S8" s="12" t="s">
        <v>228</v>
      </c>
      <c r="T8" s="12"/>
      <c r="U8" s="12" t="s">
        <v>197</v>
      </c>
      <c r="V8" s="12"/>
      <c r="W8" s="12" t="s">
        <v>100</v>
      </c>
      <c r="X8" s="12" t="s">
        <v>21</v>
      </c>
      <c r="Y8" s="12" t="s">
        <v>98</v>
      </c>
      <c r="Z8" s="12"/>
      <c r="AA8" s="12" t="s">
        <v>235</v>
      </c>
      <c r="AB8" s="12"/>
      <c r="AC8" s="12">
        <v>72</v>
      </c>
      <c r="AD8" s="12"/>
      <c r="AE8" s="12" t="s">
        <v>235</v>
      </c>
      <c r="AF8" s="12"/>
      <c r="AG8" s="11">
        <v>46181.593425925923</v>
      </c>
      <c r="AH8" s="12" t="s">
        <v>236</v>
      </c>
    </row>
    <row r="9" spans="1:34" ht="29" x14ac:dyDescent="0.35">
      <c r="A9" s="11">
        <v>46181.338217592587</v>
      </c>
      <c r="B9" s="11">
        <v>46188.556851851848</v>
      </c>
      <c r="C9" s="12" t="s">
        <v>87</v>
      </c>
      <c r="D9" s="12" t="s">
        <v>103</v>
      </c>
      <c r="E9" s="12" t="s">
        <v>108</v>
      </c>
      <c r="F9" s="12"/>
      <c r="G9" s="12" t="s">
        <v>109</v>
      </c>
      <c r="H9" s="12" t="s">
        <v>81</v>
      </c>
      <c r="I9" s="12"/>
      <c r="J9" s="12"/>
      <c r="K9" s="12"/>
      <c r="L9" s="12"/>
      <c r="M9" s="12" t="s">
        <v>96</v>
      </c>
      <c r="N9" s="12" t="s">
        <v>96</v>
      </c>
      <c r="O9" s="12"/>
      <c r="P9" s="12" t="s">
        <v>263</v>
      </c>
      <c r="Q9" s="12"/>
      <c r="R9" s="12" t="s">
        <v>97</v>
      </c>
      <c r="S9" s="12" t="s">
        <v>97</v>
      </c>
      <c r="T9" s="12"/>
      <c r="U9" s="12" t="s">
        <v>110</v>
      </c>
      <c r="V9" s="12"/>
      <c r="W9" s="12" t="s">
        <v>100</v>
      </c>
      <c r="X9" s="12" t="s">
        <v>21</v>
      </c>
      <c r="Y9" s="12" t="s">
        <v>98</v>
      </c>
      <c r="Z9" s="12"/>
      <c r="AA9" s="12" t="s">
        <v>111</v>
      </c>
      <c r="AB9" s="12"/>
      <c r="AC9" s="12">
        <v>29</v>
      </c>
      <c r="AD9" s="12"/>
      <c r="AE9" s="12" t="s">
        <v>111</v>
      </c>
      <c r="AF9" s="12"/>
      <c r="AG9" s="11">
        <v>46182.635706018518</v>
      </c>
      <c r="AH9" s="12" t="s">
        <v>112</v>
      </c>
    </row>
    <row r="10" spans="1:34" ht="29" x14ac:dyDescent="0.35">
      <c r="A10" s="11">
        <v>46181.338217592587</v>
      </c>
      <c r="B10" s="11">
        <v>46188.556851851848</v>
      </c>
      <c r="C10" s="12" t="s">
        <v>87</v>
      </c>
      <c r="D10" s="12" t="s">
        <v>103</v>
      </c>
      <c r="E10" s="12" t="s">
        <v>237</v>
      </c>
      <c r="F10" s="12"/>
      <c r="G10" s="12" t="s">
        <v>238</v>
      </c>
      <c r="H10" s="12" t="s">
        <v>81</v>
      </c>
      <c r="I10" s="12"/>
      <c r="J10" s="12"/>
      <c r="K10" s="12"/>
      <c r="L10" s="12"/>
      <c r="M10" s="12" t="s">
        <v>194</v>
      </c>
      <c r="N10" s="12" t="s">
        <v>194</v>
      </c>
      <c r="O10" s="12"/>
      <c r="P10" s="12" t="s">
        <v>263</v>
      </c>
      <c r="Q10" s="12"/>
      <c r="R10" s="12" t="s">
        <v>195</v>
      </c>
      <c r="S10" s="12" t="s">
        <v>195</v>
      </c>
      <c r="T10" s="12"/>
      <c r="U10" s="12" t="s">
        <v>197</v>
      </c>
      <c r="V10" s="12"/>
      <c r="W10" s="12" t="s">
        <v>100</v>
      </c>
      <c r="X10" s="12" t="s">
        <v>21</v>
      </c>
      <c r="Y10" s="12" t="s">
        <v>98</v>
      </c>
      <c r="Z10" s="12"/>
      <c r="AA10" s="12" t="s">
        <v>239</v>
      </c>
      <c r="AB10" s="12"/>
      <c r="AC10" s="12">
        <v>54</v>
      </c>
      <c r="AD10" s="12"/>
      <c r="AE10" s="12" t="s">
        <v>239</v>
      </c>
      <c r="AF10" s="12"/>
      <c r="AG10" s="11">
        <v>46181.642175925917</v>
      </c>
      <c r="AH10" s="12" t="s">
        <v>240</v>
      </c>
    </row>
    <row r="11" spans="1:34" ht="29" x14ac:dyDescent="0.35">
      <c r="A11" s="11">
        <v>46181.338217592587</v>
      </c>
      <c r="B11" s="11">
        <v>46188.556851851848</v>
      </c>
      <c r="C11" s="12" t="s">
        <v>87</v>
      </c>
      <c r="D11" s="12" t="s">
        <v>103</v>
      </c>
      <c r="E11" s="12" t="s">
        <v>241</v>
      </c>
      <c r="F11" s="12"/>
      <c r="G11" s="12" t="s">
        <v>242</v>
      </c>
      <c r="H11" s="12" t="s">
        <v>81</v>
      </c>
      <c r="I11" s="12"/>
      <c r="J11" s="12"/>
      <c r="K11" s="12"/>
      <c r="L11" s="12"/>
      <c r="M11" s="12" t="s">
        <v>194</v>
      </c>
      <c r="N11" s="12" t="s">
        <v>194</v>
      </c>
      <c r="O11" s="12"/>
      <c r="P11" s="12" t="s">
        <v>263</v>
      </c>
      <c r="Q11" s="12"/>
      <c r="R11" s="12" t="s">
        <v>195</v>
      </c>
      <c r="S11" s="12" t="s">
        <v>195</v>
      </c>
      <c r="T11" s="12"/>
      <c r="U11" s="12" t="s">
        <v>197</v>
      </c>
      <c r="V11" s="12"/>
      <c r="W11" s="12" t="s">
        <v>100</v>
      </c>
      <c r="X11" s="12" t="s">
        <v>21</v>
      </c>
      <c r="Y11" s="12" t="s">
        <v>98</v>
      </c>
      <c r="Z11" s="12"/>
      <c r="AA11" s="12" t="s">
        <v>239</v>
      </c>
      <c r="AB11" s="12"/>
      <c r="AC11" s="12">
        <v>54</v>
      </c>
      <c r="AD11" s="12"/>
      <c r="AE11" s="12" t="s">
        <v>239</v>
      </c>
      <c r="AF11" s="12"/>
      <c r="AG11" s="11">
        <v>46181.642199074071</v>
      </c>
      <c r="AH11" s="12" t="s">
        <v>243</v>
      </c>
    </row>
    <row r="12" spans="1:34" ht="29" x14ac:dyDescent="0.35">
      <c r="A12" s="11">
        <v>46181.338217592587</v>
      </c>
      <c r="B12" s="11">
        <v>46188.556851851848</v>
      </c>
      <c r="C12" s="12" t="s">
        <v>87</v>
      </c>
      <c r="D12" s="12" t="s">
        <v>103</v>
      </c>
      <c r="E12" s="12" t="s">
        <v>244</v>
      </c>
      <c r="F12" s="12"/>
      <c r="G12" s="12" t="s">
        <v>245</v>
      </c>
      <c r="H12" s="12" t="s">
        <v>81</v>
      </c>
      <c r="I12" s="12"/>
      <c r="J12" s="12"/>
      <c r="K12" s="12"/>
      <c r="L12" s="12"/>
      <c r="M12" s="12" t="s">
        <v>194</v>
      </c>
      <c r="N12" s="12" t="s">
        <v>194</v>
      </c>
      <c r="O12" s="12"/>
      <c r="P12" s="12" t="s">
        <v>263</v>
      </c>
      <c r="Q12" s="12"/>
      <c r="R12" s="12" t="s">
        <v>195</v>
      </c>
      <c r="S12" s="12" t="s">
        <v>195</v>
      </c>
      <c r="T12" s="12"/>
      <c r="U12" s="12" t="s">
        <v>197</v>
      </c>
      <c r="V12" s="12"/>
      <c r="W12" s="12" t="s">
        <v>100</v>
      </c>
      <c r="X12" s="12" t="s">
        <v>21</v>
      </c>
      <c r="Y12" s="12" t="s">
        <v>98</v>
      </c>
      <c r="Z12" s="12"/>
      <c r="AA12" s="12" t="s">
        <v>239</v>
      </c>
      <c r="AB12" s="12"/>
      <c r="AC12" s="12">
        <v>54</v>
      </c>
      <c r="AD12" s="12"/>
      <c r="AE12" s="12" t="s">
        <v>239</v>
      </c>
      <c r="AF12" s="12"/>
      <c r="AG12" s="11">
        <v>46181.642199074071</v>
      </c>
      <c r="AH12" s="12" t="s">
        <v>246</v>
      </c>
    </row>
    <row r="13" spans="1:34" ht="29" x14ac:dyDescent="0.35">
      <c r="A13" s="11">
        <v>46181.338217592587</v>
      </c>
      <c r="B13" s="11">
        <v>46188.556851851848</v>
      </c>
      <c r="C13" s="12" t="s">
        <v>87</v>
      </c>
      <c r="D13" s="12" t="s">
        <v>103</v>
      </c>
      <c r="E13" s="12" t="s">
        <v>247</v>
      </c>
      <c r="F13" s="12"/>
      <c r="G13" s="12" t="s">
        <v>248</v>
      </c>
      <c r="H13" s="12" t="s">
        <v>81</v>
      </c>
      <c r="I13" s="12"/>
      <c r="J13" s="12"/>
      <c r="K13" s="12"/>
      <c r="L13" s="12"/>
      <c r="M13" s="12" t="s">
        <v>194</v>
      </c>
      <c r="N13" s="12" t="s">
        <v>194</v>
      </c>
      <c r="O13" s="12"/>
      <c r="P13" s="12" t="s">
        <v>263</v>
      </c>
      <c r="Q13" s="12"/>
      <c r="R13" s="12" t="s">
        <v>195</v>
      </c>
      <c r="S13" s="12" t="s">
        <v>195</v>
      </c>
      <c r="T13" s="12"/>
      <c r="U13" s="12" t="s">
        <v>197</v>
      </c>
      <c r="V13" s="12"/>
      <c r="W13" s="12" t="s">
        <v>100</v>
      </c>
      <c r="X13" s="12" t="s">
        <v>21</v>
      </c>
      <c r="Y13" s="12" t="s">
        <v>98</v>
      </c>
      <c r="Z13" s="12"/>
      <c r="AA13" s="12" t="s">
        <v>239</v>
      </c>
      <c r="AB13" s="12"/>
      <c r="AC13" s="12">
        <v>54</v>
      </c>
      <c r="AD13" s="12"/>
      <c r="AE13" s="12" t="s">
        <v>239</v>
      </c>
      <c r="AF13" s="12"/>
      <c r="AG13" s="11">
        <v>46181.642199074071</v>
      </c>
      <c r="AH13" s="12" t="s">
        <v>249</v>
      </c>
    </row>
    <row r="14" spans="1:34" ht="43.5" x14ac:dyDescent="0.35">
      <c r="A14" s="11">
        <v>46181.338217592587</v>
      </c>
      <c r="B14" s="11">
        <v>46188.556851851848</v>
      </c>
      <c r="C14" s="12" t="s">
        <v>87</v>
      </c>
      <c r="D14" s="12" t="s">
        <v>103</v>
      </c>
      <c r="E14" s="12" t="s">
        <v>372</v>
      </c>
      <c r="F14" s="12"/>
      <c r="G14" s="12" t="s">
        <v>373</v>
      </c>
      <c r="H14" s="12" t="s">
        <v>81</v>
      </c>
      <c r="I14" s="12"/>
      <c r="J14" s="12" t="s">
        <v>347</v>
      </c>
      <c r="K14" s="12" t="s">
        <v>347</v>
      </c>
      <c r="L14" s="12"/>
      <c r="M14" s="12" t="s">
        <v>310</v>
      </c>
      <c r="N14" s="12" t="s">
        <v>310</v>
      </c>
      <c r="O14" s="12"/>
      <c r="P14" s="12" t="s">
        <v>402</v>
      </c>
      <c r="Q14" s="12"/>
      <c r="R14" s="12" t="s">
        <v>305</v>
      </c>
      <c r="S14" s="12" t="s">
        <v>305</v>
      </c>
      <c r="T14" s="12"/>
      <c r="U14" s="12" t="s">
        <v>99</v>
      </c>
      <c r="V14" s="12"/>
      <c r="W14" s="12" t="s">
        <v>100</v>
      </c>
      <c r="X14" s="12" t="s">
        <v>21</v>
      </c>
      <c r="Y14" s="12" t="s">
        <v>98</v>
      </c>
      <c r="Z14" s="12"/>
      <c r="AA14" s="12" t="s">
        <v>374</v>
      </c>
      <c r="AB14" s="12"/>
      <c r="AC14" s="12">
        <v>113</v>
      </c>
      <c r="AD14" s="12"/>
      <c r="AE14" s="12" t="s">
        <v>374</v>
      </c>
      <c r="AF14" s="12"/>
      <c r="AG14" s="11">
        <v>46185.32335648148</v>
      </c>
      <c r="AH14" s="12" t="s">
        <v>375</v>
      </c>
    </row>
    <row r="15" spans="1:34" ht="29" x14ac:dyDescent="0.35">
      <c r="A15" s="11">
        <v>46181.338217592587</v>
      </c>
      <c r="B15" s="11">
        <v>46188.556851851848</v>
      </c>
      <c r="C15" s="12" t="s">
        <v>87</v>
      </c>
      <c r="D15" s="12" t="s">
        <v>103</v>
      </c>
      <c r="E15" s="12" t="s">
        <v>113</v>
      </c>
      <c r="F15" s="12"/>
      <c r="G15" s="12" t="s">
        <v>114</v>
      </c>
      <c r="H15" s="12" t="s">
        <v>81</v>
      </c>
      <c r="I15" s="12"/>
      <c r="J15" s="12"/>
      <c r="K15" s="12"/>
      <c r="L15" s="12"/>
      <c r="M15" s="12" t="s">
        <v>96</v>
      </c>
      <c r="N15" s="12" t="s">
        <v>96</v>
      </c>
      <c r="O15" s="12"/>
      <c r="P15" s="12" t="s">
        <v>263</v>
      </c>
      <c r="Q15" s="12"/>
      <c r="R15" s="12" t="s">
        <v>97</v>
      </c>
      <c r="S15" s="12" t="s">
        <v>97</v>
      </c>
      <c r="T15" s="12"/>
      <c r="U15" s="12" t="s">
        <v>110</v>
      </c>
      <c r="V15" s="12"/>
      <c r="W15" s="12" t="s">
        <v>100</v>
      </c>
      <c r="X15" s="12" t="s">
        <v>21</v>
      </c>
      <c r="Y15" s="12" t="s">
        <v>98</v>
      </c>
      <c r="Z15" s="12"/>
      <c r="AA15" s="12" t="s">
        <v>115</v>
      </c>
      <c r="AB15" s="12"/>
      <c r="AC15" s="12">
        <v>29</v>
      </c>
      <c r="AD15" s="12"/>
      <c r="AE15" s="12" t="s">
        <v>115</v>
      </c>
      <c r="AF15" s="12"/>
      <c r="AG15" s="11">
        <v>46182.413715277777</v>
      </c>
      <c r="AH15" s="12" t="s">
        <v>116</v>
      </c>
    </row>
    <row r="16" spans="1:34" ht="29" x14ac:dyDescent="0.35">
      <c r="A16" s="11">
        <v>46181.338217592587</v>
      </c>
      <c r="B16" s="11">
        <v>46188.556851851848</v>
      </c>
      <c r="C16" s="12" t="s">
        <v>87</v>
      </c>
      <c r="D16" s="12" t="s">
        <v>103</v>
      </c>
      <c r="E16" s="12" t="s">
        <v>376</v>
      </c>
      <c r="F16" s="12"/>
      <c r="G16" s="12" t="s">
        <v>377</v>
      </c>
      <c r="H16" s="12" t="s">
        <v>81</v>
      </c>
      <c r="I16" s="12"/>
      <c r="J16" s="12" t="s">
        <v>347</v>
      </c>
      <c r="K16" s="12" t="s">
        <v>347</v>
      </c>
      <c r="L16" s="12"/>
      <c r="M16" s="12" t="s">
        <v>310</v>
      </c>
      <c r="N16" s="12" t="s">
        <v>310</v>
      </c>
      <c r="O16" s="12"/>
      <c r="P16" s="12" t="s">
        <v>402</v>
      </c>
      <c r="Q16" s="12"/>
      <c r="R16" s="12" t="s">
        <v>228</v>
      </c>
      <c r="S16" s="12" t="s">
        <v>228</v>
      </c>
      <c r="T16" s="12"/>
      <c r="U16" s="12" t="s">
        <v>110</v>
      </c>
      <c r="V16" s="12"/>
      <c r="W16" s="12" t="s">
        <v>100</v>
      </c>
      <c r="X16" s="12" t="s">
        <v>21</v>
      </c>
      <c r="Y16" s="12" t="s">
        <v>98</v>
      </c>
      <c r="Z16" s="12"/>
      <c r="AA16" s="12" t="s">
        <v>378</v>
      </c>
      <c r="AB16" s="12"/>
      <c r="AC16" s="12">
        <v>84</v>
      </c>
      <c r="AD16" s="12"/>
      <c r="AE16" s="12" t="s">
        <v>378</v>
      </c>
      <c r="AF16" s="12"/>
      <c r="AG16" s="11">
        <v>46188.392916666657</v>
      </c>
      <c r="AH16" s="12" t="s">
        <v>379</v>
      </c>
    </row>
    <row r="17" spans="1:34" ht="29" x14ac:dyDescent="0.35">
      <c r="A17" s="11">
        <v>46181.338217592587</v>
      </c>
      <c r="B17" s="11">
        <v>46188.556851851848</v>
      </c>
      <c r="C17" s="12" t="s">
        <v>87</v>
      </c>
      <c r="D17" s="12" t="s">
        <v>103</v>
      </c>
      <c r="E17" s="12" t="s">
        <v>117</v>
      </c>
      <c r="F17" s="12"/>
      <c r="G17" s="12" t="s">
        <v>118</v>
      </c>
      <c r="H17" s="12" t="s">
        <v>81</v>
      </c>
      <c r="I17" s="12"/>
      <c r="J17" s="12"/>
      <c r="K17" s="12"/>
      <c r="L17" s="12"/>
      <c r="M17" s="12" t="s">
        <v>96</v>
      </c>
      <c r="N17" s="12" t="s">
        <v>96</v>
      </c>
      <c r="O17" s="12"/>
      <c r="P17" s="12" t="s">
        <v>263</v>
      </c>
      <c r="Q17" s="12"/>
      <c r="R17" s="12" t="s">
        <v>97</v>
      </c>
      <c r="S17" s="12" t="s">
        <v>97</v>
      </c>
      <c r="T17" s="12"/>
      <c r="U17" s="12" t="s">
        <v>99</v>
      </c>
      <c r="V17" s="12"/>
      <c r="W17" s="12" t="s">
        <v>100</v>
      </c>
      <c r="X17" s="12" t="s">
        <v>21</v>
      </c>
      <c r="Y17" s="12" t="s">
        <v>98</v>
      </c>
      <c r="Z17" s="12"/>
      <c r="AA17" s="12" t="s">
        <v>119</v>
      </c>
      <c r="AB17" s="12"/>
      <c r="AC17" s="12">
        <v>29</v>
      </c>
      <c r="AD17" s="12"/>
      <c r="AE17" s="12" t="s">
        <v>119</v>
      </c>
      <c r="AF17" s="12"/>
      <c r="AG17" s="11">
        <v>46182.644918981481</v>
      </c>
      <c r="AH17" s="12" t="s">
        <v>120</v>
      </c>
    </row>
    <row r="18" spans="1:34" ht="29" x14ac:dyDescent="0.35">
      <c r="A18" s="11">
        <v>46181.338217592587</v>
      </c>
      <c r="B18" s="11">
        <v>46188.556851851848</v>
      </c>
      <c r="C18" s="12" t="s">
        <v>87</v>
      </c>
      <c r="D18" s="12" t="s">
        <v>103</v>
      </c>
      <c r="E18" s="12" t="s">
        <v>380</v>
      </c>
      <c r="F18" s="12"/>
      <c r="G18" s="12" t="s">
        <v>381</v>
      </c>
      <c r="H18" s="12" t="s">
        <v>81</v>
      </c>
      <c r="I18" s="12"/>
      <c r="J18" s="12" t="s">
        <v>347</v>
      </c>
      <c r="K18" s="12" t="s">
        <v>347</v>
      </c>
      <c r="L18" s="12"/>
      <c r="M18" s="12" t="s">
        <v>194</v>
      </c>
      <c r="N18" s="12" t="s">
        <v>194</v>
      </c>
      <c r="O18" s="12"/>
      <c r="P18" s="12" t="s">
        <v>263</v>
      </c>
      <c r="Q18" s="12"/>
      <c r="R18" s="12" t="s">
        <v>228</v>
      </c>
      <c r="S18" s="12" t="s">
        <v>228</v>
      </c>
      <c r="T18" s="12"/>
      <c r="U18" s="12" t="s">
        <v>99</v>
      </c>
      <c r="V18" s="12"/>
      <c r="W18" s="12" t="s">
        <v>100</v>
      </c>
      <c r="X18" s="12" t="s">
        <v>21</v>
      </c>
      <c r="Y18" s="12" t="s">
        <v>98</v>
      </c>
      <c r="Z18" s="12"/>
      <c r="AA18" s="12" t="s">
        <v>382</v>
      </c>
      <c r="AB18" s="12"/>
      <c r="AC18" s="12">
        <v>99</v>
      </c>
      <c r="AD18" s="12"/>
      <c r="AE18" s="12" t="s">
        <v>382</v>
      </c>
      <c r="AF18" s="12"/>
      <c r="AG18" s="11">
        <v>46182.647060185183</v>
      </c>
      <c r="AH18" s="12" t="s">
        <v>383</v>
      </c>
    </row>
    <row r="19" spans="1:34" ht="29" x14ac:dyDescent="0.35">
      <c r="A19" s="11">
        <v>46181.338217592587</v>
      </c>
      <c r="B19" s="11">
        <v>46188.556851851848</v>
      </c>
      <c r="C19" s="12" t="s">
        <v>87</v>
      </c>
      <c r="D19" s="12" t="s">
        <v>103</v>
      </c>
      <c r="E19" s="12" t="s">
        <v>121</v>
      </c>
      <c r="F19" s="12"/>
      <c r="G19" s="12" t="s">
        <v>122</v>
      </c>
      <c r="H19" s="12" t="s">
        <v>81</v>
      </c>
      <c r="I19" s="12"/>
      <c r="J19" s="12"/>
      <c r="K19" s="12"/>
      <c r="L19" s="12"/>
      <c r="M19" s="12" t="s">
        <v>96</v>
      </c>
      <c r="N19" s="12" t="s">
        <v>96</v>
      </c>
      <c r="O19" s="12"/>
      <c r="P19" s="12" t="s">
        <v>263</v>
      </c>
      <c r="Q19" s="12"/>
      <c r="R19" s="12" t="s">
        <v>97</v>
      </c>
      <c r="S19" s="12" t="s">
        <v>97</v>
      </c>
      <c r="T19" s="12"/>
      <c r="U19" s="12" t="s">
        <v>110</v>
      </c>
      <c r="V19" s="12"/>
      <c r="W19" s="12" t="s">
        <v>100</v>
      </c>
      <c r="X19" s="12" t="s">
        <v>21</v>
      </c>
      <c r="Y19" s="12" t="s">
        <v>98</v>
      </c>
      <c r="Z19" s="12"/>
      <c r="AA19" s="12" t="s">
        <v>123</v>
      </c>
      <c r="AB19" s="12"/>
      <c r="AC19" s="12">
        <v>29</v>
      </c>
      <c r="AD19" s="12"/>
      <c r="AE19" s="12" t="s">
        <v>123</v>
      </c>
      <c r="AF19" s="12"/>
      <c r="AG19" s="11">
        <v>46183.52847222222</v>
      </c>
      <c r="AH19" s="12" t="s">
        <v>124</v>
      </c>
    </row>
    <row r="20" spans="1:34" ht="29" x14ac:dyDescent="0.35">
      <c r="A20" s="11">
        <v>46181.338217592587</v>
      </c>
      <c r="B20" s="11">
        <v>46188.556851851848</v>
      </c>
      <c r="C20" s="12" t="s">
        <v>87</v>
      </c>
      <c r="D20" s="12" t="s">
        <v>103</v>
      </c>
      <c r="E20" s="12" t="s">
        <v>125</v>
      </c>
      <c r="F20" s="12"/>
      <c r="G20" s="12" t="s">
        <v>126</v>
      </c>
      <c r="H20" s="12" t="s">
        <v>81</v>
      </c>
      <c r="I20" s="12"/>
      <c r="J20" s="12"/>
      <c r="K20" s="12"/>
      <c r="L20" s="12"/>
      <c r="M20" s="12" t="s">
        <v>96</v>
      </c>
      <c r="N20" s="12" t="s">
        <v>96</v>
      </c>
      <c r="O20" s="12"/>
      <c r="P20" s="12" t="s">
        <v>263</v>
      </c>
      <c r="Q20" s="12"/>
      <c r="R20" s="12" t="s">
        <v>97</v>
      </c>
      <c r="S20" s="12" t="s">
        <v>97</v>
      </c>
      <c r="T20" s="12"/>
      <c r="U20" s="12" t="s">
        <v>99</v>
      </c>
      <c r="V20" s="12"/>
      <c r="W20" s="12" t="s">
        <v>100</v>
      </c>
      <c r="X20" s="12" t="s">
        <v>21</v>
      </c>
      <c r="Y20" s="12" t="s">
        <v>98</v>
      </c>
      <c r="Z20" s="12"/>
      <c r="AA20" s="12" t="s">
        <v>127</v>
      </c>
      <c r="AB20" s="12"/>
      <c r="AC20" s="12">
        <v>29</v>
      </c>
      <c r="AD20" s="12"/>
      <c r="AE20" s="12" t="s">
        <v>127</v>
      </c>
      <c r="AF20" s="12"/>
      <c r="AG20" s="11">
        <v>46183.360590277778</v>
      </c>
      <c r="AH20" s="12" t="s">
        <v>128</v>
      </c>
    </row>
    <row r="21" spans="1:34" ht="29" x14ac:dyDescent="0.35">
      <c r="A21" s="11">
        <v>46181.338217592587</v>
      </c>
      <c r="B21" s="11">
        <v>46188.556851851848</v>
      </c>
      <c r="C21" s="12" t="s">
        <v>87</v>
      </c>
      <c r="D21" s="12" t="s">
        <v>103</v>
      </c>
      <c r="E21" s="12" t="s">
        <v>408</v>
      </c>
      <c r="F21" s="12"/>
      <c r="G21" s="12" t="s">
        <v>409</v>
      </c>
      <c r="H21" s="12" t="s">
        <v>81</v>
      </c>
      <c r="I21" s="12"/>
      <c r="J21" s="12" t="s">
        <v>347</v>
      </c>
      <c r="K21" s="12" t="s">
        <v>347</v>
      </c>
      <c r="L21" s="12"/>
      <c r="M21" s="12" t="s">
        <v>342</v>
      </c>
      <c r="N21" s="12" t="s">
        <v>342</v>
      </c>
      <c r="O21" s="12"/>
      <c r="P21" s="12" t="s">
        <v>402</v>
      </c>
      <c r="Q21" s="12"/>
      <c r="R21" s="12" t="s">
        <v>228</v>
      </c>
      <c r="S21" s="12" t="s">
        <v>228</v>
      </c>
      <c r="T21" s="12"/>
      <c r="U21" s="12" t="s">
        <v>99</v>
      </c>
      <c r="V21" s="12"/>
      <c r="W21" s="12" t="s">
        <v>100</v>
      </c>
      <c r="X21" s="12" t="s">
        <v>21</v>
      </c>
      <c r="Y21" s="12" t="s">
        <v>98</v>
      </c>
      <c r="Z21" s="12"/>
      <c r="AA21" s="12" t="s">
        <v>410</v>
      </c>
      <c r="AB21" s="12"/>
      <c r="AC21" s="12">
        <v>102</v>
      </c>
      <c r="AD21" s="12"/>
      <c r="AE21" s="12" t="s">
        <v>410</v>
      </c>
      <c r="AF21" s="12"/>
      <c r="AG21" s="11">
        <v>46183.365370370368</v>
      </c>
      <c r="AH21" s="12" t="s">
        <v>411</v>
      </c>
    </row>
    <row r="22" spans="1:34" ht="29" x14ac:dyDescent="0.35">
      <c r="A22" s="11">
        <v>46181.338217592587</v>
      </c>
      <c r="B22" s="11">
        <v>46188.556851851848</v>
      </c>
      <c r="C22" s="12" t="s">
        <v>87</v>
      </c>
      <c r="D22" s="12" t="s">
        <v>103</v>
      </c>
      <c r="E22" s="12" t="s">
        <v>129</v>
      </c>
      <c r="F22" s="12"/>
      <c r="G22" s="12" t="s">
        <v>130</v>
      </c>
      <c r="H22" s="12" t="s">
        <v>81</v>
      </c>
      <c r="I22" s="12"/>
      <c r="J22" s="12"/>
      <c r="K22" s="12"/>
      <c r="L22" s="12"/>
      <c r="M22" s="12" t="s">
        <v>96</v>
      </c>
      <c r="N22" s="12" t="s">
        <v>96</v>
      </c>
      <c r="O22" s="12"/>
      <c r="P22" s="12" t="s">
        <v>263</v>
      </c>
      <c r="Q22" s="12"/>
      <c r="R22" s="12" t="s">
        <v>97</v>
      </c>
      <c r="S22" s="12" t="s">
        <v>97</v>
      </c>
      <c r="T22" s="12"/>
      <c r="U22" s="12" t="s">
        <v>99</v>
      </c>
      <c r="V22" s="12"/>
      <c r="W22" s="12" t="s">
        <v>100</v>
      </c>
      <c r="X22" s="12" t="s">
        <v>21</v>
      </c>
      <c r="Y22" s="12" t="s">
        <v>98</v>
      </c>
      <c r="Z22" s="12"/>
      <c r="AA22" s="12" t="s">
        <v>131</v>
      </c>
      <c r="AB22" s="12"/>
      <c r="AC22" s="12">
        <v>29</v>
      </c>
      <c r="AD22" s="12"/>
      <c r="AE22" s="12" t="s">
        <v>131</v>
      </c>
      <c r="AF22" s="12"/>
      <c r="AG22" s="11">
        <v>46183.540821759263</v>
      </c>
      <c r="AH22" s="12" t="s">
        <v>132</v>
      </c>
    </row>
    <row r="23" spans="1:34" ht="29" x14ac:dyDescent="0.35">
      <c r="A23" s="11">
        <v>46181.338217592587</v>
      </c>
      <c r="B23" s="11">
        <v>46188.556851851848</v>
      </c>
      <c r="C23" s="12" t="s">
        <v>87</v>
      </c>
      <c r="D23" s="12" t="s">
        <v>103</v>
      </c>
      <c r="E23" s="12" t="s">
        <v>133</v>
      </c>
      <c r="F23" s="12"/>
      <c r="G23" s="12" t="s">
        <v>134</v>
      </c>
      <c r="H23" s="12" t="s">
        <v>81</v>
      </c>
      <c r="I23" s="12"/>
      <c r="J23" s="12"/>
      <c r="K23" s="12"/>
      <c r="L23" s="12"/>
      <c r="M23" s="12" t="s">
        <v>96</v>
      </c>
      <c r="N23" s="12" t="s">
        <v>96</v>
      </c>
      <c r="O23" s="12"/>
      <c r="P23" s="12" t="s">
        <v>263</v>
      </c>
      <c r="Q23" s="12"/>
      <c r="R23" s="12" t="s">
        <v>97</v>
      </c>
      <c r="S23" s="12" t="s">
        <v>97</v>
      </c>
      <c r="T23" s="12"/>
      <c r="U23" s="12" t="s">
        <v>99</v>
      </c>
      <c r="V23" s="12"/>
      <c r="W23" s="12" t="s">
        <v>100</v>
      </c>
      <c r="X23" s="12" t="s">
        <v>21</v>
      </c>
      <c r="Y23" s="12" t="s">
        <v>98</v>
      </c>
      <c r="Z23" s="12"/>
      <c r="AA23" s="12" t="s">
        <v>135</v>
      </c>
      <c r="AB23" s="12"/>
      <c r="AC23" s="12">
        <v>29</v>
      </c>
      <c r="AD23" s="12"/>
      <c r="AE23" s="12" t="s">
        <v>135</v>
      </c>
      <c r="AF23" s="12"/>
      <c r="AG23" s="11">
        <v>46183.587442129632</v>
      </c>
      <c r="AH23" s="12" t="s">
        <v>136</v>
      </c>
    </row>
    <row r="24" spans="1:34" ht="29" x14ac:dyDescent="0.35">
      <c r="A24" s="11">
        <v>46181.338217592587</v>
      </c>
      <c r="B24" s="11">
        <v>46188.556851851848</v>
      </c>
      <c r="C24" s="12" t="s">
        <v>87</v>
      </c>
      <c r="D24" s="12" t="s">
        <v>103</v>
      </c>
      <c r="E24" s="12" t="s">
        <v>384</v>
      </c>
      <c r="F24" s="12"/>
      <c r="G24" s="12" t="s">
        <v>385</v>
      </c>
      <c r="H24" s="12" t="s">
        <v>81</v>
      </c>
      <c r="I24" s="12"/>
      <c r="J24" s="12" t="s">
        <v>347</v>
      </c>
      <c r="K24" s="12" t="s">
        <v>347</v>
      </c>
      <c r="L24" s="12"/>
      <c r="M24" s="12" t="s">
        <v>194</v>
      </c>
      <c r="N24" s="12" t="s">
        <v>194</v>
      </c>
      <c r="O24" s="12"/>
      <c r="P24" s="12" t="s">
        <v>263</v>
      </c>
      <c r="Q24" s="12"/>
      <c r="R24" s="12" t="s">
        <v>228</v>
      </c>
      <c r="S24" s="12" t="s">
        <v>228</v>
      </c>
      <c r="T24" s="12"/>
      <c r="U24" s="12" t="s">
        <v>99</v>
      </c>
      <c r="V24" s="12"/>
      <c r="W24" s="12" t="s">
        <v>100</v>
      </c>
      <c r="X24" s="12" t="s">
        <v>21</v>
      </c>
      <c r="Y24" s="12" t="s">
        <v>98</v>
      </c>
      <c r="Z24" s="12"/>
      <c r="AA24" s="12" t="s">
        <v>386</v>
      </c>
      <c r="AB24" s="12"/>
      <c r="AC24" s="12">
        <v>76</v>
      </c>
      <c r="AD24" s="12"/>
      <c r="AE24" s="12" t="s">
        <v>386</v>
      </c>
      <c r="AF24" s="12"/>
      <c r="AG24" s="11">
        <v>46183.589490740742</v>
      </c>
      <c r="AH24" s="12" t="s">
        <v>387</v>
      </c>
    </row>
    <row r="25" spans="1:34" ht="29" x14ac:dyDescent="0.35">
      <c r="A25" s="11">
        <v>46181.338217592587</v>
      </c>
      <c r="B25" s="11">
        <v>46188.556851851848</v>
      </c>
      <c r="C25" s="12" t="s">
        <v>87</v>
      </c>
      <c r="D25" s="12" t="s">
        <v>103</v>
      </c>
      <c r="E25" s="12" t="s">
        <v>250</v>
      </c>
      <c r="F25" s="12"/>
      <c r="G25" s="12" t="s">
        <v>251</v>
      </c>
      <c r="H25" s="12" t="s">
        <v>81</v>
      </c>
      <c r="I25" s="12"/>
      <c r="J25" s="12"/>
      <c r="K25" s="12"/>
      <c r="L25" s="12"/>
      <c r="M25" s="12" t="s">
        <v>194</v>
      </c>
      <c r="N25" s="12" t="s">
        <v>194</v>
      </c>
      <c r="O25" s="12"/>
      <c r="P25" s="12" t="s">
        <v>263</v>
      </c>
      <c r="Q25" s="12"/>
      <c r="R25" s="12" t="s">
        <v>228</v>
      </c>
      <c r="S25" s="12" t="s">
        <v>228</v>
      </c>
      <c r="T25" s="12"/>
      <c r="U25" s="12" t="s">
        <v>197</v>
      </c>
      <c r="V25" s="12"/>
      <c r="W25" s="12" t="s">
        <v>100</v>
      </c>
      <c r="X25" s="12" t="s">
        <v>21</v>
      </c>
      <c r="Y25" s="12" t="s">
        <v>98</v>
      </c>
      <c r="Z25" s="12"/>
      <c r="AA25" s="12" t="s">
        <v>252</v>
      </c>
      <c r="AB25" s="12"/>
      <c r="AC25" s="12">
        <v>74</v>
      </c>
      <c r="AD25" s="12"/>
      <c r="AE25" s="12" t="s">
        <v>252</v>
      </c>
      <c r="AF25" s="12"/>
      <c r="AG25" s="11">
        <v>46183.598009259258</v>
      </c>
      <c r="AH25" s="12" t="s">
        <v>253</v>
      </c>
    </row>
    <row r="26" spans="1:34" ht="29" x14ac:dyDescent="0.35">
      <c r="A26" s="11">
        <v>46181.338217592587</v>
      </c>
      <c r="B26" s="11">
        <v>46188.556851851848</v>
      </c>
      <c r="C26" s="12" t="s">
        <v>87</v>
      </c>
      <c r="D26" s="12" t="s">
        <v>103</v>
      </c>
      <c r="E26" s="12" t="s">
        <v>137</v>
      </c>
      <c r="F26" s="12"/>
      <c r="G26" s="12" t="s">
        <v>138</v>
      </c>
      <c r="H26" s="12" t="s">
        <v>81</v>
      </c>
      <c r="I26" s="12"/>
      <c r="J26" s="12"/>
      <c r="K26" s="12"/>
      <c r="L26" s="12"/>
      <c r="M26" s="12" t="s">
        <v>96</v>
      </c>
      <c r="N26" s="12" t="s">
        <v>96</v>
      </c>
      <c r="O26" s="12"/>
      <c r="P26" s="12" t="s">
        <v>263</v>
      </c>
      <c r="Q26" s="12"/>
      <c r="R26" s="12" t="s">
        <v>97</v>
      </c>
      <c r="S26" s="12" t="s">
        <v>97</v>
      </c>
      <c r="T26" s="12"/>
      <c r="U26" s="12" t="s">
        <v>110</v>
      </c>
      <c r="V26" s="12"/>
      <c r="W26" s="12" t="s">
        <v>100</v>
      </c>
      <c r="X26" s="12" t="s">
        <v>21</v>
      </c>
      <c r="Y26" s="12" t="s">
        <v>98</v>
      </c>
      <c r="Z26" s="12"/>
      <c r="AA26" s="12" t="s">
        <v>139</v>
      </c>
      <c r="AB26" s="12"/>
      <c r="AC26" s="12">
        <v>29</v>
      </c>
      <c r="AD26" s="12"/>
      <c r="AE26" s="12" t="s">
        <v>139</v>
      </c>
      <c r="AF26" s="12"/>
      <c r="AG26" s="11">
        <v>46183.601145833331</v>
      </c>
      <c r="AH26" s="12" t="s">
        <v>140</v>
      </c>
    </row>
    <row r="27" spans="1:34" ht="29" x14ac:dyDescent="0.35">
      <c r="A27" s="11">
        <v>46181.338217592587</v>
      </c>
      <c r="B27" s="11">
        <v>46188.556851851848</v>
      </c>
      <c r="C27" s="12" t="s">
        <v>87</v>
      </c>
      <c r="D27" s="12" t="s">
        <v>103</v>
      </c>
      <c r="E27" s="12" t="s">
        <v>141</v>
      </c>
      <c r="F27" s="12"/>
      <c r="G27" s="12" t="s">
        <v>142</v>
      </c>
      <c r="H27" s="12" t="s">
        <v>81</v>
      </c>
      <c r="I27" s="12"/>
      <c r="J27" s="12"/>
      <c r="K27" s="12"/>
      <c r="L27" s="12"/>
      <c r="M27" s="12" t="s">
        <v>96</v>
      </c>
      <c r="N27" s="12" t="s">
        <v>96</v>
      </c>
      <c r="O27" s="12"/>
      <c r="P27" s="12" t="s">
        <v>263</v>
      </c>
      <c r="Q27" s="12"/>
      <c r="R27" s="12" t="s">
        <v>97</v>
      </c>
      <c r="S27" s="12" t="s">
        <v>97</v>
      </c>
      <c r="T27" s="12"/>
      <c r="U27" s="12" t="s">
        <v>110</v>
      </c>
      <c r="V27" s="12"/>
      <c r="W27" s="12" t="s">
        <v>100</v>
      </c>
      <c r="X27" s="12" t="s">
        <v>21</v>
      </c>
      <c r="Y27" s="12" t="s">
        <v>98</v>
      </c>
      <c r="Z27" s="12"/>
      <c r="AA27" s="12" t="s">
        <v>143</v>
      </c>
      <c r="AB27" s="12"/>
      <c r="AC27" s="12">
        <v>29</v>
      </c>
      <c r="AD27" s="12"/>
      <c r="AE27" s="12" t="s">
        <v>143</v>
      </c>
      <c r="AF27" s="12"/>
      <c r="AG27" s="11">
        <v>46183.62672453704</v>
      </c>
      <c r="AH27" s="12" t="s">
        <v>144</v>
      </c>
    </row>
    <row r="28" spans="1:34" ht="29" x14ac:dyDescent="0.35">
      <c r="A28" s="11">
        <v>46181.338217592587</v>
      </c>
      <c r="B28" s="11">
        <v>46188.556851851848</v>
      </c>
      <c r="C28" s="12" t="s">
        <v>87</v>
      </c>
      <c r="D28" s="12" t="s">
        <v>103</v>
      </c>
      <c r="E28" s="12" t="s">
        <v>145</v>
      </c>
      <c r="F28" s="12"/>
      <c r="G28" s="12" t="s">
        <v>146</v>
      </c>
      <c r="H28" s="12" t="s">
        <v>81</v>
      </c>
      <c r="I28" s="12"/>
      <c r="J28" s="12"/>
      <c r="K28" s="12"/>
      <c r="L28" s="12"/>
      <c r="M28" s="12" t="s">
        <v>96</v>
      </c>
      <c r="N28" s="12" t="s">
        <v>96</v>
      </c>
      <c r="O28" s="12"/>
      <c r="P28" s="12" t="s">
        <v>263</v>
      </c>
      <c r="Q28" s="12"/>
      <c r="R28" s="12" t="s">
        <v>97</v>
      </c>
      <c r="S28" s="12" t="s">
        <v>97</v>
      </c>
      <c r="T28" s="12"/>
      <c r="U28" s="12" t="s">
        <v>99</v>
      </c>
      <c r="V28" s="12"/>
      <c r="W28" s="12" t="s">
        <v>100</v>
      </c>
      <c r="X28" s="12" t="s">
        <v>21</v>
      </c>
      <c r="Y28" s="12" t="s">
        <v>98</v>
      </c>
      <c r="Z28" s="12"/>
      <c r="AA28" s="12" t="s">
        <v>147</v>
      </c>
      <c r="AB28" s="12"/>
      <c r="AC28" s="12">
        <v>29</v>
      </c>
      <c r="AD28" s="12"/>
      <c r="AE28" s="12" t="s">
        <v>147</v>
      </c>
      <c r="AF28" s="12"/>
      <c r="AG28" s="11">
        <v>46184.613645833328</v>
      </c>
      <c r="AH28" s="12" t="s">
        <v>148</v>
      </c>
    </row>
    <row r="29" spans="1:34" ht="29" x14ac:dyDescent="0.35">
      <c r="A29" s="11">
        <v>46181.338217592587</v>
      </c>
      <c r="B29" s="11">
        <v>46188.556851851848</v>
      </c>
      <c r="C29" s="12" t="s">
        <v>87</v>
      </c>
      <c r="D29" s="12" t="s">
        <v>103</v>
      </c>
      <c r="E29" s="12" t="s">
        <v>149</v>
      </c>
      <c r="F29" s="12"/>
      <c r="G29" s="12" t="s">
        <v>150</v>
      </c>
      <c r="H29" s="12" t="s">
        <v>81</v>
      </c>
      <c r="I29" s="12"/>
      <c r="J29" s="12"/>
      <c r="K29" s="12"/>
      <c r="L29" s="12"/>
      <c r="M29" s="12" t="s">
        <v>96</v>
      </c>
      <c r="N29" s="12" t="s">
        <v>96</v>
      </c>
      <c r="O29" s="12"/>
      <c r="P29" s="12" t="s">
        <v>263</v>
      </c>
      <c r="Q29" s="12"/>
      <c r="R29" s="12" t="s">
        <v>97</v>
      </c>
      <c r="S29" s="12" t="s">
        <v>97</v>
      </c>
      <c r="T29" s="12"/>
      <c r="U29" s="12" t="s">
        <v>110</v>
      </c>
      <c r="V29" s="12"/>
      <c r="W29" s="12" t="s">
        <v>100</v>
      </c>
      <c r="X29" s="12" t="s">
        <v>21</v>
      </c>
      <c r="Y29" s="12" t="s">
        <v>98</v>
      </c>
      <c r="Z29" s="12"/>
      <c r="AA29" s="12" t="s">
        <v>151</v>
      </c>
      <c r="AB29" s="12"/>
      <c r="AC29" s="12">
        <v>29</v>
      </c>
      <c r="AD29" s="12"/>
      <c r="AE29" s="12" t="s">
        <v>151</v>
      </c>
      <c r="AF29" s="12"/>
      <c r="AG29" s="11">
        <v>46184.515659722223</v>
      </c>
      <c r="AH29" s="12" t="s">
        <v>152</v>
      </c>
    </row>
    <row r="30" spans="1:34" ht="29" x14ac:dyDescent="0.35">
      <c r="A30" s="11">
        <v>46181.338217592587</v>
      </c>
      <c r="B30" s="11">
        <v>46188.556851851848</v>
      </c>
      <c r="C30" s="12" t="s">
        <v>87</v>
      </c>
      <c r="D30" s="12" t="s">
        <v>103</v>
      </c>
      <c r="E30" s="12" t="s">
        <v>153</v>
      </c>
      <c r="F30" s="12"/>
      <c r="G30" s="12" t="s">
        <v>154</v>
      </c>
      <c r="H30" s="12" t="s">
        <v>81</v>
      </c>
      <c r="I30" s="12"/>
      <c r="J30" s="12"/>
      <c r="K30" s="12"/>
      <c r="L30" s="12"/>
      <c r="M30" s="12" t="s">
        <v>96</v>
      </c>
      <c r="N30" s="12" t="s">
        <v>96</v>
      </c>
      <c r="O30" s="12"/>
      <c r="P30" s="12" t="s">
        <v>263</v>
      </c>
      <c r="Q30" s="12"/>
      <c r="R30" s="12" t="s">
        <v>97</v>
      </c>
      <c r="S30" s="12" t="s">
        <v>97</v>
      </c>
      <c r="T30" s="12"/>
      <c r="U30" s="12" t="s">
        <v>99</v>
      </c>
      <c r="V30" s="12"/>
      <c r="W30" s="12" t="s">
        <v>100</v>
      </c>
      <c r="X30" s="12" t="s">
        <v>21</v>
      </c>
      <c r="Y30" s="12" t="s">
        <v>98</v>
      </c>
      <c r="Z30" s="12"/>
      <c r="AA30" s="12" t="s">
        <v>151</v>
      </c>
      <c r="AB30" s="12"/>
      <c r="AC30" s="12">
        <v>29</v>
      </c>
      <c r="AD30" s="12"/>
      <c r="AE30" s="12" t="s">
        <v>151</v>
      </c>
      <c r="AF30" s="12"/>
      <c r="AG30" s="11">
        <v>46184.526597222219</v>
      </c>
      <c r="AH30" s="12" t="s">
        <v>155</v>
      </c>
    </row>
    <row r="31" spans="1:34" ht="29" x14ac:dyDescent="0.35">
      <c r="A31" s="11">
        <v>46181.338217592587</v>
      </c>
      <c r="B31" s="11">
        <v>46188.556851851848</v>
      </c>
      <c r="C31" s="12" t="s">
        <v>87</v>
      </c>
      <c r="D31" s="12" t="s">
        <v>103</v>
      </c>
      <c r="E31" s="12" t="s">
        <v>156</v>
      </c>
      <c r="F31" s="12"/>
      <c r="G31" s="12" t="s">
        <v>157</v>
      </c>
      <c r="H31" s="12" t="s">
        <v>81</v>
      </c>
      <c r="I31" s="12"/>
      <c r="J31" s="12"/>
      <c r="K31" s="12"/>
      <c r="L31" s="12"/>
      <c r="M31" s="12" t="s">
        <v>96</v>
      </c>
      <c r="N31" s="12" t="s">
        <v>96</v>
      </c>
      <c r="O31" s="12"/>
      <c r="P31" s="12" t="s">
        <v>263</v>
      </c>
      <c r="Q31" s="12"/>
      <c r="R31" s="12" t="s">
        <v>97</v>
      </c>
      <c r="S31" s="12" t="s">
        <v>97</v>
      </c>
      <c r="T31" s="12"/>
      <c r="U31" s="12" t="s">
        <v>99</v>
      </c>
      <c r="V31" s="12"/>
      <c r="W31" s="12" t="s">
        <v>100</v>
      </c>
      <c r="X31" s="12" t="s">
        <v>21</v>
      </c>
      <c r="Y31" s="12" t="s">
        <v>98</v>
      </c>
      <c r="Z31" s="12"/>
      <c r="AA31" s="12" t="s">
        <v>158</v>
      </c>
      <c r="AB31" s="12"/>
      <c r="AC31" s="12">
        <v>29</v>
      </c>
      <c r="AD31" s="12"/>
      <c r="AE31" s="12" t="s">
        <v>158</v>
      </c>
      <c r="AF31" s="12"/>
      <c r="AG31" s="11">
        <v>46184.583668981482</v>
      </c>
      <c r="AH31" s="12" t="s">
        <v>159</v>
      </c>
    </row>
    <row r="32" spans="1:34" ht="29" x14ac:dyDescent="0.35">
      <c r="A32" s="11">
        <v>46181.338217592587</v>
      </c>
      <c r="B32" s="11">
        <v>46188.556851851848</v>
      </c>
      <c r="C32" s="12" t="s">
        <v>87</v>
      </c>
      <c r="D32" s="12" t="s">
        <v>103</v>
      </c>
      <c r="E32" s="12" t="s">
        <v>160</v>
      </c>
      <c r="F32" s="12"/>
      <c r="G32" s="12" t="s">
        <v>161</v>
      </c>
      <c r="H32" s="12" t="s">
        <v>81</v>
      </c>
      <c r="I32" s="12"/>
      <c r="J32" s="12"/>
      <c r="K32" s="12"/>
      <c r="L32" s="12"/>
      <c r="M32" s="12" t="s">
        <v>96</v>
      </c>
      <c r="N32" s="12" t="s">
        <v>96</v>
      </c>
      <c r="O32" s="12"/>
      <c r="P32" s="12" t="s">
        <v>263</v>
      </c>
      <c r="Q32" s="12"/>
      <c r="R32" s="12" t="s">
        <v>97</v>
      </c>
      <c r="S32" s="12" t="s">
        <v>97</v>
      </c>
      <c r="T32" s="12"/>
      <c r="U32" s="12" t="s">
        <v>110</v>
      </c>
      <c r="V32" s="12"/>
      <c r="W32" s="12" t="s">
        <v>100</v>
      </c>
      <c r="X32" s="12" t="s">
        <v>21</v>
      </c>
      <c r="Y32" s="12" t="s">
        <v>98</v>
      </c>
      <c r="Z32" s="12"/>
      <c r="AA32" s="12" t="s">
        <v>162</v>
      </c>
      <c r="AB32" s="12"/>
      <c r="AC32" s="12">
        <v>29</v>
      </c>
      <c r="AD32" s="12"/>
      <c r="AE32" s="12" t="s">
        <v>162</v>
      </c>
      <c r="AF32" s="12"/>
      <c r="AG32" s="11">
        <v>46184.596967592603</v>
      </c>
      <c r="AH32" s="12" t="s">
        <v>163</v>
      </c>
    </row>
    <row r="33" spans="1:34" ht="29" x14ac:dyDescent="0.35">
      <c r="A33" s="11">
        <v>46181.338217592587</v>
      </c>
      <c r="B33" s="11">
        <v>46188.556851851848</v>
      </c>
      <c r="C33" s="12" t="s">
        <v>87</v>
      </c>
      <c r="D33" s="12" t="s">
        <v>103</v>
      </c>
      <c r="E33" s="12" t="s">
        <v>388</v>
      </c>
      <c r="F33" s="12"/>
      <c r="G33" s="12" t="s">
        <v>389</v>
      </c>
      <c r="H33" s="12" t="s">
        <v>81</v>
      </c>
      <c r="I33" s="12"/>
      <c r="J33" s="12" t="s">
        <v>347</v>
      </c>
      <c r="K33" s="12" t="s">
        <v>347</v>
      </c>
      <c r="L33" s="12"/>
      <c r="M33" s="12" t="s">
        <v>194</v>
      </c>
      <c r="N33" s="12" t="s">
        <v>194</v>
      </c>
      <c r="O33" s="12"/>
      <c r="P33" s="12" t="s">
        <v>263</v>
      </c>
      <c r="Q33" s="12"/>
      <c r="R33" s="12" t="s">
        <v>228</v>
      </c>
      <c r="S33" s="12" t="s">
        <v>228</v>
      </c>
      <c r="T33" s="12"/>
      <c r="U33" s="12" t="s">
        <v>99</v>
      </c>
      <c r="V33" s="12"/>
      <c r="W33" s="12" t="s">
        <v>100</v>
      </c>
      <c r="X33" s="12" t="s">
        <v>21</v>
      </c>
      <c r="Y33" s="12" t="s">
        <v>98</v>
      </c>
      <c r="Z33" s="12"/>
      <c r="AA33" s="12" t="s">
        <v>390</v>
      </c>
      <c r="AB33" s="12"/>
      <c r="AC33" s="12">
        <v>80</v>
      </c>
      <c r="AD33" s="12"/>
      <c r="AE33" s="12" t="s">
        <v>390</v>
      </c>
      <c r="AF33" s="12"/>
      <c r="AG33" s="11">
        <v>46185.587673611109</v>
      </c>
      <c r="AH33" s="12" t="s">
        <v>391</v>
      </c>
    </row>
    <row r="34" spans="1:34" ht="29" x14ac:dyDescent="0.35">
      <c r="A34" s="11">
        <v>46181.338217592587</v>
      </c>
      <c r="B34" s="11">
        <v>46188.556851851848</v>
      </c>
      <c r="C34" s="12" t="s">
        <v>87</v>
      </c>
      <c r="D34" s="12" t="s">
        <v>103</v>
      </c>
      <c r="E34" s="12" t="s">
        <v>164</v>
      </c>
      <c r="F34" s="12"/>
      <c r="G34" s="12" t="s">
        <v>165</v>
      </c>
      <c r="H34" s="12" t="s">
        <v>81</v>
      </c>
      <c r="I34" s="12"/>
      <c r="J34" s="12"/>
      <c r="K34" s="12"/>
      <c r="L34" s="12"/>
      <c r="M34" s="12" t="s">
        <v>96</v>
      </c>
      <c r="N34" s="12" t="s">
        <v>96</v>
      </c>
      <c r="O34" s="12"/>
      <c r="P34" s="12" t="s">
        <v>263</v>
      </c>
      <c r="Q34" s="12"/>
      <c r="R34" s="12" t="s">
        <v>97</v>
      </c>
      <c r="S34" s="12" t="s">
        <v>97</v>
      </c>
      <c r="T34" s="12"/>
      <c r="U34" s="12" t="s">
        <v>110</v>
      </c>
      <c r="V34" s="12"/>
      <c r="W34" s="12" t="s">
        <v>100</v>
      </c>
      <c r="X34" s="12" t="s">
        <v>21</v>
      </c>
      <c r="Y34" s="12" t="s">
        <v>98</v>
      </c>
      <c r="Z34" s="12"/>
      <c r="AA34" s="12" t="s">
        <v>166</v>
      </c>
      <c r="AB34" s="12"/>
      <c r="AC34" s="12">
        <v>29</v>
      </c>
      <c r="AD34" s="12"/>
      <c r="AE34" s="12" t="s">
        <v>166</v>
      </c>
      <c r="AF34" s="12"/>
      <c r="AG34" s="11">
        <v>46185.367361111108</v>
      </c>
      <c r="AH34" s="12" t="s">
        <v>167</v>
      </c>
    </row>
    <row r="35" spans="1:34" ht="29" x14ac:dyDescent="0.35">
      <c r="A35" s="11">
        <v>46181.338217592587</v>
      </c>
      <c r="B35" s="11">
        <v>46188.556851851848</v>
      </c>
      <c r="C35" s="12" t="s">
        <v>87</v>
      </c>
      <c r="D35" s="12" t="s">
        <v>103</v>
      </c>
      <c r="E35" s="12" t="s">
        <v>168</v>
      </c>
      <c r="F35" s="12"/>
      <c r="G35" s="12" t="s">
        <v>169</v>
      </c>
      <c r="H35" s="12" t="s">
        <v>81</v>
      </c>
      <c r="I35" s="12"/>
      <c r="J35" s="12"/>
      <c r="K35" s="12"/>
      <c r="L35" s="12"/>
      <c r="M35" s="12" t="s">
        <v>96</v>
      </c>
      <c r="N35" s="12" t="s">
        <v>96</v>
      </c>
      <c r="O35" s="12"/>
      <c r="P35" s="12" t="s">
        <v>263</v>
      </c>
      <c r="Q35" s="12"/>
      <c r="R35" s="12" t="s">
        <v>97</v>
      </c>
      <c r="S35" s="12" t="s">
        <v>97</v>
      </c>
      <c r="T35" s="12"/>
      <c r="U35" s="12" t="s">
        <v>99</v>
      </c>
      <c r="V35" s="12"/>
      <c r="W35" s="12" t="s">
        <v>100</v>
      </c>
      <c r="X35" s="12" t="s">
        <v>21</v>
      </c>
      <c r="Y35" s="12" t="s">
        <v>98</v>
      </c>
      <c r="Z35" s="12"/>
      <c r="AA35" s="12" t="s">
        <v>170</v>
      </c>
      <c r="AB35" s="12"/>
      <c r="AC35" s="12">
        <v>29</v>
      </c>
      <c r="AD35" s="12"/>
      <c r="AE35" s="12" t="s">
        <v>170</v>
      </c>
      <c r="AF35" s="12"/>
      <c r="AG35" s="11">
        <v>46185.515381944453</v>
      </c>
      <c r="AH35" s="12" t="s">
        <v>171</v>
      </c>
    </row>
    <row r="36" spans="1:34" ht="29" x14ac:dyDescent="0.35">
      <c r="A36" s="11">
        <v>46181.338217592587</v>
      </c>
      <c r="B36" s="11">
        <v>46188.556851851848</v>
      </c>
      <c r="C36" s="12" t="s">
        <v>87</v>
      </c>
      <c r="D36" s="12" t="s">
        <v>103</v>
      </c>
      <c r="E36" s="12" t="s">
        <v>421</v>
      </c>
      <c r="F36" s="12"/>
      <c r="G36" s="12" t="s">
        <v>422</v>
      </c>
      <c r="H36" s="12" t="s">
        <v>81</v>
      </c>
      <c r="I36" s="12"/>
      <c r="J36" s="12" t="s">
        <v>77</v>
      </c>
      <c r="K36" s="12" t="s">
        <v>77</v>
      </c>
      <c r="L36" s="12"/>
      <c r="M36" s="12" t="s">
        <v>96</v>
      </c>
      <c r="N36" s="12" t="s">
        <v>96</v>
      </c>
      <c r="O36" s="12"/>
      <c r="P36" s="12" t="s">
        <v>263</v>
      </c>
      <c r="Q36" s="12"/>
      <c r="R36" s="12" t="s">
        <v>79</v>
      </c>
      <c r="S36" s="12" t="s">
        <v>79</v>
      </c>
      <c r="T36" s="12"/>
      <c r="U36" s="12" t="s">
        <v>307</v>
      </c>
      <c r="V36" s="12"/>
      <c r="W36" s="12" t="s">
        <v>100</v>
      </c>
      <c r="X36" s="12" t="s">
        <v>21</v>
      </c>
      <c r="Y36" s="12" t="s">
        <v>98</v>
      </c>
      <c r="Z36" s="12"/>
      <c r="AA36" s="12" t="s">
        <v>423</v>
      </c>
      <c r="AB36" s="12"/>
      <c r="AC36" s="12">
        <v>39</v>
      </c>
      <c r="AD36" s="12"/>
      <c r="AE36" s="12" t="s">
        <v>423</v>
      </c>
      <c r="AF36" s="12"/>
      <c r="AG36" s="11">
        <v>46185.542002314818</v>
      </c>
      <c r="AH36" s="12" t="s">
        <v>424</v>
      </c>
    </row>
    <row r="37" spans="1:34" ht="29" x14ac:dyDescent="0.35">
      <c r="A37" s="11">
        <v>46181.338217592587</v>
      </c>
      <c r="B37" s="11">
        <v>46188.556851851848</v>
      </c>
      <c r="C37" s="12" t="s">
        <v>87</v>
      </c>
      <c r="D37" s="12" t="s">
        <v>103</v>
      </c>
      <c r="E37" s="12" t="s">
        <v>172</v>
      </c>
      <c r="F37" s="12"/>
      <c r="G37" s="12" t="s">
        <v>173</v>
      </c>
      <c r="H37" s="12" t="s">
        <v>81</v>
      </c>
      <c r="I37" s="12"/>
      <c r="J37" s="12"/>
      <c r="K37" s="12"/>
      <c r="L37" s="12"/>
      <c r="M37" s="12" t="s">
        <v>96</v>
      </c>
      <c r="N37" s="12" t="s">
        <v>96</v>
      </c>
      <c r="O37" s="12"/>
      <c r="P37" s="12" t="s">
        <v>263</v>
      </c>
      <c r="Q37" s="12"/>
      <c r="R37" s="12" t="s">
        <v>97</v>
      </c>
      <c r="S37" s="12" t="s">
        <v>97</v>
      </c>
      <c r="T37" s="12"/>
      <c r="U37" s="12" t="s">
        <v>99</v>
      </c>
      <c r="V37" s="12"/>
      <c r="W37" s="12" t="s">
        <v>100</v>
      </c>
      <c r="X37" s="12" t="s">
        <v>21</v>
      </c>
      <c r="Y37" s="12" t="s">
        <v>98</v>
      </c>
      <c r="Z37" s="12"/>
      <c r="AA37" s="12" t="s">
        <v>174</v>
      </c>
      <c r="AB37" s="12"/>
      <c r="AC37" s="12">
        <v>29</v>
      </c>
      <c r="AD37" s="12"/>
      <c r="AE37" s="12" t="s">
        <v>174</v>
      </c>
      <c r="AF37" s="12"/>
      <c r="AG37" s="11">
        <v>46185.587673611109</v>
      </c>
      <c r="AH37" s="12" t="s">
        <v>175</v>
      </c>
    </row>
    <row r="38" spans="1:34" ht="43.5" x14ac:dyDescent="0.35">
      <c r="A38" s="11">
        <v>46181.338217592587</v>
      </c>
      <c r="B38" s="11">
        <v>46188.556851851848</v>
      </c>
      <c r="C38" s="12" t="s">
        <v>87</v>
      </c>
      <c r="D38" s="12" t="s">
        <v>103</v>
      </c>
      <c r="E38" s="12" t="s">
        <v>254</v>
      </c>
      <c r="F38" s="12"/>
      <c r="G38" s="12" t="s">
        <v>255</v>
      </c>
      <c r="H38" s="12" t="s">
        <v>81</v>
      </c>
      <c r="I38" s="12"/>
      <c r="J38" s="12"/>
      <c r="K38" s="12"/>
      <c r="L38" s="12"/>
      <c r="M38" s="12" t="s">
        <v>194</v>
      </c>
      <c r="N38" s="12" t="s">
        <v>194</v>
      </c>
      <c r="O38" s="12"/>
      <c r="P38" s="12" t="s">
        <v>263</v>
      </c>
      <c r="Q38" s="12"/>
      <c r="R38" s="12" t="s">
        <v>228</v>
      </c>
      <c r="S38" s="12" t="s">
        <v>228</v>
      </c>
      <c r="T38" s="12"/>
      <c r="U38" s="12" t="s">
        <v>197</v>
      </c>
      <c r="V38" s="12"/>
      <c r="W38" s="12" t="s">
        <v>100</v>
      </c>
      <c r="X38" s="12" t="s">
        <v>21</v>
      </c>
      <c r="Y38" s="12" t="s">
        <v>98</v>
      </c>
      <c r="Z38" s="12"/>
      <c r="AA38" s="12" t="s">
        <v>256</v>
      </c>
      <c r="AB38" s="12"/>
      <c r="AC38" s="12">
        <v>111</v>
      </c>
      <c r="AD38" s="12"/>
      <c r="AE38" s="12" t="s">
        <v>256</v>
      </c>
      <c r="AF38" s="12"/>
      <c r="AG38" s="11">
        <v>46185.597314814811</v>
      </c>
      <c r="AH38" s="12" t="s">
        <v>257</v>
      </c>
    </row>
    <row r="39" spans="1:34" ht="29" x14ac:dyDescent="0.35">
      <c r="A39" s="11">
        <v>46181.338217592587</v>
      </c>
      <c r="B39" s="11">
        <v>46188.556851851848</v>
      </c>
      <c r="C39" s="12" t="s">
        <v>87</v>
      </c>
      <c r="D39" s="12" t="s">
        <v>103</v>
      </c>
      <c r="E39" s="12" t="s">
        <v>176</v>
      </c>
      <c r="F39" s="12"/>
      <c r="G39" s="12" t="s">
        <v>177</v>
      </c>
      <c r="H39" s="12" t="s">
        <v>81</v>
      </c>
      <c r="I39" s="12"/>
      <c r="J39" s="12"/>
      <c r="K39" s="12"/>
      <c r="L39" s="12"/>
      <c r="M39" s="12" t="s">
        <v>96</v>
      </c>
      <c r="N39" s="12" t="s">
        <v>96</v>
      </c>
      <c r="O39" s="12"/>
      <c r="P39" s="12" t="s">
        <v>263</v>
      </c>
      <c r="Q39" s="12"/>
      <c r="R39" s="12" t="s">
        <v>97</v>
      </c>
      <c r="S39" s="12" t="s">
        <v>97</v>
      </c>
      <c r="T39" s="12"/>
      <c r="U39" s="12" t="s">
        <v>99</v>
      </c>
      <c r="V39" s="12"/>
      <c r="W39" s="12" t="s">
        <v>100</v>
      </c>
      <c r="X39" s="12" t="s">
        <v>21</v>
      </c>
      <c r="Y39" s="12" t="s">
        <v>98</v>
      </c>
      <c r="Z39" s="12"/>
      <c r="AA39" s="12" t="s">
        <v>178</v>
      </c>
      <c r="AB39" s="12"/>
      <c r="AC39" s="12">
        <v>29</v>
      </c>
      <c r="AD39" s="12"/>
      <c r="AE39" s="12" t="s">
        <v>178</v>
      </c>
      <c r="AF39" s="12"/>
      <c r="AG39" s="11">
        <v>46185.595775462964</v>
      </c>
      <c r="AH39" s="12" t="s">
        <v>179</v>
      </c>
    </row>
    <row r="40" spans="1:34" ht="29" x14ac:dyDescent="0.35">
      <c r="A40" s="11">
        <v>46181.338217592587</v>
      </c>
      <c r="B40" s="11">
        <v>46188.556851851848</v>
      </c>
      <c r="C40" s="12" t="s">
        <v>87</v>
      </c>
      <c r="D40" s="12" t="s">
        <v>103</v>
      </c>
      <c r="E40" s="12" t="s">
        <v>180</v>
      </c>
      <c r="F40" s="12"/>
      <c r="G40" s="12" t="s">
        <v>181</v>
      </c>
      <c r="H40" s="12" t="s">
        <v>81</v>
      </c>
      <c r="I40" s="12"/>
      <c r="J40" s="12"/>
      <c r="K40" s="12"/>
      <c r="L40" s="12"/>
      <c r="M40" s="12" t="s">
        <v>96</v>
      </c>
      <c r="N40" s="12" t="s">
        <v>96</v>
      </c>
      <c r="O40" s="12"/>
      <c r="P40" s="12" t="s">
        <v>263</v>
      </c>
      <c r="Q40" s="12"/>
      <c r="R40" s="12" t="s">
        <v>97</v>
      </c>
      <c r="S40" s="12" t="s">
        <v>97</v>
      </c>
      <c r="T40" s="12"/>
      <c r="U40" s="12" t="s">
        <v>99</v>
      </c>
      <c r="V40" s="12"/>
      <c r="W40" s="12" t="s">
        <v>100</v>
      </c>
      <c r="X40" s="12" t="s">
        <v>21</v>
      </c>
      <c r="Y40" s="12" t="s">
        <v>98</v>
      </c>
      <c r="Z40" s="12"/>
      <c r="AA40" s="12" t="s">
        <v>182</v>
      </c>
      <c r="AB40" s="12"/>
      <c r="AC40" s="12">
        <v>29</v>
      </c>
      <c r="AD40" s="12"/>
      <c r="AE40" s="12" t="s">
        <v>182</v>
      </c>
      <c r="AF40" s="12"/>
      <c r="AG40" s="11">
        <v>46188.42732638889</v>
      </c>
      <c r="AH40" s="12" t="s">
        <v>183</v>
      </c>
    </row>
    <row r="41" spans="1:34" ht="29" x14ac:dyDescent="0.35">
      <c r="A41" s="11">
        <v>46181.338217592587</v>
      </c>
      <c r="B41" s="11">
        <v>46188.556851851848</v>
      </c>
      <c r="C41" s="12" t="s">
        <v>87</v>
      </c>
      <c r="D41" s="12" t="s">
        <v>103</v>
      </c>
      <c r="E41" s="12" t="s">
        <v>392</v>
      </c>
      <c r="F41" s="12"/>
      <c r="G41" s="12" t="s">
        <v>393</v>
      </c>
      <c r="H41" s="12" t="s">
        <v>81</v>
      </c>
      <c r="I41" s="12"/>
      <c r="J41" s="12" t="s">
        <v>347</v>
      </c>
      <c r="K41" s="12" t="s">
        <v>347</v>
      </c>
      <c r="L41" s="12"/>
      <c r="M41" s="12" t="s">
        <v>194</v>
      </c>
      <c r="N41" s="12" t="s">
        <v>194</v>
      </c>
      <c r="O41" s="12"/>
      <c r="P41" s="12" t="s">
        <v>263</v>
      </c>
      <c r="Q41" s="12"/>
      <c r="R41" s="12" t="s">
        <v>228</v>
      </c>
      <c r="S41" s="12" t="s">
        <v>228</v>
      </c>
      <c r="T41" s="12"/>
      <c r="U41" s="12" t="s">
        <v>99</v>
      </c>
      <c r="V41" s="12"/>
      <c r="W41" s="12" t="s">
        <v>100</v>
      </c>
      <c r="X41" s="12" t="s">
        <v>21</v>
      </c>
      <c r="Y41" s="12" t="s">
        <v>98</v>
      </c>
      <c r="Z41" s="12"/>
      <c r="AA41" s="12" t="s">
        <v>394</v>
      </c>
      <c r="AB41" s="12"/>
      <c r="AC41" s="12">
        <v>89</v>
      </c>
      <c r="AD41" s="12"/>
      <c r="AE41" s="12" t="s">
        <v>394</v>
      </c>
      <c r="AF41" s="12"/>
      <c r="AG41" s="11">
        <v>46188.429606481477</v>
      </c>
      <c r="AH41" s="12" t="s">
        <v>395</v>
      </c>
    </row>
    <row r="42" spans="1:34" ht="29" x14ac:dyDescent="0.35">
      <c r="A42" s="11">
        <v>46181.338217592587</v>
      </c>
      <c r="B42" s="11">
        <v>46188.556851851848</v>
      </c>
      <c r="C42" s="12" t="s">
        <v>87</v>
      </c>
      <c r="D42" s="12" t="s">
        <v>103</v>
      </c>
      <c r="E42" s="12" t="s">
        <v>184</v>
      </c>
      <c r="F42" s="12"/>
      <c r="G42" s="12" t="s">
        <v>185</v>
      </c>
      <c r="H42" s="12" t="s">
        <v>81</v>
      </c>
      <c r="I42" s="12"/>
      <c r="J42" s="12"/>
      <c r="K42" s="12"/>
      <c r="L42" s="12"/>
      <c r="M42" s="12" t="s">
        <v>96</v>
      </c>
      <c r="N42" s="12" t="s">
        <v>96</v>
      </c>
      <c r="O42" s="12"/>
      <c r="P42" s="12" t="s">
        <v>263</v>
      </c>
      <c r="Q42" s="12"/>
      <c r="R42" s="12" t="s">
        <v>97</v>
      </c>
      <c r="S42" s="12" t="s">
        <v>97</v>
      </c>
      <c r="T42" s="12"/>
      <c r="U42" s="12" t="s">
        <v>99</v>
      </c>
      <c r="V42" s="12"/>
      <c r="W42" s="12" t="s">
        <v>100</v>
      </c>
      <c r="X42" s="12" t="s">
        <v>21</v>
      </c>
      <c r="Y42" s="12" t="s">
        <v>98</v>
      </c>
      <c r="Z42" s="12"/>
      <c r="AA42" s="12" t="s">
        <v>186</v>
      </c>
      <c r="AB42" s="12"/>
      <c r="AC42" s="12">
        <v>29</v>
      </c>
      <c r="AD42" s="12"/>
      <c r="AE42" s="12" t="s">
        <v>186</v>
      </c>
      <c r="AF42" s="12"/>
      <c r="AG42" s="11">
        <v>46188.43236111111</v>
      </c>
      <c r="AH42" s="12" t="s">
        <v>187</v>
      </c>
    </row>
    <row r="43" spans="1:34" ht="29" x14ac:dyDescent="0.35">
      <c r="A43" s="11">
        <v>46181.338217592587</v>
      </c>
      <c r="B43" s="11">
        <v>46188.556851851848</v>
      </c>
      <c r="C43" s="12" t="s">
        <v>87</v>
      </c>
      <c r="D43" s="12" t="s">
        <v>103</v>
      </c>
      <c r="E43" s="12" t="s">
        <v>188</v>
      </c>
      <c r="F43" s="12"/>
      <c r="G43" s="12" t="s">
        <v>189</v>
      </c>
      <c r="H43" s="12" t="s">
        <v>81</v>
      </c>
      <c r="I43" s="12"/>
      <c r="J43" s="12"/>
      <c r="K43" s="12"/>
      <c r="L43" s="12"/>
      <c r="M43" s="12" t="s">
        <v>96</v>
      </c>
      <c r="N43" s="12" t="s">
        <v>96</v>
      </c>
      <c r="O43" s="12"/>
      <c r="P43" s="12" t="s">
        <v>263</v>
      </c>
      <c r="Q43" s="12"/>
      <c r="R43" s="12" t="s">
        <v>97</v>
      </c>
      <c r="S43" s="12" t="s">
        <v>97</v>
      </c>
      <c r="T43" s="12"/>
      <c r="U43" s="12" t="s">
        <v>110</v>
      </c>
      <c r="V43" s="12"/>
      <c r="W43" s="12" t="s">
        <v>100</v>
      </c>
      <c r="X43" s="12" t="s">
        <v>21</v>
      </c>
      <c r="Y43" s="12" t="s">
        <v>98</v>
      </c>
      <c r="Z43" s="12"/>
      <c r="AA43" s="12" t="s">
        <v>190</v>
      </c>
      <c r="AB43" s="12"/>
      <c r="AC43" s="12">
        <v>29</v>
      </c>
      <c r="AD43" s="12"/>
      <c r="AE43" s="12" t="s">
        <v>190</v>
      </c>
      <c r="AF43" s="12"/>
      <c r="AG43" s="11">
        <v>46188.53402777778</v>
      </c>
      <c r="AH43" s="12" t="s">
        <v>191</v>
      </c>
    </row>
    <row r="44" spans="1:34" ht="29" x14ac:dyDescent="0.35">
      <c r="A44" s="11">
        <v>46181.338217592587</v>
      </c>
      <c r="B44" s="11">
        <v>46188.556851851848</v>
      </c>
      <c r="C44" s="12" t="s">
        <v>87</v>
      </c>
      <c r="D44" s="12" t="s">
        <v>103</v>
      </c>
      <c r="E44" s="12" t="s">
        <v>396</v>
      </c>
      <c r="F44" s="12"/>
      <c r="G44" s="12" t="s">
        <v>397</v>
      </c>
      <c r="H44" s="12" t="s">
        <v>81</v>
      </c>
      <c r="I44" s="12"/>
      <c r="J44" s="12" t="s">
        <v>347</v>
      </c>
      <c r="K44" s="12" t="s">
        <v>347</v>
      </c>
      <c r="L44" s="12"/>
      <c r="M44" s="12" t="s">
        <v>194</v>
      </c>
      <c r="N44" s="12" t="s">
        <v>194</v>
      </c>
      <c r="O44" s="12"/>
      <c r="P44" s="12" t="s">
        <v>263</v>
      </c>
      <c r="Q44" s="12"/>
      <c r="R44" s="12" t="s">
        <v>228</v>
      </c>
      <c r="S44" s="12" t="s">
        <v>228</v>
      </c>
      <c r="T44" s="12"/>
      <c r="U44" s="12" t="s">
        <v>197</v>
      </c>
      <c r="V44" s="12"/>
      <c r="W44" s="12" t="s">
        <v>100</v>
      </c>
      <c r="X44" s="12" t="s">
        <v>21</v>
      </c>
      <c r="Y44" s="12" t="s">
        <v>98</v>
      </c>
      <c r="Z44" s="12"/>
      <c r="AA44" s="12" t="s">
        <v>398</v>
      </c>
      <c r="AB44" s="12"/>
      <c r="AC44" s="12">
        <v>71</v>
      </c>
      <c r="AD44" s="12"/>
      <c r="AE44" s="12" t="s">
        <v>398</v>
      </c>
      <c r="AF44" s="12"/>
      <c r="AG44" s="11">
        <v>46188.53402777778</v>
      </c>
      <c r="AH44" s="12" t="s">
        <v>399</v>
      </c>
    </row>
    <row r="45" spans="1:34" ht="29" x14ac:dyDescent="0.35">
      <c r="A45" s="11">
        <v>46181.338217592587</v>
      </c>
      <c r="B45" s="11">
        <v>46188.556851851848</v>
      </c>
      <c r="C45" s="12" t="s">
        <v>87</v>
      </c>
      <c r="D45" s="12" t="s">
        <v>103</v>
      </c>
      <c r="E45" s="12" t="s">
        <v>326</v>
      </c>
      <c r="F45" s="12" t="s">
        <v>327</v>
      </c>
      <c r="G45" s="12"/>
      <c r="H45" s="12" t="s">
        <v>81</v>
      </c>
      <c r="I45" s="12" t="s">
        <v>328</v>
      </c>
      <c r="J45" s="12"/>
      <c r="K45" s="12" t="s">
        <v>328</v>
      </c>
      <c r="L45" s="12" t="s">
        <v>329</v>
      </c>
      <c r="M45" s="12"/>
      <c r="N45" s="12" t="s">
        <v>329</v>
      </c>
      <c r="O45" s="12" t="s">
        <v>402</v>
      </c>
      <c r="P45" s="12"/>
      <c r="Q45" s="12" t="s">
        <v>79</v>
      </c>
      <c r="R45" s="12"/>
      <c r="S45" s="12" t="s">
        <v>79</v>
      </c>
      <c r="T45" s="12" t="s">
        <v>99</v>
      </c>
      <c r="U45" s="12"/>
      <c r="V45" s="12" t="s">
        <v>324</v>
      </c>
      <c r="W45" s="12"/>
      <c r="X45" s="12" t="s">
        <v>21</v>
      </c>
      <c r="Y45" s="12" t="s">
        <v>196</v>
      </c>
      <c r="Z45" s="12" t="s">
        <v>330</v>
      </c>
      <c r="AA45" s="12"/>
      <c r="AB45" s="12">
        <v>63</v>
      </c>
      <c r="AC45" s="12"/>
      <c r="AD45" s="12" t="s">
        <v>330</v>
      </c>
      <c r="AE45" s="12"/>
      <c r="AF45" s="11">
        <v>46178.417453703703</v>
      </c>
      <c r="AG45" s="12"/>
      <c r="AH45" s="12" t="s">
        <v>331</v>
      </c>
    </row>
    <row r="46" spans="1:34" ht="29" x14ac:dyDescent="0.35">
      <c r="A46" s="11">
        <v>46181.338217592587</v>
      </c>
      <c r="B46" s="11">
        <v>46188.556851851848</v>
      </c>
      <c r="C46" s="12" t="s">
        <v>87</v>
      </c>
      <c r="D46" s="12" t="s">
        <v>103</v>
      </c>
      <c r="E46" s="12" t="s">
        <v>351</v>
      </c>
      <c r="F46" s="12" t="s">
        <v>352</v>
      </c>
      <c r="G46" s="12"/>
      <c r="H46" s="12" t="s">
        <v>81</v>
      </c>
      <c r="I46" s="12" t="s">
        <v>347</v>
      </c>
      <c r="J46" s="12"/>
      <c r="K46" s="12" t="s">
        <v>347</v>
      </c>
      <c r="L46" s="12" t="s">
        <v>310</v>
      </c>
      <c r="M46" s="12"/>
      <c r="N46" s="12" t="s">
        <v>310</v>
      </c>
      <c r="O46" s="12" t="s">
        <v>402</v>
      </c>
      <c r="P46" s="12"/>
      <c r="Q46" s="12" t="s">
        <v>305</v>
      </c>
      <c r="R46" s="12"/>
      <c r="S46" s="12" t="s">
        <v>305</v>
      </c>
      <c r="T46" s="12" t="s">
        <v>99</v>
      </c>
      <c r="U46" s="12"/>
      <c r="V46" s="12" t="s">
        <v>100</v>
      </c>
      <c r="W46" s="12"/>
      <c r="X46" s="12" t="s">
        <v>21</v>
      </c>
      <c r="Y46" s="12" t="s">
        <v>196</v>
      </c>
      <c r="Z46" s="12" t="s">
        <v>353</v>
      </c>
      <c r="AA46" s="12"/>
      <c r="AB46" s="12">
        <v>57</v>
      </c>
      <c r="AC46" s="12"/>
      <c r="AD46" s="12" t="s">
        <v>353</v>
      </c>
      <c r="AE46" s="12"/>
      <c r="AF46" s="11">
        <v>46175.307106481479</v>
      </c>
      <c r="AG46" s="12"/>
      <c r="AH46" s="12" t="s">
        <v>354</v>
      </c>
    </row>
    <row r="47" spans="1:34" ht="29" x14ac:dyDescent="0.35">
      <c r="A47" s="11">
        <v>46181.338217592587</v>
      </c>
      <c r="B47" s="11">
        <v>46188.556851851848</v>
      </c>
      <c r="C47" s="12" t="s">
        <v>87</v>
      </c>
      <c r="D47" s="12" t="s">
        <v>103</v>
      </c>
      <c r="E47" s="12" t="s">
        <v>192</v>
      </c>
      <c r="F47" s="12" t="s">
        <v>193</v>
      </c>
      <c r="G47" s="12"/>
      <c r="H47" s="12" t="s">
        <v>81</v>
      </c>
      <c r="I47" s="12"/>
      <c r="J47" s="12"/>
      <c r="K47" s="12"/>
      <c r="L47" s="12" t="s">
        <v>194</v>
      </c>
      <c r="M47" s="12"/>
      <c r="N47" s="12" t="s">
        <v>194</v>
      </c>
      <c r="O47" s="12" t="s">
        <v>263</v>
      </c>
      <c r="P47" s="12"/>
      <c r="Q47" s="12" t="s">
        <v>195</v>
      </c>
      <c r="R47" s="12"/>
      <c r="S47" s="12" t="s">
        <v>195</v>
      </c>
      <c r="T47" s="12" t="s">
        <v>197</v>
      </c>
      <c r="U47" s="12"/>
      <c r="V47" s="12" t="s">
        <v>100</v>
      </c>
      <c r="W47" s="12"/>
      <c r="X47" s="12" t="s">
        <v>21</v>
      </c>
      <c r="Y47" s="12" t="s">
        <v>196</v>
      </c>
      <c r="Z47" s="12" t="s">
        <v>198</v>
      </c>
      <c r="AA47" s="12"/>
      <c r="AB47" s="12">
        <v>6</v>
      </c>
      <c r="AC47" s="12"/>
      <c r="AD47" s="12" t="s">
        <v>198</v>
      </c>
      <c r="AE47" s="12"/>
      <c r="AF47" s="11">
        <v>46135.542187500003</v>
      </c>
      <c r="AG47" s="12"/>
      <c r="AH47" s="12" t="s">
        <v>199</v>
      </c>
    </row>
    <row r="48" spans="1:34" ht="29" x14ac:dyDescent="0.35">
      <c r="A48" s="11">
        <v>46181.338217592587</v>
      </c>
      <c r="B48" s="11">
        <v>46188.556851851848</v>
      </c>
      <c r="C48" s="12" t="s">
        <v>87</v>
      </c>
      <c r="D48" s="12" t="s">
        <v>103</v>
      </c>
      <c r="E48" s="12" t="s">
        <v>355</v>
      </c>
      <c r="F48" s="12" t="s">
        <v>356</v>
      </c>
      <c r="G48" s="12"/>
      <c r="H48" s="12" t="s">
        <v>81</v>
      </c>
      <c r="I48" s="12" t="s">
        <v>347</v>
      </c>
      <c r="J48" s="12"/>
      <c r="K48" s="12" t="s">
        <v>347</v>
      </c>
      <c r="L48" s="12" t="s">
        <v>310</v>
      </c>
      <c r="M48" s="12"/>
      <c r="N48" s="12" t="s">
        <v>310</v>
      </c>
      <c r="O48" s="12" t="s">
        <v>402</v>
      </c>
      <c r="P48" s="12"/>
      <c r="Q48" s="12" t="s">
        <v>305</v>
      </c>
      <c r="R48" s="12"/>
      <c r="S48" s="12" t="s">
        <v>305</v>
      </c>
      <c r="T48" s="12" t="s">
        <v>99</v>
      </c>
      <c r="U48" s="12"/>
      <c r="V48" s="12" t="s">
        <v>100</v>
      </c>
      <c r="W48" s="12"/>
      <c r="X48" s="12" t="s">
        <v>21</v>
      </c>
      <c r="Y48" s="12" t="s">
        <v>196</v>
      </c>
      <c r="Z48" s="12" t="s">
        <v>357</v>
      </c>
      <c r="AA48" s="12"/>
      <c r="AB48" s="12">
        <v>54</v>
      </c>
      <c r="AC48" s="12"/>
      <c r="AD48" s="12" t="s">
        <v>357</v>
      </c>
      <c r="AE48" s="12"/>
      <c r="AF48" s="11">
        <v>46175.309444444443</v>
      </c>
      <c r="AG48" s="12"/>
      <c r="AH48" s="12" t="s">
        <v>358</v>
      </c>
    </row>
    <row r="49" spans="1:34" ht="29" x14ac:dyDescent="0.35">
      <c r="A49" s="11">
        <v>46181.338217592587</v>
      </c>
      <c r="B49" s="11">
        <v>46188.556851851848</v>
      </c>
      <c r="C49" s="12" t="s">
        <v>87</v>
      </c>
      <c r="D49" s="12" t="s">
        <v>103</v>
      </c>
      <c r="E49" s="12" t="s">
        <v>359</v>
      </c>
      <c r="F49" s="12" t="s">
        <v>360</v>
      </c>
      <c r="G49" s="12"/>
      <c r="H49" s="12" t="s">
        <v>81</v>
      </c>
      <c r="I49" s="12" t="s">
        <v>347</v>
      </c>
      <c r="J49" s="12"/>
      <c r="K49" s="12" t="s">
        <v>347</v>
      </c>
      <c r="L49" s="12" t="s">
        <v>310</v>
      </c>
      <c r="M49" s="12"/>
      <c r="N49" s="12" t="s">
        <v>310</v>
      </c>
      <c r="O49" s="12" t="s">
        <v>402</v>
      </c>
      <c r="P49" s="12"/>
      <c r="Q49" s="12" t="s">
        <v>305</v>
      </c>
      <c r="R49" s="12"/>
      <c r="S49" s="12" t="s">
        <v>305</v>
      </c>
      <c r="T49" s="12" t="s">
        <v>99</v>
      </c>
      <c r="U49" s="12"/>
      <c r="V49" s="12" t="s">
        <v>100</v>
      </c>
      <c r="W49" s="12"/>
      <c r="X49" s="12" t="s">
        <v>21</v>
      </c>
      <c r="Y49" s="12" t="s">
        <v>196</v>
      </c>
      <c r="Z49" s="12" t="s">
        <v>361</v>
      </c>
      <c r="AA49" s="12"/>
      <c r="AB49" s="12">
        <v>73</v>
      </c>
      <c r="AC49" s="12"/>
      <c r="AD49" s="12" t="s">
        <v>361</v>
      </c>
      <c r="AE49" s="12"/>
      <c r="AF49" s="11">
        <v>46154.349733796298</v>
      </c>
      <c r="AG49" s="12"/>
      <c r="AH49" s="12" t="s">
        <v>362</v>
      </c>
    </row>
    <row r="50" spans="1:34" ht="29" x14ac:dyDescent="0.35">
      <c r="A50" s="11">
        <v>46181.338217592587</v>
      </c>
      <c r="B50" s="11">
        <v>46188.556851851848</v>
      </c>
      <c r="C50" s="12" t="s">
        <v>87</v>
      </c>
      <c r="D50" s="12" t="s">
        <v>103</v>
      </c>
      <c r="E50" s="12" t="s">
        <v>200</v>
      </c>
      <c r="F50" s="12" t="s">
        <v>201</v>
      </c>
      <c r="G50" s="12"/>
      <c r="H50" s="12" t="s">
        <v>81</v>
      </c>
      <c r="I50" s="12"/>
      <c r="J50" s="12"/>
      <c r="K50" s="12"/>
      <c r="L50" s="12" t="s">
        <v>194</v>
      </c>
      <c r="M50" s="12"/>
      <c r="N50" s="12" t="s">
        <v>194</v>
      </c>
      <c r="O50" s="12" t="s">
        <v>263</v>
      </c>
      <c r="P50" s="12"/>
      <c r="Q50" s="12" t="s">
        <v>195</v>
      </c>
      <c r="R50" s="12"/>
      <c r="S50" s="12" t="s">
        <v>195</v>
      </c>
      <c r="T50" s="12" t="s">
        <v>197</v>
      </c>
      <c r="U50" s="12"/>
      <c r="V50" s="12" t="s">
        <v>100</v>
      </c>
      <c r="W50" s="12"/>
      <c r="X50" s="12" t="s">
        <v>21</v>
      </c>
      <c r="Y50" s="12" t="s">
        <v>196</v>
      </c>
      <c r="Z50" s="12" t="s">
        <v>202</v>
      </c>
      <c r="AA50" s="12"/>
      <c r="AB50" s="12">
        <v>33</v>
      </c>
      <c r="AC50" s="12"/>
      <c r="AD50" s="12" t="s">
        <v>202</v>
      </c>
      <c r="AE50" s="12"/>
      <c r="AF50" s="11">
        <v>46154.580949074072</v>
      </c>
      <c r="AG50" s="12"/>
      <c r="AH50" s="12" t="s">
        <v>203</v>
      </c>
    </row>
    <row r="51" spans="1:34" ht="29" x14ac:dyDescent="0.35">
      <c r="A51" s="11">
        <v>46181.338217592587</v>
      </c>
      <c r="B51" s="11">
        <v>46188.556851851848</v>
      </c>
      <c r="C51" s="12" t="s">
        <v>87</v>
      </c>
      <c r="D51" s="12" t="s">
        <v>103</v>
      </c>
      <c r="E51" s="12" t="s">
        <v>412</v>
      </c>
      <c r="F51" s="12" t="s">
        <v>413</v>
      </c>
      <c r="G51" s="12" t="s">
        <v>413</v>
      </c>
      <c r="H51" s="12" t="s">
        <v>81</v>
      </c>
      <c r="I51" s="12" t="s">
        <v>328</v>
      </c>
      <c r="J51" s="12" t="s">
        <v>77</v>
      </c>
      <c r="K51" s="12" t="s">
        <v>77</v>
      </c>
      <c r="L51" s="12" t="s">
        <v>96</v>
      </c>
      <c r="M51" s="12" t="s">
        <v>96</v>
      </c>
      <c r="N51" s="12" t="s">
        <v>96</v>
      </c>
      <c r="O51" s="12" t="s">
        <v>263</v>
      </c>
      <c r="P51" s="12" t="s">
        <v>263</v>
      </c>
      <c r="Q51" s="12" t="s">
        <v>305</v>
      </c>
      <c r="R51" s="12" t="s">
        <v>305</v>
      </c>
      <c r="S51" s="12" t="s">
        <v>305</v>
      </c>
      <c r="T51" s="12" t="s">
        <v>307</v>
      </c>
      <c r="U51" s="12" t="s">
        <v>307</v>
      </c>
      <c r="V51" s="12" t="s">
        <v>324</v>
      </c>
      <c r="W51" s="12" t="s">
        <v>324</v>
      </c>
      <c r="X51" s="12" t="s">
        <v>22</v>
      </c>
      <c r="Y51" s="12" t="s">
        <v>306</v>
      </c>
      <c r="Z51" s="12" t="s">
        <v>328</v>
      </c>
      <c r="AA51" s="12" t="s">
        <v>77</v>
      </c>
      <c r="AB51" s="12">
        <v>14</v>
      </c>
      <c r="AC51" s="12">
        <v>14</v>
      </c>
      <c r="AD51" s="12" t="s">
        <v>328</v>
      </c>
      <c r="AE51" s="12" t="s">
        <v>77</v>
      </c>
      <c r="AF51" s="11">
        <v>46113.509629629632</v>
      </c>
      <c r="AG51" s="11">
        <v>46182.372557870367</v>
      </c>
      <c r="AH51" s="12" t="s">
        <v>414</v>
      </c>
    </row>
    <row r="52" spans="1:34" ht="29" x14ac:dyDescent="0.35">
      <c r="A52" s="11">
        <v>46181.338217592587</v>
      </c>
      <c r="B52" s="11">
        <v>46188.556851851848</v>
      </c>
      <c r="C52" s="12" t="s">
        <v>87</v>
      </c>
      <c r="D52" s="12" t="s">
        <v>103</v>
      </c>
      <c r="E52" s="12" t="s">
        <v>445</v>
      </c>
      <c r="F52" s="12" t="s">
        <v>446</v>
      </c>
      <c r="G52" s="12" t="s">
        <v>446</v>
      </c>
      <c r="H52" s="12" t="s">
        <v>81</v>
      </c>
      <c r="I52" s="12" t="s">
        <v>328</v>
      </c>
      <c r="J52" s="12" t="s">
        <v>77</v>
      </c>
      <c r="K52" s="12" t="s">
        <v>77</v>
      </c>
      <c r="L52" s="12" t="s">
        <v>447</v>
      </c>
      <c r="M52" s="12" t="s">
        <v>447</v>
      </c>
      <c r="N52" s="12" t="s">
        <v>447</v>
      </c>
      <c r="O52" s="12" t="s">
        <v>263</v>
      </c>
      <c r="P52" s="12" t="s">
        <v>263</v>
      </c>
      <c r="Q52" s="12" t="s">
        <v>314</v>
      </c>
      <c r="R52" s="12" t="s">
        <v>314</v>
      </c>
      <c r="S52" s="12" t="s">
        <v>314</v>
      </c>
      <c r="T52" s="12" t="s">
        <v>82</v>
      </c>
      <c r="U52" s="12" t="s">
        <v>82</v>
      </c>
      <c r="V52" s="12" t="s">
        <v>83</v>
      </c>
      <c r="W52" s="12" t="s">
        <v>83</v>
      </c>
      <c r="X52" s="12" t="s">
        <v>22</v>
      </c>
      <c r="Y52" s="12" t="s">
        <v>306</v>
      </c>
      <c r="Z52" s="12" t="s">
        <v>328</v>
      </c>
      <c r="AA52" s="12" t="s">
        <v>77</v>
      </c>
      <c r="AB52" s="12">
        <v>14</v>
      </c>
      <c r="AC52" s="12">
        <v>14</v>
      </c>
      <c r="AD52" s="12" t="s">
        <v>328</v>
      </c>
      <c r="AE52" s="12" t="s">
        <v>77</v>
      </c>
      <c r="AF52" s="11">
        <v>46113.507592592592</v>
      </c>
      <c r="AG52" s="11">
        <v>46182.372233796297</v>
      </c>
      <c r="AH52" s="12" t="s">
        <v>448</v>
      </c>
    </row>
    <row r="53" spans="1:34" ht="29" x14ac:dyDescent="0.35">
      <c r="A53" s="11">
        <v>46181.338217592587</v>
      </c>
      <c r="B53" s="11">
        <v>46188.556851851848</v>
      </c>
      <c r="C53" s="12" t="s">
        <v>87</v>
      </c>
      <c r="D53" s="12" t="s">
        <v>103</v>
      </c>
      <c r="E53" s="12" t="s">
        <v>345</v>
      </c>
      <c r="F53" s="12" t="s">
        <v>346</v>
      </c>
      <c r="G53" s="12" t="s">
        <v>346</v>
      </c>
      <c r="H53" s="12" t="s">
        <v>81</v>
      </c>
      <c r="I53" s="12" t="s">
        <v>328</v>
      </c>
      <c r="J53" s="12" t="s">
        <v>347</v>
      </c>
      <c r="K53" s="12" t="s">
        <v>347</v>
      </c>
      <c r="L53" s="12" t="s">
        <v>348</v>
      </c>
      <c r="M53" s="12" t="s">
        <v>348</v>
      </c>
      <c r="N53" s="12" t="s">
        <v>348</v>
      </c>
      <c r="O53" s="12" t="s">
        <v>402</v>
      </c>
      <c r="P53" s="12" t="s">
        <v>402</v>
      </c>
      <c r="Q53" s="12" t="s">
        <v>79</v>
      </c>
      <c r="R53" s="12" t="s">
        <v>79</v>
      </c>
      <c r="S53" s="12" t="s">
        <v>79</v>
      </c>
      <c r="T53" s="12" t="s">
        <v>349</v>
      </c>
      <c r="U53" s="12" t="s">
        <v>349</v>
      </c>
      <c r="V53" s="12" t="s">
        <v>324</v>
      </c>
      <c r="W53" s="12" t="s">
        <v>324</v>
      </c>
      <c r="X53" s="12" t="s">
        <v>22</v>
      </c>
      <c r="Y53" s="12" t="s">
        <v>306</v>
      </c>
      <c r="Z53" s="12" t="s">
        <v>328</v>
      </c>
      <c r="AA53" s="12" t="s">
        <v>347</v>
      </c>
      <c r="AB53" s="12">
        <v>14</v>
      </c>
      <c r="AC53" s="12">
        <v>14</v>
      </c>
      <c r="AD53" s="12" t="s">
        <v>328</v>
      </c>
      <c r="AE53" s="12" t="s">
        <v>347</v>
      </c>
      <c r="AF53" s="11">
        <v>46162.321539351848</v>
      </c>
      <c r="AG53" s="11">
        <v>46182.37090277778</v>
      </c>
      <c r="AH53" s="12" t="s">
        <v>350</v>
      </c>
    </row>
    <row r="54" spans="1:34" ht="29" x14ac:dyDescent="0.35">
      <c r="A54" s="11">
        <v>46181.338217592587</v>
      </c>
      <c r="B54" s="11">
        <v>46188.556851851848</v>
      </c>
      <c r="C54" s="12" t="s">
        <v>87</v>
      </c>
      <c r="D54" s="12" t="s">
        <v>103</v>
      </c>
      <c r="E54" s="12" t="s">
        <v>301</v>
      </c>
      <c r="F54" s="12" t="s">
        <v>302</v>
      </c>
      <c r="G54" s="12" t="s">
        <v>302</v>
      </c>
      <c r="H54" s="12" t="s">
        <v>81</v>
      </c>
      <c r="I54" s="12" t="s">
        <v>308</v>
      </c>
      <c r="J54" s="12" t="s">
        <v>303</v>
      </c>
      <c r="K54" s="12" t="s">
        <v>303</v>
      </c>
      <c r="L54" s="12" t="s">
        <v>310</v>
      </c>
      <c r="M54" s="12" t="s">
        <v>304</v>
      </c>
      <c r="N54" s="12" t="s">
        <v>304</v>
      </c>
      <c r="O54" s="12" t="s">
        <v>402</v>
      </c>
      <c r="P54" s="12" t="s">
        <v>402</v>
      </c>
      <c r="Q54" s="12" t="s">
        <v>305</v>
      </c>
      <c r="R54" s="12" t="s">
        <v>305</v>
      </c>
      <c r="S54" s="12" t="s">
        <v>305</v>
      </c>
      <c r="T54" s="12" t="s">
        <v>307</v>
      </c>
      <c r="U54" s="12" t="s">
        <v>307</v>
      </c>
      <c r="V54" s="12" t="s">
        <v>100</v>
      </c>
      <c r="W54" s="12" t="s">
        <v>100</v>
      </c>
      <c r="X54" s="12" t="s">
        <v>24</v>
      </c>
      <c r="Y54" s="12" t="s">
        <v>92</v>
      </c>
      <c r="Z54" s="12" t="s">
        <v>310</v>
      </c>
      <c r="AA54" s="12" t="s">
        <v>304</v>
      </c>
      <c r="AB54" s="12">
        <v>8</v>
      </c>
      <c r="AC54" s="12">
        <v>7</v>
      </c>
      <c r="AD54" s="12" t="s">
        <v>310</v>
      </c>
      <c r="AE54" s="12" t="s">
        <v>304</v>
      </c>
      <c r="AF54" s="11">
        <v>46126.623460648138</v>
      </c>
      <c r="AG54" s="11">
        <v>46182.384837962964</v>
      </c>
      <c r="AH54" s="12" t="s">
        <v>309</v>
      </c>
    </row>
    <row r="55" spans="1:34" ht="29" x14ac:dyDescent="0.35">
      <c r="A55" s="11">
        <v>46181.338217592587</v>
      </c>
      <c r="B55" s="11">
        <v>46188.556851851848</v>
      </c>
      <c r="C55" s="12" t="s">
        <v>87</v>
      </c>
      <c r="D55" s="12" t="s">
        <v>103</v>
      </c>
      <c r="E55" s="12" t="s">
        <v>301</v>
      </c>
      <c r="F55" s="12" t="s">
        <v>302</v>
      </c>
      <c r="G55" s="12" t="s">
        <v>302</v>
      </c>
      <c r="H55" s="12" t="s">
        <v>81</v>
      </c>
      <c r="I55" s="12" t="s">
        <v>308</v>
      </c>
      <c r="J55" s="12" t="s">
        <v>303</v>
      </c>
      <c r="K55" s="12" t="s">
        <v>303</v>
      </c>
      <c r="L55" s="12" t="s">
        <v>310</v>
      </c>
      <c r="M55" s="12" t="s">
        <v>304</v>
      </c>
      <c r="N55" s="12" t="s">
        <v>304</v>
      </c>
      <c r="O55" s="12" t="s">
        <v>402</v>
      </c>
      <c r="P55" s="12" t="s">
        <v>402</v>
      </c>
      <c r="Q55" s="12" t="s">
        <v>305</v>
      </c>
      <c r="R55" s="12" t="s">
        <v>305</v>
      </c>
      <c r="S55" s="12" t="s">
        <v>305</v>
      </c>
      <c r="T55" s="12" t="s">
        <v>307</v>
      </c>
      <c r="U55" s="12" t="s">
        <v>307</v>
      </c>
      <c r="V55" s="12" t="s">
        <v>100</v>
      </c>
      <c r="W55" s="12" t="s">
        <v>100</v>
      </c>
      <c r="X55" s="12" t="s">
        <v>22</v>
      </c>
      <c r="Y55" s="12" t="s">
        <v>306</v>
      </c>
      <c r="Z55" s="12" t="s">
        <v>308</v>
      </c>
      <c r="AA55" s="12" t="s">
        <v>303</v>
      </c>
      <c r="AB55" s="12">
        <v>46</v>
      </c>
      <c r="AC55" s="12">
        <v>46</v>
      </c>
      <c r="AD55" s="12" t="s">
        <v>308</v>
      </c>
      <c r="AE55" s="12" t="s">
        <v>303</v>
      </c>
      <c r="AF55" s="11">
        <v>46126.623460648138</v>
      </c>
      <c r="AG55" s="11">
        <v>46182.384837962964</v>
      </c>
      <c r="AH55" s="12" t="s">
        <v>309</v>
      </c>
    </row>
    <row r="56" spans="1:34" ht="29" x14ac:dyDescent="0.35">
      <c r="A56" s="11">
        <v>46181.338217592587</v>
      </c>
      <c r="B56" s="11">
        <v>46188.556851851848</v>
      </c>
      <c r="C56" s="12" t="s">
        <v>87</v>
      </c>
      <c r="D56" s="12" t="s">
        <v>103</v>
      </c>
      <c r="E56" s="12" t="s">
        <v>311</v>
      </c>
      <c r="F56" s="12" t="s">
        <v>312</v>
      </c>
      <c r="G56" s="12" t="s">
        <v>312</v>
      </c>
      <c r="H56" s="12" t="s">
        <v>81</v>
      </c>
      <c r="I56" s="12" t="s">
        <v>316</v>
      </c>
      <c r="J56" s="12" t="s">
        <v>313</v>
      </c>
      <c r="K56" s="12" t="s">
        <v>313</v>
      </c>
      <c r="L56" s="12" t="s">
        <v>93</v>
      </c>
      <c r="M56" s="12" t="s">
        <v>93</v>
      </c>
      <c r="N56" s="12" t="s">
        <v>93</v>
      </c>
      <c r="O56" s="12" t="s">
        <v>402</v>
      </c>
      <c r="P56" s="12" t="s">
        <v>402</v>
      </c>
      <c r="Q56" s="12" t="s">
        <v>314</v>
      </c>
      <c r="R56" s="12" t="s">
        <v>314</v>
      </c>
      <c r="S56" s="12" t="s">
        <v>314</v>
      </c>
      <c r="T56" s="12" t="s">
        <v>315</v>
      </c>
      <c r="U56" s="12" t="s">
        <v>315</v>
      </c>
      <c r="V56" s="12" t="s">
        <v>83</v>
      </c>
      <c r="W56" s="12" t="s">
        <v>83</v>
      </c>
      <c r="X56" s="12" t="s">
        <v>22</v>
      </c>
      <c r="Y56" s="12" t="s">
        <v>306</v>
      </c>
      <c r="Z56" s="12" t="s">
        <v>316</v>
      </c>
      <c r="AA56" s="12" t="s">
        <v>313</v>
      </c>
      <c r="AB56" s="12">
        <v>30</v>
      </c>
      <c r="AC56" s="12">
        <v>46</v>
      </c>
      <c r="AD56" s="12" t="s">
        <v>316</v>
      </c>
      <c r="AE56" s="12" t="s">
        <v>313</v>
      </c>
      <c r="AF56" s="11">
        <v>46126.623449074083</v>
      </c>
      <c r="AG56" s="11">
        <v>46182.374085648153</v>
      </c>
      <c r="AH56" s="12" t="s">
        <v>317</v>
      </c>
    </row>
    <row r="57" spans="1:34" ht="29" x14ac:dyDescent="0.35">
      <c r="A57" s="11">
        <v>46181.338217592587</v>
      </c>
      <c r="B57" s="11">
        <v>46188.556851851848</v>
      </c>
      <c r="C57" s="12" t="s">
        <v>87</v>
      </c>
      <c r="D57" s="12" t="s">
        <v>103</v>
      </c>
      <c r="E57" s="12" t="s">
        <v>318</v>
      </c>
      <c r="F57" s="12" t="s">
        <v>319</v>
      </c>
      <c r="G57" s="12" t="s">
        <v>319</v>
      </c>
      <c r="H57" s="12" t="s">
        <v>81</v>
      </c>
      <c r="I57" s="12" t="s">
        <v>316</v>
      </c>
      <c r="J57" s="12" t="s">
        <v>313</v>
      </c>
      <c r="K57" s="12" t="s">
        <v>313</v>
      </c>
      <c r="L57" s="12" t="s">
        <v>93</v>
      </c>
      <c r="M57" s="12" t="s">
        <v>93</v>
      </c>
      <c r="N57" s="12" t="s">
        <v>93</v>
      </c>
      <c r="O57" s="12" t="s">
        <v>402</v>
      </c>
      <c r="P57" s="12" t="s">
        <v>402</v>
      </c>
      <c r="Q57" s="12" t="s">
        <v>79</v>
      </c>
      <c r="R57" s="12" t="s">
        <v>79</v>
      </c>
      <c r="S57" s="12" t="s">
        <v>79</v>
      </c>
      <c r="T57" s="12" t="s">
        <v>84</v>
      </c>
      <c r="U57" s="12" t="s">
        <v>84</v>
      </c>
      <c r="V57" s="12" t="s">
        <v>100</v>
      </c>
      <c r="W57" s="12" t="s">
        <v>100</v>
      </c>
      <c r="X57" s="12" t="s">
        <v>22</v>
      </c>
      <c r="Y57" s="12" t="s">
        <v>306</v>
      </c>
      <c r="Z57" s="12" t="s">
        <v>316</v>
      </c>
      <c r="AA57" s="12" t="s">
        <v>313</v>
      </c>
      <c r="AB57" s="12">
        <v>30</v>
      </c>
      <c r="AC57" s="12">
        <v>46</v>
      </c>
      <c r="AD57" s="12" t="s">
        <v>316</v>
      </c>
      <c r="AE57" s="12" t="s">
        <v>313</v>
      </c>
      <c r="AF57" s="11">
        <v>46153.432199074072</v>
      </c>
      <c r="AG57" s="11">
        <v>46182.374097222222</v>
      </c>
      <c r="AH57" s="12" t="s">
        <v>320</v>
      </c>
    </row>
    <row r="58" spans="1:34" ht="29" x14ac:dyDescent="0.35">
      <c r="A58" s="11">
        <v>46181.338217592587</v>
      </c>
      <c r="B58" s="11">
        <v>46188.556851851848</v>
      </c>
      <c r="C58" s="12" t="s">
        <v>87</v>
      </c>
      <c r="D58" s="12" t="s">
        <v>103</v>
      </c>
      <c r="E58" s="12" t="s">
        <v>336</v>
      </c>
      <c r="F58" s="12" t="s">
        <v>337</v>
      </c>
      <c r="G58" s="12" t="s">
        <v>337</v>
      </c>
      <c r="H58" s="12" t="s">
        <v>81</v>
      </c>
      <c r="I58" s="12" t="s">
        <v>328</v>
      </c>
      <c r="J58" s="12" t="s">
        <v>334</v>
      </c>
      <c r="K58" s="12" t="s">
        <v>334</v>
      </c>
      <c r="L58" s="12" t="s">
        <v>338</v>
      </c>
      <c r="M58" s="12" t="s">
        <v>338</v>
      </c>
      <c r="N58" s="12" t="s">
        <v>338</v>
      </c>
      <c r="O58" s="12" t="s">
        <v>263</v>
      </c>
      <c r="P58" s="12" t="s">
        <v>263</v>
      </c>
      <c r="Q58" s="12" t="s">
        <v>314</v>
      </c>
      <c r="R58" s="12" t="s">
        <v>314</v>
      </c>
      <c r="S58" s="12" t="s">
        <v>314</v>
      </c>
      <c r="T58" s="12" t="s">
        <v>307</v>
      </c>
      <c r="U58" s="12" t="s">
        <v>307</v>
      </c>
      <c r="V58" s="12" t="s">
        <v>83</v>
      </c>
      <c r="W58" s="12" t="s">
        <v>83</v>
      </c>
      <c r="X58" s="12" t="s">
        <v>22</v>
      </c>
      <c r="Y58" s="12" t="s">
        <v>306</v>
      </c>
      <c r="Z58" s="12" t="s">
        <v>328</v>
      </c>
      <c r="AA58" s="12" t="s">
        <v>334</v>
      </c>
      <c r="AB58" s="12">
        <v>14</v>
      </c>
      <c r="AC58" s="12">
        <v>30</v>
      </c>
      <c r="AD58" s="12" t="s">
        <v>328</v>
      </c>
      <c r="AE58" s="12" t="s">
        <v>334</v>
      </c>
      <c r="AF58" s="11">
        <v>46113.350370370368</v>
      </c>
      <c r="AG58" s="11">
        <v>46182.374108796299</v>
      </c>
      <c r="AH58" s="12" t="s">
        <v>339</v>
      </c>
    </row>
    <row r="59" spans="1:34" ht="29" x14ac:dyDescent="0.35">
      <c r="A59" s="11">
        <v>46181.338217592587</v>
      </c>
      <c r="B59" s="11">
        <v>46188.556851851848</v>
      </c>
      <c r="C59" s="12" t="s">
        <v>87</v>
      </c>
      <c r="D59" s="12" t="s">
        <v>103</v>
      </c>
      <c r="E59" s="12" t="s">
        <v>425</v>
      </c>
      <c r="F59" s="12" t="s">
        <v>426</v>
      </c>
      <c r="G59" s="12" t="s">
        <v>426</v>
      </c>
      <c r="H59" s="12" t="s">
        <v>81</v>
      </c>
      <c r="I59" s="12" t="s">
        <v>347</v>
      </c>
      <c r="J59" s="12" t="s">
        <v>77</v>
      </c>
      <c r="K59" s="12" t="s">
        <v>77</v>
      </c>
      <c r="L59" s="12" t="s">
        <v>310</v>
      </c>
      <c r="M59" s="12" t="s">
        <v>310</v>
      </c>
      <c r="N59" s="12" t="s">
        <v>310</v>
      </c>
      <c r="O59" s="12" t="s">
        <v>402</v>
      </c>
      <c r="P59" s="12" t="s">
        <v>402</v>
      </c>
      <c r="Q59" s="12" t="s">
        <v>228</v>
      </c>
      <c r="R59" s="12" t="s">
        <v>228</v>
      </c>
      <c r="S59" s="12" t="s">
        <v>228</v>
      </c>
      <c r="T59" s="12" t="s">
        <v>99</v>
      </c>
      <c r="U59" s="12" t="s">
        <v>84</v>
      </c>
      <c r="V59" s="12" t="s">
        <v>324</v>
      </c>
      <c r="W59" s="12" t="s">
        <v>324</v>
      </c>
      <c r="X59" s="12" t="s">
        <v>23</v>
      </c>
      <c r="Y59" s="12" t="s">
        <v>80</v>
      </c>
      <c r="Z59" s="12" t="s">
        <v>99</v>
      </c>
      <c r="AA59" s="12" t="s">
        <v>84</v>
      </c>
      <c r="AB59" s="12">
        <v>14</v>
      </c>
      <c r="AC59" s="12">
        <v>11</v>
      </c>
      <c r="AD59" s="12" t="s">
        <v>99</v>
      </c>
      <c r="AE59" s="12" t="s">
        <v>84</v>
      </c>
      <c r="AF59" s="11">
        <v>46178.54074074074</v>
      </c>
      <c r="AG59" s="11">
        <v>46182.376087962963</v>
      </c>
      <c r="AH59" s="12" t="s">
        <v>427</v>
      </c>
    </row>
    <row r="60" spans="1:34" ht="29" x14ac:dyDescent="0.35">
      <c r="A60" s="11">
        <v>46181.338217592587</v>
      </c>
      <c r="B60" s="11">
        <v>46188.556851851848</v>
      </c>
      <c r="C60" s="12" t="s">
        <v>87</v>
      </c>
      <c r="D60" s="12" t="s">
        <v>103</v>
      </c>
      <c r="E60" s="12" t="s">
        <v>425</v>
      </c>
      <c r="F60" s="12" t="s">
        <v>426</v>
      </c>
      <c r="G60" s="12" t="s">
        <v>426</v>
      </c>
      <c r="H60" s="12" t="s">
        <v>81</v>
      </c>
      <c r="I60" s="12" t="s">
        <v>347</v>
      </c>
      <c r="J60" s="12" t="s">
        <v>77</v>
      </c>
      <c r="K60" s="12" t="s">
        <v>77</v>
      </c>
      <c r="L60" s="12" t="s">
        <v>310</v>
      </c>
      <c r="M60" s="12" t="s">
        <v>310</v>
      </c>
      <c r="N60" s="12" t="s">
        <v>310</v>
      </c>
      <c r="O60" s="12" t="s">
        <v>402</v>
      </c>
      <c r="P60" s="12" t="s">
        <v>402</v>
      </c>
      <c r="Q60" s="12" t="s">
        <v>228</v>
      </c>
      <c r="R60" s="12" t="s">
        <v>228</v>
      </c>
      <c r="S60" s="12" t="s">
        <v>228</v>
      </c>
      <c r="T60" s="12" t="s">
        <v>99</v>
      </c>
      <c r="U60" s="12" t="s">
        <v>84</v>
      </c>
      <c r="V60" s="12" t="s">
        <v>324</v>
      </c>
      <c r="W60" s="12" t="s">
        <v>324</v>
      </c>
      <c r="X60" s="12" t="s">
        <v>22</v>
      </c>
      <c r="Y60" s="12" t="s">
        <v>306</v>
      </c>
      <c r="Z60" s="12" t="s">
        <v>347</v>
      </c>
      <c r="AA60" s="12" t="s">
        <v>77</v>
      </c>
      <c r="AB60" s="12">
        <v>14</v>
      </c>
      <c r="AC60" s="12">
        <v>14</v>
      </c>
      <c r="AD60" s="12" t="s">
        <v>347</v>
      </c>
      <c r="AE60" s="12" t="s">
        <v>77</v>
      </c>
      <c r="AF60" s="11">
        <v>46178.54074074074</v>
      </c>
      <c r="AG60" s="11">
        <v>46182.376087962963</v>
      </c>
      <c r="AH60" s="12" t="s">
        <v>427</v>
      </c>
    </row>
    <row r="61" spans="1:34" ht="29" x14ac:dyDescent="0.35">
      <c r="A61" s="11">
        <v>46181.338217592587</v>
      </c>
      <c r="B61" s="11">
        <v>46188.556851851848</v>
      </c>
      <c r="C61" s="12" t="s">
        <v>87</v>
      </c>
      <c r="D61" s="12" t="s">
        <v>103</v>
      </c>
      <c r="E61" s="12" t="s">
        <v>425</v>
      </c>
      <c r="F61" s="12" t="s">
        <v>426</v>
      </c>
      <c r="G61" s="12" t="s">
        <v>426</v>
      </c>
      <c r="H61" s="12" t="s">
        <v>81</v>
      </c>
      <c r="I61" s="12" t="s">
        <v>347</v>
      </c>
      <c r="J61" s="12" t="s">
        <v>77</v>
      </c>
      <c r="K61" s="12" t="s">
        <v>77</v>
      </c>
      <c r="L61" s="12" t="s">
        <v>310</v>
      </c>
      <c r="M61" s="12" t="s">
        <v>310</v>
      </c>
      <c r="N61" s="12" t="s">
        <v>310</v>
      </c>
      <c r="O61" s="12" t="s">
        <v>402</v>
      </c>
      <c r="P61" s="12" t="s">
        <v>402</v>
      </c>
      <c r="Q61" s="12" t="s">
        <v>228</v>
      </c>
      <c r="R61" s="12" t="s">
        <v>228</v>
      </c>
      <c r="S61" s="12" t="s">
        <v>228</v>
      </c>
      <c r="T61" s="12" t="s">
        <v>99</v>
      </c>
      <c r="U61" s="12" t="s">
        <v>84</v>
      </c>
      <c r="V61" s="12" t="s">
        <v>324</v>
      </c>
      <c r="W61" s="12" t="s">
        <v>324</v>
      </c>
      <c r="X61" s="12" t="s">
        <v>28</v>
      </c>
      <c r="Y61" s="12" t="s">
        <v>365</v>
      </c>
      <c r="Z61" s="12" t="s">
        <v>428</v>
      </c>
      <c r="AA61" s="12" t="s">
        <v>429</v>
      </c>
      <c r="AB61" s="12">
        <v>6</v>
      </c>
      <c r="AC61" s="12">
        <v>7</v>
      </c>
      <c r="AD61" s="12" t="s">
        <v>428</v>
      </c>
      <c r="AE61" s="12" t="s">
        <v>429</v>
      </c>
      <c r="AF61" s="11">
        <v>46178.54074074074</v>
      </c>
      <c r="AG61" s="11">
        <v>46182.376087962963</v>
      </c>
      <c r="AH61" s="12" t="s">
        <v>427</v>
      </c>
    </row>
    <row r="62" spans="1:34" ht="29" x14ac:dyDescent="0.35">
      <c r="A62" s="11">
        <v>46181.338217592587</v>
      </c>
      <c r="B62" s="11">
        <v>46188.556851851848</v>
      </c>
      <c r="C62" s="12" t="s">
        <v>87</v>
      </c>
      <c r="D62" s="12" t="s">
        <v>103</v>
      </c>
      <c r="E62" s="12" t="s">
        <v>449</v>
      </c>
      <c r="F62" s="12" t="s">
        <v>450</v>
      </c>
      <c r="G62" s="12" t="s">
        <v>450</v>
      </c>
      <c r="H62" s="12" t="s">
        <v>81</v>
      </c>
      <c r="I62" s="12" t="s">
        <v>316</v>
      </c>
      <c r="J62" s="12" t="s">
        <v>451</v>
      </c>
      <c r="K62" s="12" t="s">
        <v>451</v>
      </c>
      <c r="L62" s="12" t="s">
        <v>96</v>
      </c>
      <c r="M62" s="12" t="s">
        <v>96</v>
      </c>
      <c r="N62" s="12" t="s">
        <v>96</v>
      </c>
      <c r="O62" s="12" t="s">
        <v>263</v>
      </c>
      <c r="P62" s="12" t="s">
        <v>263</v>
      </c>
      <c r="Q62" s="12" t="s">
        <v>79</v>
      </c>
      <c r="R62" s="12" t="s">
        <v>79</v>
      </c>
      <c r="S62" s="12" t="s">
        <v>79</v>
      </c>
      <c r="T62" s="12" t="s">
        <v>307</v>
      </c>
      <c r="U62" s="12" t="s">
        <v>307</v>
      </c>
      <c r="V62" s="12" t="s">
        <v>100</v>
      </c>
      <c r="W62" s="12" t="s">
        <v>100</v>
      </c>
      <c r="X62" s="12" t="s">
        <v>22</v>
      </c>
      <c r="Y62" s="12" t="s">
        <v>306</v>
      </c>
      <c r="Z62" s="12" t="s">
        <v>316</v>
      </c>
      <c r="AA62" s="12" t="s">
        <v>451</v>
      </c>
      <c r="AB62" s="12">
        <v>30</v>
      </c>
      <c r="AC62" s="12">
        <v>30</v>
      </c>
      <c r="AD62" s="12" t="s">
        <v>316</v>
      </c>
      <c r="AE62" s="12" t="s">
        <v>451</v>
      </c>
      <c r="AF62" s="11">
        <v>46126.623437499999</v>
      </c>
      <c r="AG62" s="11">
        <v>46182.372754629629</v>
      </c>
      <c r="AH62" s="12" t="s">
        <v>452</v>
      </c>
    </row>
    <row r="63" spans="1:34" ht="29" x14ac:dyDescent="0.35">
      <c r="A63" s="11">
        <v>46181.338217592587</v>
      </c>
      <c r="B63" s="11">
        <v>46188.556851851848</v>
      </c>
      <c r="C63" s="12" t="s">
        <v>87</v>
      </c>
      <c r="D63" s="12" t="s">
        <v>103</v>
      </c>
      <c r="E63" s="12" t="s">
        <v>321</v>
      </c>
      <c r="F63" s="12" t="s">
        <v>322</v>
      </c>
      <c r="G63" s="12" t="s">
        <v>322</v>
      </c>
      <c r="H63" s="12" t="s">
        <v>81</v>
      </c>
      <c r="I63" s="12" t="s">
        <v>316</v>
      </c>
      <c r="J63" s="12" t="s">
        <v>323</v>
      </c>
      <c r="K63" s="12" t="s">
        <v>323</v>
      </c>
      <c r="L63" s="12" t="s">
        <v>96</v>
      </c>
      <c r="M63" s="12" t="s">
        <v>96</v>
      </c>
      <c r="N63" s="12" t="s">
        <v>96</v>
      </c>
      <c r="O63" s="12" t="s">
        <v>263</v>
      </c>
      <c r="P63" s="12" t="s">
        <v>263</v>
      </c>
      <c r="Q63" s="12" t="s">
        <v>79</v>
      </c>
      <c r="R63" s="12" t="s">
        <v>79</v>
      </c>
      <c r="S63" s="12" t="s">
        <v>79</v>
      </c>
      <c r="T63" s="12" t="s">
        <v>307</v>
      </c>
      <c r="U63" s="12" t="s">
        <v>307</v>
      </c>
      <c r="V63" s="12" t="s">
        <v>324</v>
      </c>
      <c r="W63" s="12" t="s">
        <v>324</v>
      </c>
      <c r="X63" s="12" t="s">
        <v>22</v>
      </c>
      <c r="Y63" s="12" t="s">
        <v>306</v>
      </c>
      <c r="Z63" s="12" t="s">
        <v>316</v>
      </c>
      <c r="AA63" s="12" t="s">
        <v>323</v>
      </c>
      <c r="AB63" s="12">
        <v>30</v>
      </c>
      <c r="AC63" s="12">
        <v>30</v>
      </c>
      <c r="AD63" s="12" t="s">
        <v>316</v>
      </c>
      <c r="AE63" s="12" t="s">
        <v>323</v>
      </c>
      <c r="AF63" s="11">
        <v>46126.623437499999</v>
      </c>
      <c r="AG63" s="11">
        <v>46182.372395833343</v>
      </c>
      <c r="AH63" s="12" t="s">
        <v>325</v>
      </c>
    </row>
    <row r="64" spans="1:34" ht="29" x14ac:dyDescent="0.35">
      <c r="A64" s="11">
        <v>46181.338217592587</v>
      </c>
      <c r="B64" s="11">
        <v>46188.556851851848</v>
      </c>
      <c r="C64" s="12" t="s">
        <v>87</v>
      </c>
      <c r="D64" s="12" t="s">
        <v>103</v>
      </c>
      <c r="E64" s="12" t="s">
        <v>332</v>
      </c>
      <c r="F64" s="12" t="s">
        <v>333</v>
      </c>
      <c r="G64" s="12" t="s">
        <v>333</v>
      </c>
      <c r="H64" s="12" t="s">
        <v>81</v>
      </c>
      <c r="I64" s="12" t="s">
        <v>328</v>
      </c>
      <c r="J64" s="12" t="s">
        <v>334</v>
      </c>
      <c r="K64" s="12" t="s">
        <v>334</v>
      </c>
      <c r="L64" s="12" t="s">
        <v>93</v>
      </c>
      <c r="M64" s="12" t="s">
        <v>93</v>
      </c>
      <c r="N64" s="12" t="s">
        <v>93</v>
      </c>
      <c r="O64" s="12" t="s">
        <v>402</v>
      </c>
      <c r="P64" s="12" t="s">
        <v>402</v>
      </c>
      <c r="Q64" s="12" t="s">
        <v>79</v>
      </c>
      <c r="R64" s="12" t="s">
        <v>79</v>
      </c>
      <c r="S64" s="12" t="s">
        <v>79</v>
      </c>
      <c r="T64" s="12" t="s">
        <v>197</v>
      </c>
      <c r="U64" s="12" t="s">
        <v>197</v>
      </c>
      <c r="V64" s="12" t="s">
        <v>324</v>
      </c>
      <c r="W64" s="12" t="s">
        <v>324</v>
      </c>
      <c r="X64" s="12" t="s">
        <v>22</v>
      </c>
      <c r="Y64" s="12" t="s">
        <v>306</v>
      </c>
      <c r="Z64" s="12" t="s">
        <v>328</v>
      </c>
      <c r="AA64" s="12" t="s">
        <v>334</v>
      </c>
      <c r="AB64" s="12">
        <v>14</v>
      </c>
      <c r="AC64" s="12">
        <v>30</v>
      </c>
      <c r="AD64" s="12" t="s">
        <v>328</v>
      </c>
      <c r="AE64" s="12" t="s">
        <v>334</v>
      </c>
      <c r="AF64" s="11">
        <v>46108.636631944442</v>
      </c>
      <c r="AG64" s="11">
        <v>46182.374120370368</v>
      </c>
      <c r="AH64" s="12" t="s">
        <v>335</v>
      </c>
    </row>
    <row r="65" spans="1:34" ht="29" x14ac:dyDescent="0.35">
      <c r="A65" s="11">
        <v>46181.338217592587</v>
      </c>
      <c r="B65" s="11">
        <v>46188.556851851848</v>
      </c>
      <c r="C65" s="12" t="s">
        <v>87</v>
      </c>
      <c r="D65" s="12" t="s">
        <v>103</v>
      </c>
      <c r="E65" s="12" t="s">
        <v>415</v>
      </c>
      <c r="F65" s="12" t="s">
        <v>416</v>
      </c>
      <c r="G65" s="12" t="s">
        <v>416</v>
      </c>
      <c r="H65" s="12" t="s">
        <v>81</v>
      </c>
      <c r="I65" s="12" t="s">
        <v>328</v>
      </c>
      <c r="J65" s="12" t="s">
        <v>77</v>
      </c>
      <c r="K65" s="12" t="s">
        <v>77</v>
      </c>
      <c r="L65" s="12" t="s">
        <v>96</v>
      </c>
      <c r="M65" s="12" t="s">
        <v>96</v>
      </c>
      <c r="N65" s="12" t="s">
        <v>96</v>
      </c>
      <c r="O65" s="12" t="s">
        <v>263</v>
      </c>
      <c r="P65" s="12" t="s">
        <v>263</v>
      </c>
      <c r="Q65" s="12" t="s">
        <v>79</v>
      </c>
      <c r="R65" s="12" t="s">
        <v>79</v>
      </c>
      <c r="S65" s="12" t="s">
        <v>79</v>
      </c>
      <c r="T65" s="12" t="s">
        <v>315</v>
      </c>
      <c r="U65" s="12" t="s">
        <v>315</v>
      </c>
      <c r="V65" s="12" t="s">
        <v>100</v>
      </c>
      <c r="W65" s="12" t="s">
        <v>100</v>
      </c>
      <c r="X65" s="12" t="s">
        <v>22</v>
      </c>
      <c r="Y65" s="12" t="s">
        <v>306</v>
      </c>
      <c r="Z65" s="12" t="s">
        <v>328</v>
      </c>
      <c r="AA65" s="12" t="s">
        <v>77</v>
      </c>
      <c r="AB65" s="12">
        <v>14</v>
      </c>
      <c r="AC65" s="12">
        <v>14</v>
      </c>
      <c r="AD65" s="12" t="s">
        <v>328</v>
      </c>
      <c r="AE65" s="12" t="s">
        <v>77</v>
      </c>
      <c r="AF65" s="11">
        <v>46155.424085648148</v>
      </c>
      <c r="AG65" s="11">
        <v>46183.414282407408</v>
      </c>
      <c r="AH65" s="12" t="s">
        <v>417</v>
      </c>
    </row>
    <row r="66" spans="1:34" ht="29" x14ac:dyDescent="0.35">
      <c r="A66" s="11">
        <v>46181.338217592587</v>
      </c>
      <c r="B66" s="11">
        <v>46188.556851851848</v>
      </c>
      <c r="C66" s="12" t="s">
        <v>87</v>
      </c>
      <c r="D66" s="12" t="s">
        <v>103</v>
      </c>
      <c r="E66" s="12" t="s">
        <v>436</v>
      </c>
      <c r="F66" s="12" t="s">
        <v>437</v>
      </c>
      <c r="G66" s="12" t="s">
        <v>437</v>
      </c>
      <c r="H66" s="12" t="s">
        <v>81</v>
      </c>
      <c r="I66" s="12" t="s">
        <v>328</v>
      </c>
      <c r="J66" s="12" t="s">
        <v>77</v>
      </c>
      <c r="K66" s="12" t="s">
        <v>77</v>
      </c>
      <c r="L66" s="12" t="s">
        <v>194</v>
      </c>
      <c r="M66" s="12" t="s">
        <v>194</v>
      </c>
      <c r="N66" s="12" t="s">
        <v>194</v>
      </c>
      <c r="O66" s="12" t="s">
        <v>263</v>
      </c>
      <c r="P66" s="12" t="s">
        <v>263</v>
      </c>
      <c r="Q66" s="12" t="s">
        <v>228</v>
      </c>
      <c r="R66" s="12" t="s">
        <v>228</v>
      </c>
      <c r="S66" s="12" t="s">
        <v>228</v>
      </c>
      <c r="T66" s="12" t="s">
        <v>110</v>
      </c>
      <c r="U66" s="12" t="s">
        <v>110</v>
      </c>
      <c r="V66" s="12" t="s">
        <v>83</v>
      </c>
      <c r="W66" s="12" t="s">
        <v>83</v>
      </c>
      <c r="X66" s="12" t="s">
        <v>22</v>
      </c>
      <c r="Y66" s="12" t="s">
        <v>306</v>
      </c>
      <c r="Z66" s="12" t="s">
        <v>328</v>
      </c>
      <c r="AA66" s="12" t="s">
        <v>77</v>
      </c>
      <c r="AB66" s="12">
        <v>14</v>
      </c>
      <c r="AC66" s="12">
        <v>14</v>
      </c>
      <c r="AD66" s="12" t="s">
        <v>328</v>
      </c>
      <c r="AE66" s="12" t="s">
        <v>77</v>
      </c>
      <c r="AF66" s="11">
        <v>46140.415717592587</v>
      </c>
      <c r="AG66" s="11">
        <v>46183.528483796297</v>
      </c>
      <c r="AH66" s="12" t="s">
        <v>438</v>
      </c>
    </row>
    <row r="67" spans="1:34" ht="29" x14ac:dyDescent="0.35">
      <c r="A67" s="11">
        <v>46181.338217592587</v>
      </c>
      <c r="B67" s="11">
        <v>46188.556851851848</v>
      </c>
      <c r="C67" s="12" t="s">
        <v>87</v>
      </c>
      <c r="D67" s="12" t="s">
        <v>103</v>
      </c>
      <c r="E67" s="12" t="s">
        <v>436</v>
      </c>
      <c r="F67" s="12" t="s">
        <v>437</v>
      </c>
      <c r="G67" s="12" t="s">
        <v>437</v>
      </c>
      <c r="H67" s="12" t="s">
        <v>81</v>
      </c>
      <c r="I67" s="12" t="s">
        <v>328</v>
      </c>
      <c r="J67" s="12" t="s">
        <v>77</v>
      </c>
      <c r="K67" s="12" t="s">
        <v>77</v>
      </c>
      <c r="L67" s="12" t="s">
        <v>194</v>
      </c>
      <c r="M67" s="12" t="s">
        <v>194</v>
      </c>
      <c r="N67" s="12" t="s">
        <v>194</v>
      </c>
      <c r="O67" s="12" t="s">
        <v>263</v>
      </c>
      <c r="P67" s="12" t="s">
        <v>263</v>
      </c>
      <c r="Q67" s="12" t="s">
        <v>228</v>
      </c>
      <c r="R67" s="12" t="s">
        <v>228</v>
      </c>
      <c r="S67" s="12" t="s">
        <v>228</v>
      </c>
      <c r="T67" s="12" t="s">
        <v>110</v>
      </c>
      <c r="U67" s="12" t="s">
        <v>110</v>
      </c>
      <c r="V67" s="12" t="s">
        <v>83</v>
      </c>
      <c r="W67" s="12" t="s">
        <v>83</v>
      </c>
      <c r="X67" s="12" t="s">
        <v>27</v>
      </c>
      <c r="Y67" s="12" t="s">
        <v>206</v>
      </c>
      <c r="Z67" s="12" t="s">
        <v>207</v>
      </c>
      <c r="AA67" s="12" t="s">
        <v>215</v>
      </c>
      <c r="AB67" s="12">
        <v>0</v>
      </c>
      <c r="AC67" s="12">
        <v>2</v>
      </c>
      <c r="AD67" s="12" t="s">
        <v>207</v>
      </c>
      <c r="AE67" s="12" t="s">
        <v>215</v>
      </c>
      <c r="AF67" s="11">
        <v>46140.415717592587</v>
      </c>
      <c r="AG67" s="11">
        <v>46183.528483796297</v>
      </c>
      <c r="AH67" s="12" t="s">
        <v>438</v>
      </c>
    </row>
    <row r="68" spans="1:34" ht="29" x14ac:dyDescent="0.35">
      <c r="A68" s="11">
        <v>46181.338217592587</v>
      </c>
      <c r="B68" s="11">
        <v>46188.556851851848</v>
      </c>
      <c r="C68" s="12" t="s">
        <v>87</v>
      </c>
      <c r="D68" s="12" t="s">
        <v>103</v>
      </c>
      <c r="E68" s="12" t="s">
        <v>418</v>
      </c>
      <c r="F68" s="12" t="s">
        <v>419</v>
      </c>
      <c r="G68" s="12" t="s">
        <v>419</v>
      </c>
      <c r="H68" s="12" t="s">
        <v>81</v>
      </c>
      <c r="I68" s="12" t="s">
        <v>328</v>
      </c>
      <c r="J68" s="12" t="s">
        <v>77</v>
      </c>
      <c r="K68" s="12" t="s">
        <v>77</v>
      </c>
      <c r="L68" s="12" t="s">
        <v>96</v>
      </c>
      <c r="M68" s="12" t="s">
        <v>96</v>
      </c>
      <c r="N68" s="12" t="s">
        <v>96</v>
      </c>
      <c r="O68" s="12" t="s">
        <v>263</v>
      </c>
      <c r="P68" s="12" t="s">
        <v>263</v>
      </c>
      <c r="Q68" s="12" t="s">
        <v>79</v>
      </c>
      <c r="R68" s="12" t="s">
        <v>79</v>
      </c>
      <c r="S68" s="12" t="s">
        <v>79</v>
      </c>
      <c r="T68" s="12" t="s">
        <v>307</v>
      </c>
      <c r="U68" s="12" t="s">
        <v>307</v>
      </c>
      <c r="V68" s="12" t="s">
        <v>324</v>
      </c>
      <c r="W68" s="12" t="s">
        <v>324</v>
      </c>
      <c r="X68" s="12" t="s">
        <v>22</v>
      </c>
      <c r="Y68" s="12" t="s">
        <v>306</v>
      </c>
      <c r="Z68" s="12" t="s">
        <v>328</v>
      </c>
      <c r="AA68" s="12" t="s">
        <v>77</v>
      </c>
      <c r="AB68" s="12">
        <v>14</v>
      </c>
      <c r="AC68" s="12">
        <v>14</v>
      </c>
      <c r="AD68" s="12" t="s">
        <v>328</v>
      </c>
      <c r="AE68" s="12" t="s">
        <v>77</v>
      </c>
      <c r="AF68" s="11">
        <v>46113.515613425923</v>
      </c>
      <c r="AG68" s="11">
        <v>46182.373379629629</v>
      </c>
      <c r="AH68" s="12" t="s">
        <v>420</v>
      </c>
    </row>
    <row r="69" spans="1:34" ht="29" x14ac:dyDescent="0.35">
      <c r="A69" s="11">
        <v>46181.338217592587</v>
      </c>
      <c r="B69" s="11">
        <v>46188.556851851848</v>
      </c>
      <c r="C69" s="12" t="s">
        <v>87</v>
      </c>
      <c r="D69" s="12" t="s">
        <v>103</v>
      </c>
      <c r="E69" s="12" t="s">
        <v>439</v>
      </c>
      <c r="F69" s="12" t="s">
        <v>440</v>
      </c>
      <c r="G69" s="12" t="s">
        <v>440</v>
      </c>
      <c r="H69" s="12" t="s">
        <v>81</v>
      </c>
      <c r="I69" s="12" t="s">
        <v>328</v>
      </c>
      <c r="J69" s="12" t="s">
        <v>77</v>
      </c>
      <c r="K69" s="12" t="s">
        <v>77</v>
      </c>
      <c r="L69" s="12" t="s">
        <v>194</v>
      </c>
      <c r="M69" s="12" t="s">
        <v>194</v>
      </c>
      <c r="N69" s="12" t="s">
        <v>194</v>
      </c>
      <c r="O69" s="12" t="s">
        <v>263</v>
      </c>
      <c r="P69" s="12" t="s">
        <v>263</v>
      </c>
      <c r="Q69" s="12" t="s">
        <v>228</v>
      </c>
      <c r="R69" s="12" t="s">
        <v>228</v>
      </c>
      <c r="S69" s="12" t="s">
        <v>228</v>
      </c>
      <c r="T69" s="12" t="s">
        <v>110</v>
      </c>
      <c r="U69" s="12" t="s">
        <v>110</v>
      </c>
      <c r="V69" s="12" t="s">
        <v>324</v>
      </c>
      <c r="W69" s="12" t="s">
        <v>324</v>
      </c>
      <c r="X69" s="12" t="s">
        <v>22</v>
      </c>
      <c r="Y69" s="12" t="s">
        <v>306</v>
      </c>
      <c r="Z69" s="12" t="s">
        <v>328</v>
      </c>
      <c r="AA69" s="12" t="s">
        <v>77</v>
      </c>
      <c r="AB69" s="12">
        <v>14</v>
      </c>
      <c r="AC69" s="12">
        <v>14</v>
      </c>
      <c r="AD69" s="12" t="s">
        <v>328</v>
      </c>
      <c r="AE69" s="12" t="s">
        <v>77</v>
      </c>
      <c r="AF69" s="11">
        <v>46149.615219907413</v>
      </c>
      <c r="AG69" s="11">
        <v>46185.51326388889</v>
      </c>
      <c r="AH69" s="12" t="s">
        <v>441</v>
      </c>
    </row>
    <row r="70" spans="1:34" ht="29" x14ac:dyDescent="0.35">
      <c r="A70" s="11">
        <v>46181.338217592587</v>
      </c>
      <c r="B70" s="11">
        <v>46188.556851851848</v>
      </c>
      <c r="C70" s="12" t="s">
        <v>87</v>
      </c>
      <c r="D70" s="12" t="s">
        <v>103</v>
      </c>
      <c r="E70" s="12" t="s">
        <v>430</v>
      </c>
      <c r="F70" s="12" t="s">
        <v>431</v>
      </c>
      <c r="G70" s="12" t="s">
        <v>431</v>
      </c>
      <c r="H70" s="12" t="s">
        <v>81</v>
      </c>
      <c r="I70" s="12" t="s">
        <v>328</v>
      </c>
      <c r="J70" s="12" t="s">
        <v>77</v>
      </c>
      <c r="K70" s="12" t="s">
        <v>77</v>
      </c>
      <c r="L70" s="12" t="s">
        <v>310</v>
      </c>
      <c r="M70" s="12" t="s">
        <v>310</v>
      </c>
      <c r="N70" s="12" t="s">
        <v>310</v>
      </c>
      <c r="O70" s="12" t="s">
        <v>402</v>
      </c>
      <c r="P70" s="12" t="s">
        <v>402</v>
      </c>
      <c r="Q70" s="12" t="s">
        <v>228</v>
      </c>
      <c r="R70" s="12" t="s">
        <v>228</v>
      </c>
      <c r="S70" s="12" t="s">
        <v>228</v>
      </c>
      <c r="T70" s="12" t="s">
        <v>110</v>
      </c>
      <c r="U70" s="12" t="s">
        <v>110</v>
      </c>
      <c r="V70" s="12" t="s">
        <v>324</v>
      </c>
      <c r="W70" s="12" t="s">
        <v>324</v>
      </c>
      <c r="X70" s="12" t="s">
        <v>22</v>
      </c>
      <c r="Y70" s="12" t="s">
        <v>306</v>
      </c>
      <c r="Z70" s="12" t="s">
        <v>328</v>
      </c>
      <c r="AA70" s="12" t="s">
        <v>77</v>
      </c>
      <c r="AB70" s="12">
        <v>14</v>
      </c>
      <c r="AC70" s="12">
        <v>14</v>
      </c>
      <c r="AD70" s="12" t="s">
        <v>328</v>
      </c>
      <c r="AE70" s="12" t="s">
        <v>77</v>
      </c>
      <c r="AF70" s="11">
        <v>46155.316643518519</v>
      </c>
      <c r="AG70" s="11">
        <v>46182.375844907408</v>
      </c>
      <c r="AH70" s="12" t="s">
        <v>432</v>
      </c>
    </row>
    <row r="71" spans="1:34" ht="29" x14ac:dyDescent="0.35">
      <c r="A71" s="11">
        <v>46181.338217592587</v>
      </c>
      <c r="B71" s="11">
        <v>46188.556851851848</v>
      </c>
      <c r="C71" s="12" t="s">
        <v>87</v>
      </c>
      <c r="D71" s="12" t="s">
        <v>103</v>
      </c>
      <c r="E71" s="12" t="s">
        <v>75</v>
      </c>
      <c r="F71" s="12" t="s">
        <v>76</v>
      </c>
      <c r="G71" s="12" t="s">
        <v>76</v>
      </c>
      <c r="H71" s="12" t="s">
        <v>81</v>
      </c>
      <c r="I71" s="12" t="s">
        <v>77</v>
      </c>
      <c r="J71" s="12" t="s">
        <v>77</v>
      </c>
      <c r="K71" s="12" t="s">
        <v>77</v>
      </c>
      <c r="L71" s="12" t="s">
        <v>78</v>
      </c>
      <c r="M71" s="12" t="s">
        <v>93</v>
      </c>
      <c r="N71" s="12" t="s">
        <v>93</v>
      </c>
      <c r="O71" s="12" t="s">
        <v>402</v>
      </c>
      <c r="P71" s="12" t="s">
        <v>402</v>
      </c>
      <c r="Q71" s="12" t="s">
        <v>79</v>
      </c>
      <c r="R71" s="12" t="s">
        <v>79</v>
      </c>
      <c r="S71" s="12" t="s">
        <v>79</v>
      </c>
      <c r="T71" s="12" t="s">
        <v>82</v>
      </c>
      <c r="U71" s="12" t="s">
        <v>82</v>
      </c>
      <c r="V71" s="12" t="s">
        <v>83</v>
      </c>
      <c r="W71" s="12" t="s">
        <v>83</v>
      </c>
      <c r="X71" s="12" t="s">
        <v>24</v>
      </c>
      <c r="Y71" s="12" t="s">
        <v>92</v>
      </c>
      <c r="Z71" s="12" t="s">
        <v>78</v>
      </c>
      <c r="AA71" s="12" t="s">
        <v>93</v>
      </c>
      <c r="AB71" s="12">
        <v>13</v>
      </c>
      <c r="AC71" s="12">
        <v>7</v>
      </c>
      <c r="AD71" s="12" t="s">
        <v>78</v>
      </c>
      <c r="AE71" s="12" t="s">
        <v>93</v>
      </c>
      <c r="AF71" s="11">
        <v>46178.661608796298</v>
      </c>
      <c r="AG71" s="11">
        <v>46182.384594907409</v>
      </c>
      <c r="AH71" s="12" t="s">
        <v>85</v>
      </c>
    </row>
    <row r="72" spans="1:34" ht="29" x14ac:dyDescent="0.35">
      <c r="A72" s="11">
        <v>46181.338217592587</v>
      </c>
      <c r="B72" s="11">
        <v>46188.556851851848</v>
      </c>
      <c r="C72" s="12" t="s">
        <v>87</v>
      </c>
      <c r="D72" s="12" t="s">
        <v>103</v>
      </c>
      <c r="E72" s="12" t="s">
        <v>442</v>
      </c>
      <c r="F72" s="12" t="s">
        <v>443</v>
      </c>
      <c r="G72" s="12" t="s">
        <v>443</v>
      </c>
      <c r="H72" s="12" t="s">
        <v>81</v>
      </c>
      <c r="I72" s="12" t="s">
        <v>328</v>
      </c>
      <c r="J72" s="12" t="s">
        <v>77</v>
      </c>
      <c r="K72" s="12" t="s">
        <v>77</v>
      </c>
      <c r="L72" s="12" t="s">
        <v>194</v>
      </c>
      <c r="M72" s="12" t="s">
        <v>194</v>
      </c>
      <c r="N72" s="12" t="s">
        <v>194</v>
      </c>
      <c r="O72" s="12" t="s">
        <v>263</v>
      </c>
      <c r="P72" s="12" t="s">
        <v>263</v>
      </c>
      <c r="Q72" s="12" t="s">
        <v>228</v>
      </c>
      <c r="R72" s="12" t="s">
        <v>228</v>
      </c>
      <c r="S72" s="12" t="s">
        <v>228</v>
      </c>
      <c r="T72" s="12" t="s">
        <v>307</v>
      </c>
      <c r="U72" s="12" t="s">
        <v>307</v>
      </c>
      <c r="V72" s="12" t="s">
        <v>100</v>
      </c>
      <c r="W72" s="12" t="s">
        <v>100</v>
      </c>
      <c r="X72" s="12" t="s">
        <v>22</v>
      </c>
      <c r="Y72" s="12" t="s">
        <v>306</v>
      </c>
      <c r="Z72" s="12" t="s">
        <v>328</v>
      </c>
      <c r="AA72" s="12" t="s">
        <v>77</v>
      </c>
      <c r="AB72" s="12">
        <v>14</v>
      </c>
      <c r="AC72" s="12">
        <v>14</v>
      </c>
      <c r="AD72" s="12" t="s">
        <v>328</v>
      </c>
      <c r="AE72" s="12" t="s">
        <v>77</v>
      </c>
      <c r="AF72" s="11">
        <v>46177.609895833331</v>
      </c>
      <c r="AG72" s="11">
        <v>46182.373796296299</v>
      </c>
      <c r="AH72" s="12" t="s">
        <v>444</v>
      </c>
    </row>
    <row r="73" spans="1:34" ht="29" x14ac:dyDescent="0.35">
      <c r="A73" s="11">
        <v>46181.338217592587</v>
      </c>
      <c r="B73" s="11">
        <v>46188.556851851848</v>
      </c>
      <c r="C73" s="12" t="s">
        <v>87</v>
      </c>
      <c r="D73" s="12" t="s">
        <v>103</v>
      </c>
      <c r="E73" s="12" t="s">
        <v>340</v>
      </c>
      <c r="F73" s="12" t="s">
        <v>341</v>
      </c>
      <c r="G73" s="12" t="s">
        <v>341</v>
      </c>
      <c r="H73" s="12" t="s">
        <v>81</v>
      </c>
      <c r="I73" s="12" t="s">
        <v>328</v>
      </c>
      <c r="J73" s="12" t="s">
        <v>334</v>
      </c>
      <c r="K73" s="12" t="s">
        <v>334</v>
      </c>
      <c r="L73" s="12" t="s">
        <v>342</v>
      </c>
      <c r="M73" s="12" t="s">
        <v>342</v>
      </c>
      <c r="N73" s="12" t="s">
        <v>342</v>
      </c>
      <c r="O73" s="12" t="s">
        <v>402</v>
      </c>
      <c r="P73" s="12" t="s">
        <v>402</v>
      </c>
      <c r="Q73" s="12" t="s">
        <v>228</v>
      </c>
      <c r="R73" s="12" t="s">
        <v>228</v>
      </c>
      <c r="S73" s="12" t="s">
        <v>228</v>
      </c>
      <c r="T73" s="12" t="s">
        <v>343</v>
      </c>
      <c r="U73" s="12" t="s">
        <v>343</v>
      </c>
      <c r="V73" s="12" t="s">
        <v>100</v>
      </c>
      <c r="W73" s="12" t="s">
        <v>100</v>
      </c>
      <c r="X73" s="12" t="s">
        <v>22</v>
      </c>
      <c r="Y73" s="12" t="s">
        <v>306</v>
      </c>
      <c r="Z73" s="12" t="s">
        <v>328</v>
      </c>
      <c r="AA73" s="12" t="s">
        <v>334</v>
      </c>
      <c r="AB73" s="12">
        <v>14</v>
      </c>
      <c r="AC73" s="12">
        <v>30</v>
      </c>
      <c r="AD73" s="12" t="s">
        <v>328</v>
      </c>
      <c r="AE73" s="12" t="s">
        <v>334</v>
      </c>
      <c r="AF73" s="11">
        <v>46163.440266203703</v>
      </c>
      <c r="AG73" s="11">
        <v>46182.374097222222</v>
      </c>
      <c r="AH73" s="12" t="s">
        <v>344</v>
      </c>
    </row>
    <row r="74" spans="1:34" ht="29" x14ac:dyDescent="0.35">
      <c r="A74" s="11">
        <v>46181.338217592587</v>
      </c>
      <c r="B74" s="11">
        <v>46188.556851851848</v>
      </c>
      <c r="C74" s="12" t="s">
        <v>87</v>
      </c>
      <c r="D74" s="12" t="s">
        <v>103</v>
      </c>
      <c r="E74" s="12" t="s">
        <v>433</v>
      </c>
      <c r="F74" s="12" t="s">
        <v>434</v>
      </c>
      <c r="G74" s="12" t="s">
        <v>434</v>
      </c>
      <c r="H74" s="12" t="s">
        <v>81</v>
      </c>
      <c r="I74" s="12" t="s">
        <v>328</v>
      </c>
      <c r="J74" s="12" t="s">
        <v>77</v>
      </c>
      <c r="K74" s="12" t="s">
        <v>77</v>
      </c>
      <c r="L74" s="12" t="s">
        <v>310</v>
      </c>
      <c r="M74" s="12" t="s">
        <v>310</v>
      </c>
      <c r="N74" s="12" t="s">
        <v>310</v>
      </c>
      <c r="O74" s="12" t="s">
        <v>402</v>
      </c>
      <c r="P74" s="12" t="s">
        <v>402</v>
      </c>
      <c r="Q74" s="12" t="s">
        <v>228</v>
      </c>
      <c r="R74" s="12" t="s">
        <v>228</v>
      </c>
      <c r="S74" s="12" t="s">
        <v>228</v>
      </c>
      <c r="T74" s="12" t="s">
        <v>110</v>
      </c>
      <c r="U74" s="12" t="s">
        <v>110</v>
      </c>
      <c r="V74" s="12" t="s">
        <v>324</v>
      </c>
      <c r="W74" s="12" t="s">
        <v>324</v>
      </c>
      <c r="X74" s="12" t="s">
        <v>22</v>
      </c>
      <c r="Y74" s="12" t="s">
        <v>306</v>
      </c>
      <c r="Z74" s="12" t="s">
        <v>328</v>
      </c>
      <c r="AA74" s="12" t="s">
        <v>77</v>
      </c>
      <c r="AB74" s="12">
        <v>14</v>
      </c>
      <c r="AC74" s="12">
        <v>14</v>
      </c>
      <c r="AD74" s="12" t="s">
        <v>328</v>
      </c>
      <c r="AE74" s="12" t="s">
        <v>77</v>
      </c>
      <c r="AF74" s="11">
        <v>46169.533229166656</v>
      </c>
      <c r="AG74" s="11">
        <v>46182.37568287037</v>
      </c>
      <c r="AH74" s="12" t="s">
        <v>435</v>
      </c>
    </row>
    <row r="75" spans="1:34" ht="29" x14ac:dyDescent="0.35">
      <c r="A75" s="11">
        <v>46181.338217592587</v>
      </c>
      <c r="B75" s="11">
        <v>46188.556851851848</v>
      </c>
      <c r="C75" s="12" t="s">
        <v>87</v>
      </c>
      <c r="D75" s="12" t="s">
        <v>103</v>
      </c>
      <c r="E75" s="12" t="s">
        <v>258</v>
      </c>
      <c r="F75" s="12" t="s">
        <v>259</v>
      </c>
      <c r="G75" s="12" t="s">
        <v>259</v>
      </c>
      <c r="H75" s="12" t="s">
        <v>81</v>
      </c>
      <c r="I75" s="12"/>
      <c r="J75" s="12"/>
      <c r="K75" s="12"/>
      <c r="L75" s="12" t="s">
        <v>194</v>
      </c>
      <c r="M75" s="12" t="s">
        <v>260</v>
      </c>
      <c r="N75" s="12" t="s">
        <v>260</v>
      </c>
      <c r="O75" s="12" t="s">
        <v>263</v>
      </c>
      <c r="P75" s="12" t="s">
        <v>264</v>
      </c>
      <c r="Q75" s="12" t="s">
        <v>195</v>
      </c>
      <c r="R75" s="12" t="s">
        <v>195</v>
      </c>
      <c r="S75" s="12" t="s">
        <v>195</v>
      </c>
      <c r="T75" s="12" t="s">
        <v>197</v>
      </c>
      <c r="U75" s="12" t="s">
        <v>99</v>
      </c>
      <c r="V75" s="12" t="s">
        <v>100</v>
      </c>
      <c r="W75" s="12" t="s">
        <v>100</v>
      </c>
      <c r="X75" s="12" t="s">
        <v>24</v>
      </c>
      <c r="Y75" s="12" t="s">
        <v>92</v>
      </c>
      <c r="Z75" s="12" t="s">
        <v>194</v>
      </c>
      <c r="AA75" s="12" t="s">
        <v>260</v>
      </c>
      <c r="AB75" s="12">
        <v>6</v>
      </c>
      <c r="AC75" s="12">
        <v>6</v>
      </c>
      <c r="AD75" s="12" t="s">
        <v>194</v>
      </c>
      <c r="AE75" s="12" t="s">
        <v>260</v>
      </c>
      <c r="AF75" s="11">
        <v>46168.408171296287</v>
      </c>
      <c r="AG75" s="11">
        <v>46181.547129629631</v>
      </c>
      <c r="AH75" s="12" t="s">
        <v>261</v>
      </c>
    </row>
    <row r="76" spans="1:34" ht="29" x14ac:dyDescent="0.35">
      <c r="A76" s="11">
        <v>46181.338217592587</v>
      </c>
      <c r="B76" s="11">
        <v>46188.556851851848</v>
      </c>
      <c r="C76" s="12" t="s">
        <v>87</v>
      </c>
      <c r="D76" s="12" t="s">
        <v>103</v>
      </c>
      <c r="E76" s="12" t="s">
        <v>258</v>
      </c>
      <c r="F76" s="12" t="s">
        <v>259</v>
      </c>
      <c r="G76" s="12" t="s">
        <v>259</v>
      </c>
      <c r="H76" s="12" t="s">
        <v>81</v>
      </c>
      <c r="I76" s="12"/>
      <c r="J76" s="12"/>
      <c r="K76" s="12"/>
      <c r="L76" s="12" t="s">
        <v>194</v>
      </c>
      <c r="M76" s="12" t="s">
        <v>260</v>
      </c>
      <c r="N76" s="12" t="s">
        <v>260</v>
      </c>
      <c r="O76" s="12" t="s">
        <v>263</v>
      </c>
      <c r="P76" s="12" t="s">
        <v>264</v>
      </c>
      <c r="Q76" s="12" t="s">
        <v>195</v>
      </c>
      <c r="R76" s="12" t="s">
        <v>195</v>
      </c>
      <c r="S76" s="12" t="s">
        <v>195</v>
      </c>
      <c r="T76" s="12" t="s">
        <v>197</v>
      </c>
      <c r="U76" s="12" t="s">
        <v>99</v>
      </c>
      <c r="V76" s="12" t="s">
        <v>100</v>
      </c>
      <c r="W76" s="12" t="s">
        <v>100</v>
      </c>
      <c r="X76" s="12" t="s">
        <v>25</v>
      </c>
      <c r="Y76" s="12" t="s">
        <v>262</v>
      </c>
      <c r="Z76" s="12" t="s">
        <v>263</v>
      </c>
      <c r="AA76" s="12" t="s">
        <v>264</v>
      </c>
      <c r="AB76" s="12">
        <v>3</v>
      </c>
      <c r="AC76" s="12">
        <v>4</v>
      </c>
      <c r="AD76" s="12" t="s">
        <v>263</v>
      </c>
      <c r="AE76" s="12" t="s">
        <v>264</v>
      </c>
      <c r="AF76" s="11">
        <v>46168.408171296287</v>
      </c>
      <c r="AG76" s="11">
        <v>46181.547129629631</v>
      </c>
      <c r="AH76" s="12" t="s">
        <v>261</v>
      </c>
    </row>
    <row r="77" spans="1:34" ht="29" x14ac:dyDescent="0.35">
      <c r="A77" s="11">
        <v>46181.338217592587</v>
      </c>
      <c r="B77" s="11">
        <v>46188.556851851848</v>
      </c>
      <c r="C77" s="12" t="s">
        <v>87</v>
      </c>
      <c r="D77" s="12" t="s">
        <v>103</v>
      </c>
      <c r="E77" s="12" t="s">
        <v>258</v>
      </c>
      <c r="F77" s="12" t="s">
        <v>259</v>
      </c>
      <c r="G77" s="12" t="s">
        <v>259</v>
      </c>
      <c r="H77" s="12" t="s">
        <v>81</v>
      </c>
      <c r="I77" s="12"/>
      <c r="J77" s="12"/>
      <c r="K77" s="12"/>
      <c r="L77" s="12" t="s">
        <v>194</v>
      </c>
      <c r="M77" s="12" t="s">
        <v>260</v>
      </c>
      <c r="N77" s="12" t="s">
        <v>260</v>
      </c>
      <c r="O77" s="12" t="s">
        <v>263</v>
      </c>
      <c r="P77" s="12" t="s">
        <v>264</v>
      </c>
      <c r="Q77" s="12" t="s">
        <v>195</v>
      </c>
      <c r="R77" s="12" t="s">
        <v>195</v>
      </c>
      <c r="S77" s="12" t="s">
        <v>195</v>
      </c>
      <c r="T77" s="12" t="s">
        <v>197</v>
      </c>
      <c r="U77" s="12" t="s">
        <v>99</v>
      </c>
      <c r="V77" s="12" t="s">
        <v>100</v>
      </c>
      <c r="W77" s="12" t="s">
        <v>100</v>
      </c>
      <c r="X77" s="12" t="s">
        <v>23</v>
      </c>
      <c r="Y77" s="12" t="s">
        <v>80</v>
      </c>
      <c r="Z77" s="12" t="s">
        <v>197</v>
      </c>
      <c r="AA77" s="12" t="s">
        <v>99</v>
      </c>
      <c r="AB77" s="12">
        <v>11</v>
      </c>
      <c r="AC77" s="12">
        <v>14</v>
      </c>
      <c r="AD77" s="12" t="s">
        <v>197</v>
      </c>
      <c r="AE77" s="12" t="s">
        <v>99</v>
      </c>
      <c r="AF77" s="11">
        <v>46168.408171296287</v>
      </c>
      <c r="AG77" s="11">
        <v>46181.547129629631</v>
      </c>
      <c r="AH77" s="12" t="s">
        <v>261</v>
      </c>
    </row>
    <row r="78" spans="1:34" ht="29" x14ac:dyDescent="0.35">
      <c r="A78" s="11">
        <v>46181.338217592587</v>
      </c>
      <c r="B78" s="11">
        <v>46188.556851851848</v>
      </c>
      <c r="C78" s="12" t="s">
        <v>87</v>
      </c>
      <c r="D78" s="12" t="s">
        <v>103</v>
      </c>
      <c r="E78" s="12" t="s">
        <v>258</v>
      </c>
      <c r="F78" s="12" t="s">
        <v>259</v>
      </c>
      <c r="G78" s="12" t="s">
        <v>259</v>
      </c>
      <c r="H78" s="12" t="s">
        <v>81</v>
      </c>
      <c r="I78" s="12"/>
      <c r="J78" s="12"/>
      <c r="K78" s="12"/>
      <c r="L78" s="12" t="s">
        <v>194</v>
      </c>
      <c r="M78" s="12" t="s">
        <v>260</v>
      </c>
      <c r="N78" s="12" t="s">
        <v>260</v>
      </c>
      <c r="O78" s="12" t="s">
        <v>263</v>
      </c>
      <c r="P78" s="12" t="s">
        <v>264</v>
      </c>
      <c r="Q78" s="12" t="s">
        <v>195</v>
      </c>
      <c r="R78" s="12" t="s">
        <v>195</v>
      </c>
      <c r="S78" s="12" t="s">
        <v>195</v>
      </c>
      <c r="T78" s="12" t="s">
        <v>197</v>
      </c>
      <c r="U78" s="12" t="s">
        <v>99</v>
      </c>
      <c r="V78" s="12" t="s">
        <v>100</v>
      </c>
      <c r="W78" s="12" t="s">
        <v>100</v>
      </c>
      <c r="X78" s="12" t="s">
        <v>26</v>
      </c>
      <c r="Y78" s="12" t="s">
        <v>265</v>
      </c>
      <c r="Z78" s="12" t="s">
        <v>266</v>
      </c>
      <c r="AA78" s="12" t="s">
        <v>267</v>
      </c>
      <c r="AB78" s="12">
        <v>10</v>
      </c>
      <c r="AC78" s="12">
        <v>7</v>
      </c>
      <c r="AD78" s="12" t="s">
        <v>266</v>
      </c>
      <c r="AE78" s="12" t="s">
        <v>267</v>
      </c>
      <c r="AF78" s="11">
        <v>46168.408171296287</v>
      </c>
      <c r="AG78" s="11">
        <v>46181.547129629631</v>
      </c>
      <c r="AH78" s="12" t="s">
        <v>261</v>
      </c>
    </row>
    <row r="79" spans="1:34" ht="29" x14ac:dyDescent="0.35">
      <c r="A79" s="11">
        <v>46181.338217592587</v>
      </c>
      <c r="B79" s="11">
        <v>46188.556851851848</v>
      </c>
      <c r="C79" s="12" t="s">
        <v>87</v>
      </c>
      <c r="D79" s="12" t="s">
        <v>103</v>
      </c>
      <c r="E79" s="12" t="s">
        <v>268</v>
      </c>
      <c r="F79" s="12" t="s">
        <v>269</v>
      </c>
      <c r="G79" s="12" t="s">
        <v>269</v>
      </c>
      <c r="H79" s="12" t="s">
        <v>81</v>
      </c>
      <c r="I79" s="12"/>
      <c r="J79" s="12"/>
      <c r="K79" s="12"/>
      <c r="L79" s="12" t="s">
        <v>194</v>
      </c>
      <c r="M79" s="12" t="s">
        <v>260</v>
      </c>
      <c r="N79" s="12" t="s">
        <v>260</v>
      </c>
      <c r="O79" s="12" t="s">
        <v>263</v>
      </c>
      <c r="P79" s="12" t="s">
        <v>264</v>
      </c>
      <c r="Q79" s="12" t="s">
        <v>195</v>
      </c>
      <c r="R79" s="12" t="s">
        <v>195</v>
      </c>
      <c r="S79" s="12" t="s">
        <v>195</v>
      </c>
      <c r="T79" s="12" t="s">
        <v>197</v>
      </c>
      <c r="U79" s="12" t="s">
        <v>99</v>
      </c>
      <c r="V79" s="12" t="s">
        <v>100</v>
      </c>
      <c r="W79" s="12" t="s">
        <v>100</v>
      </c>
      <c r="X79" s="12" t="s">
        <v>24</v>
      </c>
      <c r="Y79" s="12" t="s">
        <v>92</v>
      </c>
      <c r="Z79" s="12" t="s">
        <v>194</v>
      </c>
      <c r="AA79" s="12" t="s">
        <v>260</v>
      </c>
      <c r="AB79" s="12">
        <v>6</v>
      </c>
      <c r="AC79" s="12">
        <v>6</v>
      </c>
      <c r="AD79" s="12" t="s">
        <v>194</v>
      </c>
      <c r="AE79" s="12" t="s">
        <v>260</v>
      </c>
      <c r="AF79" s="11">
        <v>46168.590578703697</v>
      </c>
      <c r="AG79" s="11">
        <v>46181.648101851853</v>
      </c>
      <c r="AH79" s="12" t="s">
        <v>270</v>
      </c>
    </row>
    <row r="80" spans="1:34" ht="29" x14ac:dyDescent="0.35">
      <c r="A80" s="11">
        <v>46181.338217592587</v>
      </c>
      <c r="B80" s="11">
        <v>46188.556851851848</v>
      </c>
      <c r="C80" s="12" t="s">
        <v>87</v>
      </c>
      <c r="D80" s="12" t="s">
        <v>103</v>
      </c>
      <c r="E80" s="12" t="s">
        <v>268</v>
      </c>
      <c r="F80" s="12" t="s">
        <v>269</v>
      </c>
      <c r="G80" s="12" t="s">
        <v>269</v>
      </c>
      <c r="H80" s="12" t="s">
        <v>81</v>
      </c>
      <c r="I80" s="12"/>
      <c r="J80" s="12"/>
      <c r="K80" s="12"/>
      <c r="L80" s="12" t="s">
        <v>194</v>
      </c>
      <c r="M80" s="12" t="s">
        <v>260</v>
      </c>
      <c r="N80" s="12" t="s">
        <v>260</v>
      </c>
      <c r="O80" s="12" t="s">
        <v>263</v>
      </c>
      <c r="P80" s="12" t="s">
        <v>264</v>
      </c>
      <c r="Q80" s="12" t="s">
        <v>195</v>
      </c>
      <c r="R80" s="12" t="s">
        <v>195</v>
      </c>
      <c r="S80" s="12" t="s">
        <v>195</v>
      </c>
      <c r="T80" s="12" t="s">
        <v>197</v>
      </c>
      <c r="U80" s="12" t="s">
        <v>99</v>
      </c>
      <c r="V80" s="12" t="s">
        <v>100</v>
      </c>
      <c r="W80" s="12" t="s">
        <v>100</v>
      </c>
      <c r="X80" s="12" t="s">
        <v>25</v>
      </c>
      <c r="Y80" s="12" t="s">
        <v>262</v>
      </c>
      <c r="Z80" s="12" t="s">
        <v>263</v>
      </c>
      <c r="AA80" s="12" t="s">
        <v>264</v>
      </c>
      <c r="AB80" s="12">
        <v>3</v>
      </c>
      <c r="AC80" s="12">
        <v>4</v>
      </c>
      <c r="AD80" s="12" t="s">
        <v>263</v>
      </c>
      <c r="AE80" s="12" t="s">
        <v>264</v>
      </c>
      <c r="AF80" s="11">
        <v>46168.590578703697</v>
      </c>
      <c r="AG80" s="11">
        <v>46181.648101851853</v>
      </c>
      <c r="AH80" s="12" t="s">
        <v>270</v>
      </c>
    </row>
    <row r="81" spans="1:34" ht="29" x14ac:dyDescent="0.35">
      <c r="A81" s="11">
        <v>46181.338217592587</v>
      </c>
      <c r="B81" s="11">
        <v>46188.556851851848</v>
      </c>
      <c r="C81" s="12" t="s">
        <v>87</v>
      </c>
      <c r="D81" s="12" t="s">
        <v>103</v>
      </c>
      <c r="E81" s="12" t="s">
        <v>268</v>
      </c>
      <c r="F81" s="12" t="s">
        <v>269</v>
      </c>
      <c r="G81" s="12" t="s">
        <v>269</v>
      </c>
      <c r="H81" s="12" t="s">
        <v>81</v>
      </c>
      <c r="I81" s="12"/>
      <c r="J81" s="12"/>
      <c r="K81" s="12"/>
      <c r="L81" s="12" t="s">
        <v>194</v>
      </c>
      <c r="M81" s="12" t="s">
        <v>260</v>
      </c>
      <c r="N81" s="12" t="s">
        <v>260</v>
      </c>
      <c r="O81" s="12" t="s">
        <v>263</v>
      </c>
      <c r="P81" s="12" t="s">
        <v>264</v>
      </c>
      <c r="Q81" s="12" t="s">
        <v>195</v>
      </c>
      <c r="R81" s="12" t="s">
        <v>195</v>
      </c>
      <c r="S81" s="12" t="s">
        <v>195</v>
      </c>
      <c r="T81" s="12" t="s">
        <v>197</v>
      </c>
      <c r="U81" s="12" t="s">
        <v>99</v>
      </c>
      <c r="V81" s="12" t="s">
        <v>100</v>
      </c>
      <c r="W81" s="12" t="s">
        <v>100</v>
      </c>
      <c r="X81" s="12" t="s">
        <v>23</v>
      </c>
      <c r="Y81" s="12" t="s">
        <v>80</v>
      </c>
      <c r="Z81" s="12" t="s">
        <v>197</v>
      </c>
      <c r="AA81" s="12" t="s">
        <v>99</v>
      </c>
      <c r="AB81" s="12">
        <v>11</v>
      </c>
      <c r="AC81" s="12">
        <v>14</v>
      </c>
      <c r="AD81" s="12" t="s">
        <v>197</v>
      </c>
      <c r="AE81" s="12" t="s">
        <v>99</v>
      </c>
      <c r="AF81" s="11">
        <v>46168.590578703697</v>
      </c>
      <c r="AG81" s="11">
        <v>46181.648101851853</v>
      </c>
      <c r="AH81" s="12" t="s">
        <v>270</v>
      </c>
    </row>
    <row r="82" spans="1:34" ht="29" x14ac:dyDescent="0.35">
      <c r="A82" s="11">
        <v>46181.338217592587</v>
      </c>
      <c r="B82" s="11">
        <v>46188.556851851848</v>
      </c>
      <c r="C82" s="12" t="s">
        <v>87</v>
      </c>
      <c r="D82" s="12" t="s">
        <v>103</v>
      </c>
      <c r="E82" s="12" t="s">
        <v>268</v>
      </c>
      <c r="F82" s="12" t="s">
        <v>269</v>
      </c>
      <c r="G82" s="12" t="s">
        <v>269</v>
      </c>
      <c r="H82" s="12" t="s">
        <v>81</v>
      </c>
      <c r="I82" s="12"/>
      <c r="J82" s="12"/>
      <c r="K82" s="12"/>
      <c r="L82" s="12" t="s">
        <v>194</v>
      </c>
      <c r="M82" s="12" t="s">
        <v>260</v>
      </c>
      <c r="N82" s="12" t="s">
        <v>260</v>
      </c>
      <c r="O82" s="12" t="s">
        <v>263</v>
      </c>
      <c r="P82" s="12" t="s">
        <v>264</v>
      </c>
      <c r="Q82" s="12" t="s">
        <v>195</v>
      </c>
      <c r="R82" s="12" t="s">
        <v>195</v>
      </c>
      <c r="S82" s="12" t="s">
        <v>195</v>
      </c>
      <c r="T82" s="12" t="s">
        <v>197</v>
      </c>
      <c r="U82" s="12" t="s">
        <v>99</v>
      </c>
      <c r="V82" s="12" t="s">
        <v>100</v>
      </c>
      <c r="W82" s="12" t="s">
        <v>100</v>
      </c>
      <c r="X82" s="12" t="s">
        <v>26</v>
      </c>
      <c r="Y82" s="12" t="s">
        <v>265</v>
      </c>
      <c r="Z82" s="12" t="s">
        <v>266</v>
      </c>
      <c r="AA82" s="12" t="s">
        <v>267</v>
      </c>
      <c r="AB82" s="12">
        <v>10</v>
      </c>
      <c r="AC82" s="12">
        <v>7</v>
      </c>
      <c r="AD82" s="12" t="s">
        <v>266</v>
      </c>
      <c r="AE82" s="12" t="s">
        <v>267</v>
      </c>
      <c r="AF82" s="11">
        <v>46168.590578703697</v>
      </c>
      <c r="AG82" s="11">
        <v>46181.648101851853</v>
      </c>
      <c r="AH82" s="12" t="s">
        <v>270</v>
      </c>
    </row>
    <row r="83" spans="1:34" ht="29" x14ac:dyDescent="0.35">
      <c r="A83" s="11">
        <v>46181.338217592587</v>
      </c>
      <c r="B83" s="11">
        <v>46188.556851851848</v>
      </c>
      <c r="C83" s="12" t="s">
        <v>87</v>
      </c>
      <c r="D83" s="12" t="s">
        <v>103</v>
      </c>
      <c r="E83" s="12" t="s">
        <v>271</v>
      </c>
      <c r="F83" s="12" t="s">
        <v>272</v>
      </c>
      <c r="G83" s="12" t="s">
        <v>272</v>
      </c>
      <c r="H83" s="12" t="s">
        <v>81</v>
      </c>
      <c r="I83" s="12"/>
      <c r="J83" s="12"/>
      <c r="K83" s="12"/>
      <c r="L83" s="12" t="s">
        <v>194</v>
      </c>
      <c r="M83" s="12" t="s">
        <v>260</v>
      </c>
      <c r="N83" s="12" t="s">
        <v>260</v>
      </c>
      <c r="O83" s="12" t="s">
        <v>263</v>
      </c>
      <c r="P83" s="12" t="s">
        <v>264</v>
      </c>
      <c r="Q83" s="12" t="s">
        <v>195</v>
      </c>
      <c r="R83" s="12" t="s">
        <v>195</v>
      </c>
      <c r="S83" s="12" t="s">
        <v>195</v>
      </c>
      <c r="T83" s="12" t="s">
        <v>197</v>
      </c>
      <c r="U83" s="12" t="s">
        <v>99</v>
      </c>
      <c r="V83" s="12" t="s">
        <v>100</v>
      </c>
      <c r="W83" s="12" t="s">
        <v>100</v>
      </c>
      <c r="X83" s="12" t="s">
        <v>24</v>
      </c>
      <c r="Y83" s="12" t="s">
        <v>92</v>
      </c>
      <c r="Z83" s="12" t="s">
        <v>194</v>
      </c>
      <c r="AA83" s="12" t="s">
        <v>260</v>
      </c>
      <c r="AB83" s="12">
        <v>6</v>
      </c>
      <c r="AC83" s="12">
        <v>6</v>
      </c>
      <c r="AD83" s="12" t="s">
        <v>194</v>
      </c>
      <c r="AE83" s="12" t="s">
        <v>260</v>
      </c>
      <c r="AF83" s="11">
        <v>46168.592812499999</v>
      </c>
      <c r="AG83" s="11">
        <v>46182.650821759264</v>
      </c>
      <c r="AH83" s="12" t="s">
        <v>273</v>
      </c>
    </row>
    <row r="84" spans="1:34" ht="29" x14ac:dyDescent="0.35">
      <c r="A84" s="11">
        <v>46181.338217592587</v>
      </c>
      <c r="B84" s="11">
        <v>46188.556851851848</v>
      </c>
      <c r="C84" s="12" t="s">
        <v>87</v>
      </c>
      <c r="D84" s="12" t="s">
        <v>103</v>
      </c>
      <c r="E84" s="12" t="s">
        <v>271</v>
      </c>
      <c r="F84" s="12" t="s">
        <v>272</v>
      </c>
      <c r="G84" s="12" t="s">
        <v>272</v>
      </c>
      <c r="H84" s="12" t="s">
        <v>81</v>
      </c>
      <c r="I84" s="12"/>
      <c r="J84" s="12"/>
      <c r="K84" s="12"/>
      <c r="L84" s="12" t="s">
        <v>194</v>
      </c>
      <c r="M84" s="12" t="s">
        <v>260</v>
      </c>
      <c r="N84" s="12" t="s">
        <v>260</v>
      </c>
      <c r="O84" s="12" t="s">
        <v>263</v>
      </c>
      <c r="P84" s="12" t="s">
        <v>264</v>
      </c>
      <c r="Q84" s="12" t="s">
        <v>195</v>
      </c>
      <c r="R84" s="12" t="s">
        <v>195</v>
      </c>
      <c r="S84" s="12" t="s">
        <v>195</v>
      </c>
      <c r="T84" s="12" t="s">
        <v>197</v>
      </c>
      <c r="U84" s="12" t="s">
        <v>99</v>
      </c>
      <c r="V84" s="12" t="s">
        <v>100</v>
      </c>
      <c r="W84" s="12" t="s">
        <v>100</v>
      </c>
      <c r="X84" s="12" t="s">
        <v>25</v>
      </c>
      <c r="Y84" s="12" t="s">
        <v>262</v>
      </c>
      <c r="Z84" s="12" t="s">
        <v>263</v>
      </c>
      <c r="AA84" s="12" t="s">
        <v>264</v>
      </c>
      <c r="AB84" s="12">
        <v>3</v>
      </c>
      <c r="AC84" s="12">
        <v>4</v>
      </c>
      <c r="AD84" s="12" t="s">
        <v>263</v>
      </c>
      <c r="AE84" s="12" t="s">
        <v>264</v>
      </c>
      <c r="AF84" s="11">
        <v>46168.592812499999</v>
      </c>
      <c r="AG84" s="11">
        <v>46182.650821759264</v>
      </c>
      <c r="AH84" s="12" t="s">
        <v>273</v>
      </c>
    </row>
    <row r="85" spans="1:34" ht="29" x14ac:dyDescent="0.35">
      <c r="A85" s="11">
        <v>46181.338217592587</v>
      </c>
      <c r="B85" s="11">
        <v>46188.556851851848</v>
      </c>
      <c r="C85" s="12" t="s">
        <v>87</v>
      </c>
      <c r="D85" s="12" t="s">
        <v>103</v>
      </c>
      <c r="E85" s="12" t="s">
        <v>271</v>
      </c>
      <c r="F85" s="12" t="s">
        <v>272</v>
      </c>
      <c r="G85" s="12" t="s">
        <v>272</v>
      </c>
      <c r="H85" s="12" t="s">
        <v>81</v>
      </c>
      <c r="I85" s="12"/>
      <c r="J85" s="12"/>
      <c r="K85" s="12"/>
      <c r="L85" s="12" t="s">
        <v>194</v>
      </c>
      <c r="M85" s="12" t="s">
        <v>260</v>
      </c>
      <c r="N85" s="12" t="s">
        <v>260</v>
      </c>
      <c r="O85" s="12" t="s">
        <v>263</v>
      </c>
      <c r="P85" s="12" t="s">
        <v>264</v>
      </c>
      <c r="Q85" s="12" t="s">
        <v>195</v>
      </c>
      <c r="R85" s="12" t="s">
        <v>195</v>
      </c>
      <c r="S85" s="12" t="s">
        <v>195</v>
      </c>
      <c r="T85" s="12" t="s">
        <v>197</v>
      </c>
      <c r="U85" s="12" t="s">
        <v>99</v>
      </c>
      <c r="V85" s="12" t="s">
        <v>100</v>
      </c>
      <c r="W85" s="12" t="s">
        <v>100</v>
      </c>
      <c r="X85" s="12" t="s">
        <v>23</v>
      </c>
      <c r="Y85" s="12" t="s">
        <v>80</v>
      </c>
      <c r="Z85" s="12" t="s">
        <v>197</v>
      </c>
      <c r="AA85" s="12" t="s">
        <v>99</v>
      </c>
      <c r="AB85" s="12">
        <v>11</v>
      </c>
      <c r="AC85" s="12">
        <v>14</v>
      </c>
      <c r="AD85" s="12" t="s">
        <v>197</v>
      </c>
      <c r="AE85" s="12" t="s">
        <v>99</v>
      </c>
      <c r="AF85" s="11">
        <v>46168.592812499999</v>
      </c>
      <c r="AG85" s="11">
        <v>46182.650821759264</v>
      </c>
      <c r="AH85" s="12" t="s">
        <v>273</v>
      </c>
    </row>
    <row r="86" spans="1:34" ht="29" x14ac:dyDescent="0.35">
      <c r="A86" s="11">
        <v>46181.338217592587</v>
      </c>
      <c r="B86" s="11">
        <v>46188.556851851848</v>
      </c>
      <c r="C86" s="12" t="s">
        <v>87</v>
      </c>
      <c r="D86" s="12" t="s">
        <v>103</v>
      </c>
      <c r="E86" s="12" t="s">
        <v>271</v>
      </c>
      <c r="F86" s="12" t="s">
        <v>272</v>
      </c>
      <c r="G86" s="12" t="s">
        <v>272</v>
      </c>
      <c r="H86" s="12" t="s">
        <v>81</v>
      </c>
      <c r="I86" s="12"/>
      <c r="J86" s="12"/>
      <c r="K86" s="12"/>
      <c r="L86" s="12" t="s">
        <v>194</v>
      </c>
      <c r="M86" s="12" t="s">
        <v>260</v>
      </c>
      <c r="N86" s="12" t="s">
        <v>260</v>
      </c>
      <c r="O86" s="12" t="s">
        <v>263</v>
      </c>
      <c r="P86" s="12" t="s">
        <v>264</v>
      </c>
      <c r="Q86" s="12" t="s">
        <v>195</v>
      </c>
      <c r="R86" s="12" t="s">
        <v>195</v>
      </c>
      <c r="S86" s="12" t="s">
        <v>195</v>
      </c>
      <c r="T86" s="12" t="s">
        <v>197</v>
      </c>
      <c r="U86" s="12" t="s">
        <v>99</v>
      </c>
      <c r="V86" s="12" t="s">
        <v>100</v>
      </c>
      <c r="W86" s="12" t="s">
        <v>100</v>
      </c>
      <c r="X86" s="12" t="s">
        <v>26</v>
      </c>
      <c r="Y86" s="12" t="s">
        <v>265</v>
      </c>
      <c r="Z86" s="12" t="s">
        <v>266</v>
      </c>
      <c r="AA86" s="12" t="s">
        <v>267</v>
      </c>
      <c r="AB86" s="12">
        <v>10</v>
      </c>
      <c r="AC86" s="12">
        <v>7</v>
      </c>
      <c r="AD86" s="12" t="s">
        <v>266</v>
      </c>
      <c r="AE86" s="12" t="s">
        <v>267</v>
      </c>
      <c r="AF86" s="11">
        <v>46168.592812499999</v>
      </c>
      <c r="AG86" s="11">
        <v>46182.650821759264</v>
      </c>
      <c r="AH86" s="12" t="s">
        <v>273</v>
      </c>
    </row>
    <row r="87" spans="1:34" ht="29" x14ac:dyDescent="0.35">
      <c r="A87" s="11">
        <v>46181.338217592587</v>
      </c>
      <c r="B87" s="11">
        <v>46188.556851851848</v>
      </c>
      <c r="C87" s="12" t="s">
        <v>87</v>
      </c>
      <c r="D87" s="12" t="s">
        <v>103</v>
      </c>
      <c r="E87" s="12" t="s">
        <v>271</v>
      </c>
      <c r="F87" s="12" t="s">
        <v>272</v>
      </c>
      <c r="G87" s="12" t="s">
        <v>272</v>
      </c>
      <c r="H87" s="12" t="s">
        <v>81</v>
      </c>
      <c r="I87" s="12"/>
      <c r="J87" s="12"/>
      <c r="K87" s="12"/>
      <c r="L87" s="12" t="s">
        <v>194</v>
      </c>
      <c r="M87" s="12" t="s">
        <v>260</v>
      </c>
      <c r="N87" s="12" t="s">
        <v>260</v>
      </c>
      <c r="O87" s="12" t="s">
        <v>263</v>
      </c>
      <c r="P87" s="12" t="s">
        <v>264</v>
      </c>
      <c r="Q87" s="12" t="s">
        <v>195</v>
      </c>
      <c r="R87" s="12" t="s">
        <v>195</v>
      </c>
      <c r="S87" s="12" t="s">
        <v>195</v>
      </c>
      <c r="T87" s="12" t="s">
        <v>197</v>
      </c>
      <c r="U87" s="12" t="s">
        <v>99</v>
      </c>
      <c r="V87" s="12" t="s">
        <v>100</v>
      </c>
      <c r="W87" s="12" t="s">
        <v>100</v>
      </c>
      <c r="X87" s="12" t="s">
        <v>27</v>
      </c>
      <c r="Y87" s="12" t="s">
        <v>206</v>
      </c>
      <c r="Z87" s="12" t="s">
        <v>207</v>
      </c>
      <c r="AA87" s="12" t="s">
        <v>208</v>
      </c>
      <c r="AB87" s="12">
        <v>0</v>
      </c>
      <c r="AC87" s="12">
        <v>1</v>
      </c>
      <c r="AD87" s="12" t="s">
        <v>207</v>
      </c>
      <c r="AE87" s="12" t="s">
        <v>208</v>
      </c>
      <c r="AF87" s="11">
        <v>46168.592812499999</v>
      </c>
      <c r="AG87" s="11">
        <v>46182.650821759264</v>
      </c>
      <c r="AH87" s="12" t="s">
        <v>273</v>
      </c>
    </row>
    <row r="88" spans="1:34" ht="29" x14ac:dyDescent="0.35">
      <c r="A88" s="11">
        <v>46181.338217592587</v>
      </c>
      <c r="B88" s="11">
        <v>46188.556851851848</v>
      </c>
      <c r="C88" s="12" t="s">
        <v>87</v>
      </c>
      <c r="D88" s="12" t="s">
        <v>103</v>
      </c>
      <c r="E88" s="12" t="s">
        <v>274</v>
      </c>
      <c r="F88" s="12" t="s">
        <v>275</v>
      </c>
      <c r="G88" s="12" t="s">
        <v>275</v>
      </c>
      <c r="H88" s="12" t="s">
        <v>81</v>
      </c>
      <c r="I88" s="12"/>
      <c r="J88" s="12"/>
      <c r="K88" s="12"/>
      <c r="L88" s="12" t="s">
        <v>194</v>
      </c>
      <c r="M88" s="12" t="s">
        <v>260</v>
      </c>
      <c r="N88" s="12" t="s">
        <v>260</v>
      </c>
      <c r="O88" s="12" t="s">
        <v>263</v>
      </c>
      <c r="P88" s="12" t="s">
        <v>264</v>
      </c>
      <c r="Q88" s="12" t="s">
        <v>195</v>
      </c>
      <c r="R88" s="12" t="s">
        <v>195</v>
      </c>
      <c r="S88" s="12" t="s">
        <v>195</v>
      </c>
      <c r="T88" s="12" t="s">
        <v>197</v>
      </c>
      <c r="U88" s="12" t="s">
        <v>99</v>
      </c>
      <c r="V88" s="12" t="s">
        <v>100</v>
      </c>
      <c r="W88" s="12" t="s">
        <v>100</v>
      </c>
      <c r="X88" s="12" t="s">
        <v>24</v>
      </c>
      <c r="Y88" s="12" t="s">
        <v>92</v>
      </c>
      <c r="Z88" s="12" t="s">
        <v>194</v>
      </c>
      <c r="AA88" s="12" t="s">
        <v>260</v>
      </c>
      <c r="AB88" s="12">
        <v>6</v>
      </c>
      <c r="AC88" s="12">
        <v>6</v>
      </c>
      <c r="AD88" s="12" t="s">
        <v>194</v>
      </c>
      <c r="AE88" s="12" t="s">
        <v>260</v>
      </c>
      <c r="AF88" s="11">
        <v>46168.596678240741</v>
      </c>
      <c r="AG88" s="11">
        <v>46185.594050925924</v>
      </c>
      <c r="AH88" s="12" t="s">
        <v>276</v>
      </c>
    </row>
    <row r="89" spans="1:34" ht="29" x14ac:dyDescent="0.35">
      <c r="A89" s="11">
        <v>46181.338217592587</v>
      </c>
      <c r="B89" s="11">
        <v>46188.556851851848</v>
      </c>
      <c r="C89" s="12" t="s">
        <v>87</v>
      </c>
      <c r="D89" s="12" t="s">
        <v>103</v>
      </c>
      <c r="E89" s="12" t="s">
        <v>274</v>
      </c>
      <c r="F89" s="12" t="s">
        <v>275</v>
      </c>
      <c r="G89" s="12" t="s">
        <v>275</v>
      </c>
      <c r="H89" s="12" t="s">
        <v>81</v>
      </c>
      <c r="I89" s="12"/>
      <c r="J89" s="12"/>
      <c r="K89" s="12"/>
      <c r="L89" s="12" t="s">
        <v>194</v>
      </c>
      <c r="M89" s="12" t="s">
        <v>260</v>
      </c>
      <c r="N89" s="12" t="s">
        <v>260</v>
      </c>
      <c r="O89" s="12" t="s">
        <v>263</v>
      </c>
      <c r="P89" s="12" t="s">
        <v>264</v>
      </c>
      <c r="Q89" s="12" t="s">
        <v>195</v>
      </c>
      <c r="R89" s="12" t="s">
        <v>195</v>
      </c>
      <c r="S89" s="12" t="s">
        <v>195</v>
      </c>
      <c r="T89" s="12" t="s">
        <v>197</v>
      </c>
      <c r="U89" s="12" t="s">
        <v>99</v>
      </c>
      <c r="V89" s="12" t="s">
        <v>100</v>
      </c>
      <c r="W89" s="12" t="s">
        <v>100</v>
      </c>
      <c r="X89" s="12" t="s">
        <v>25</v>
      </c>
      <c r="Y89" s="12" t="s">
        <v>262</v>
      </c>
      <c r="Z89" s="12" t="s">
        <v>263</v>
      </c>
      <c r="AA89" s="12" t="s">
        <v>264</v>
      </c>
      <c r="AB89" s="12">
        <v>3</v>
      </c>
      <c r="AC89" s="12">
        <v>4</v>
      </c>
      <c r="AD89" s="12" t="s">
        <v>263</v>
      </c>
      <c r="AE89" s="12" t="s">
        <v>264</v>
      </c>
      <c r="AF89" s="11">
        <v>46168.596678240741</v>
      </c>
      <c r="AG89" s="11">
        <v>46185.594050925924</v>
      </c>
      <c r="AH89" s="12" t="s">
        <v>276</v>
      </c>
    </row>
    <row r="90" spans="1:34" ht="29" x14ac:dyDescent="0.35">
      <c r="A90" s="11">
        <v>46181.338217592587</v>
      </c>
      <c r="B90" s="11">
        <v>46188.556851851848</v>
      </c>
      <c r="C90" s="12" t="s">
        <v>87</v>
      </c>
      <c r="D90" s="12" t="s">
        <v>103</v>
      </c>
      <c r="E90" s="12" t="s">
        <v>274</v>
      </c>
      <c r="F90" s="12" t="s">
        <v>275</v>
      </c>
      <c r="G90" s="12" t="s">
        <v>275</v>
      </c>
      <c r="H90" s="12" t="s">
        <v>81</v>
      </c>
      <c r="I90" s="12"/>
      <c r="J90" s="12"/>
      <c r="K90" s="12"/>
      <c r="L90" s="12" t="s">
        <v>194</v>
      </c>
      <c r="M90" s="12" t="s">
        <v>260</v>
      </c>
      <c r="N90" s="12" t="s">
        <v>260</v>
      </c>
      <c r="O90" s="12" t="s">
        <v>263</v>
      </c>
      <c r="P90" s="12" t="s">
        <v>264</v>
      </c>
      <c r="Q90" s="12" t="s">
        <v>195</v>
      </c>
      <c r="R90" s="12" t="s">
        <v>195</v>
      </c>
      <c r="S90" s="12" t="s">
        <v>195</v>
      </c>
      <c r="T90" s="12" t="s">
        <v>197</v>
      </c>
      <c r="U90" s="12" t="s">
        <v>99</v>
      </c>
      <c r="V90" s="12" t="s">
        <v>100</v>
      </c>
      <c r="W90" s="12" t="s">
        <v>100</v>
      </c>
      <c r="X90" s="12" t="s">
        <v>23</v>
      </c>
      <c r="Y90" s="12" t="s">
        <v>80</v>
      </c>
      <c r="Z90" s="12" t="s">
        <v>197</v>
      </c>
      <c r="AA90" s="12" t="s">
        <v>99</v>
      </c>
      <c r="AB90" s="12">
        <v>11</v>
      </c>
      <c r="AC90" s="12">
        <v>14</v>
      </c>
      <c r="AD90" s="12" t="s">
        <v>197</v>
      </c>
      <c r="AE90" s="12" t="s">
        <v>99</v>
      </c>
      <c r="AF90" s="11">
        <v>46168.596678240741</v>
      </c>
      <c r="AG90" s="11">
        <v>46185.594050925924</v>
      </c>
      <c r="AH90" s="12" t="s">
        <v>276</v>
      </c>
    </row>
    <row r="91" spans="1:34" ht="29" x14ac:dyDescent="0.35">
      <c r="A91" s="11">
        <v>46181.338217592587</v>
      </c>
      <c r="B91" s="11">
        <v>46188.556851851848</v>
      </c>
      <c r="C91" s="12" t="s">
        <v>87</v>
      </c>
      <c r="D91" s="12" t="s">
        <v>103</v>
      </c>
      <c r="E91" s="12" t="s">
        <v>274</v>
      </c>
      <c r="F91" s="12" t="s">
        <v>275</v>
      </c>
      <c r="G91" s="12" t="s">
        <v>275</v>
      </c>
      <c r="H91" s="12" t="s">
        <v>81</v>
      </c>
      <c r="I91" s="12"/>
      <c r="J91" s="12"/>
      <c r="K91" s="12"/>
      <c r="L91" s="12" t="s">
        <v>194</v>
      </c>
      <c r="M91" s="12" t="s">
        <v>260</v>
      </c>
      <c r="N91" s="12" t="s">
        <v>260</v>
      </c>
      <c r="O91" s="12" t="s">
        <v>263</v>
      </c>
      <c r="P91" s="12" t="s">
        <v>264</v>
      </c>
      <c r="Q91" s="12" t="s">
        <v>195</v>
      </c>
      <c r="R91" s="12" t="s">
        <v>195</v>
      </c>
      <c r="S91" s="12" t="s">
        <v>195</v>
      </c>
      <c r="T91" s="12" t="s">
        <v>197</v>
      </c>
      <c r="U91" s="12" t="s">
        <v>99</v>
      </c>
      <c r="V91" s="12" t="s">
        <v>100</v>
      </c>
      <c r="W91" s="12" t="s">
        <v>100</v>
      </c>
      <c r="X91" s="12" t="s">
        <v>26</v>
      </c>
      <c r="Y91" s="12" t="s">
        <v>265</v>
      </c>
      <c r="Z91" s="12" t="s">
        <v>266</v>
      </c>
      <c r="AA91" s="12" t="s">
        <v>267</v>
      </c>
      <c r="AB91" s="12">
        <v>10</v>
      </c>
      <c r="AC91" s="12">
        <v>7</v>
      </c>
      <c r="AD91" s="12" t="s">
        <v>266</v>
      </c>
      <c r="AE91" s="12" t="s">
        <v>267</v>
      </c>
      <c r="AF91" s="11">
        <v>46168.596678240741</v>
      </c>
      <c r="AG91" s="11">
        <v>46185.594050925924</v>
      </c>
      <c r="AH91" s="12" t="s">
        <v>276</v>
      </c>
    </row>
    <row r="92" spans="1:34" ht="29" x14ac:dyDescent="0.35">
      <c r="A92" s="11">
        <v>46181.338217592587</v>
      </c>
      <c r="B92" s="11">
        <v>46188.556851851848</v>
      </c>
      <c r="C92" s="12" t="s">
        <v>87</v>
      </c>
      <c r="D92" s="12" t="s">
        <v>103</v>
      </c>
      <c r="E92" s="12" t="s">
        <v>274</v>
      </c>
      <c r="F92" s="12" t="s">
        <v>275</v>
      </c>
      <c r="G92" s="12" t="s">
        <v>275</v>
      </c>
      <c r="H92" s="12" t="s">
        <v>81</v>
      </c>
      <c r="I92" s="12"/>
      <c r="J92" s="12"/>
      <c r="K92" s="12"/>
      <c r="L92" s="12" t="s">
        <v>194</v>
      </c>
      <c r="M92" s="12" t="s">
        <v>260</v>
      </c>
      <c r="N92" s="12" t="s">
        <v>260</v>
      </c>
      <c r="O92" s="12" t="s">
        <v>263</v>
      </c>
      <c r="P92" s="12" t="s">
        <v>264</v>
      </c>
      <c r="Q92" s="12" t="s">
        <v>195</v>
      </c>
      <c r="R92" s="12" t="s">
        <v>195</v>
      </c>
      <c r="S92" s="12" t="s">
        <v>195</v>
      </c>
      <c r="T92" s="12" t="s">
        <v>197</v>
      </c>
      <c r="U92" s="12" t="s">
        <v>99</v>
      </c>
      <c r="V92" s="12" t="s">
        <v>100</v>
      </c>
      <c r="W92" s="12" t="s">
        <v>100</v>
      </c>
      <c r="X92" s="12" t="s">
        <v>27</v>
      </c>
      <c r="Y92" s="12" t="s">
        <v>206</v>
      </c>
      <c r="Z92" s="12" t="s">
        <v>207</v>
      </c>
      <c r="AA92" s="12" t="s">
        <v>208</v>
      </c>
      <c r="AB92" s="12">
        <v>0</v>
      </c>
      <c r="AC92" s="12">
        <v>1</v>
      </c>
      <c r="AD92" s="12" t="s">
        <v>207</v>
      </c>
      <c r="AE92" s="12" t="s">
        <v>208</v>
      </c>
      <c r="AF92" s="11">
        <v>46168.596678240741</v>
      </c>
      <c r="AG92" s="11">
        <v>46185.594050925924</v>
      </c>
      <c r="AH92" s="12" t="s">
        <v>276</v>
      </c>
    </row>
    <row r="93" spans="1:34" ht="29" x14ac:dyDescent="0.35">
      <c r="A93" s="11">
        <v>46181.338217592587</v>
      </c>
      <c r="B93" s="11">
        <v>46188.556851851848</v>
      </c>
      <c r="C93" s="12" t="s">
        <v>87</v>
      </c>
      <c r="D93" s="12" t="s">
        <v>103</v>
      </c>
      <c r="E93" s="12" t="s">
        <v>277</v>
      </c>
      <c r="F93" s="12" t="s">
        <v>278</v>
      </c>
      <c r="G93" s="12" t="s">
        <v>278</v>
      </c>
      <c r="H93" s="12" t="s">
        <v>81</v>
      </c>
      <c r="I93" s="12"/>
      <c r="J93" s="12"/>
      <c r="K93" s="12"/>
      <c r="L93" s="12" t="s">
        <v>194</v>
      </c>
      <c r="M93" s="12" t="s">
        <v>260</v>
      </c>
      <c r="N93" s="12" t="s">
        <v>260</v>
      </c>
      <c r="O93" s="12" t="s">
        <v>263</v>
      </c>
      <c r="P93" s="12" t="s">
        <v>264</v>
      </c>
      <c r="Q93" s="12" t="s">
        <v>195</v>
      </c>
      <c r="R93" s="12" t="s">
        <v>195</v>
      </c>
      <c r="S93" s="12" t="s">
        <v>195</v>
      </c>
      <c r="T93" s="12" t="s">
        <v>197</v>
      </c>
      <c r="U93" s="12" t="s">
        <v>99</v>
      </c>
      <c r="V93" s="12" t="s">
        <v>100</v>
      </c>
      <c r="W93" s="12" t="s">
        <v>100</v>
      </c>
      <c r="X93" s="12" t="s">
        <v>24</v>
      </c>
      <c r="Y93" s="12" t="s">
        <v>92</v>
      </c>
      <c r="Z93" s="12" t="s">
        <v>194</v>
      </c>
      <c r="AA93" s="12" t="s">
        <v>260</v>
      </c>
      <c r="AB93" s="12">
        <v>6</v>
      </c>
      <c r="AC93" s="12">
        <v>6</v>
      </c>
      <c r="AD93" s="12" t="s">
        <v>194</v>
      </c>
      <c r="AE93" s="12" t="s">
        <v>260</v>
      </c>
      <c r="AF93" s="11">
        <v>46168.597546296303</v>
      </c>
      <c r="AG93" s="11">
        <v>46185.604259259257</v>
      </c>
      <c r="AH93" s="12" t="s">
        <v>279</v>
      </c>
    </row>
    <row r="94" spans="1:34" ht="29" x14ac:dyDescent="0.35">
      <c r="A94" s="11">
        <v>46181.338217592587</v>
      </c>
      <c r="B94" s="11">
        <v>46188.556851851848</v>
      </c>
      <c r="C94" s="12" t="s">
        <v>87</v>
      </c>
      <c r="D94" s="12" t="s">
        <v>103</v>
      </c>
      <c r="E94" s="12" t="s">
        <v>277</v>
      </c>
      <c r="F94" s="12" t="s">
        <v>278</v>
      </c>
      <c r="G94" s="12" t="s">
        <v>278</v>
      </c>
      <c r="H94" s="12" t="s">
        <v>81</v>
      </c>
      <c r="I94" s="12"/>
      <c r="J94" s="12"/>
      <c r="K94" s="12"/>
      <c r="L94" s="12" t="s">
        <v>194</v>
      </c>
      <c r="M94" s="12" t="s">
        <v>260</v>
      </c>
      <c r="N94" s="12" t="s">
        <v>260</v>
      </c>
      <c r="O94" s="12" t="s">
        <v>263</v>
      </c>
      <c r="P94" s="12" t="s">
        <v>264</v>
      </c>
      <c r="Q94" s="12" t="s">
        <v>195</v>
      </c>
      <c r="R94" s="12" t="s">
        <v>195</v>
      </c>
      <c r="S94" s="12" t="s">
        <v>195</v>
      </c>
      <c r="T94" s="12" t="s">
        <v>197</v>
      </c>
      <c r="U94" s="12" t="s">
        <v>99</v>
      </c>
      <c r="V94" s="12" t="s">
        <v>100</v>
      </c>
      <c r="W94" s="12" t="s">
        <v>100</v>
      </c>
      <c r="X94" s="12" t="s">
        <v>25</v>
      </c>
      <c r="Y94" s="12" t="s">
        <v>262</v>
      </c>
      <c r="Z94" s="12" t="s">
        <v>263</v>
      </c>
      <c r="AA94" s="12" t="s">
        <v>264</v>
      </c>
      <c r="AB94" s="12">
        <v>3</v>
      </c>
      <c r="AC94" s="12">
        <v>4</v>
      </c>
      <c r="AD94" s="12" t="s">
        <v>263</v>
      </c>
      <c r="AE94" s="12" t="s">
        <v>264</v>
      </c>
      <c r="AF94" s="11">
        <v>46168.597546296303</v>
      </c>
      <c r="AG94" s="11">
        <v>46185.604259259257</v>
      </c>
      <c r="AH94" s="12" t="s">
        <v>279</v>
      </c>
    </row>
    <row r="95" spans="1:34" ht="29" x14ac:dyDescent="0.35">
      <c r="A95" s="11">
        <v>46181.338217592587</v>
      </c>
      <c r="B95" s="11">
        <v>46188.556851851848</v>
      </c>
      <c r="C95" s="12" t="s">
        <v>87</v>
      </c>
      <c r="D95" s="12" t="s">
        <v>103</v>
      </c>
      <c r="E95" s="12" t="s">
        <v>277</v>
      </c>
      <c r="F95" s="12" t="s">
        <v>278</v>
      </c>
      <c r="G95" s="12" t="s">
        <v>278</v>
      </c>
      <c r="H95" s="12" t="s">
        <v>81</v>
      </c>
      <c r="I95" s="12"/>
      <c r="J95" s="12"/>
      <c r="K95" s="12"/>
      <c r="L95" s="12" t="s">
        <v>194</v>
      </c>
      <c r="M95" s="12" t="s">
        <v>260</v>
      </c>
      <c r="N95" s="12" t="s">
        <v>260</v>
      </c>
      <c r="O95" s="12" t="s">
        <v>263</v>
      </c>
      <c r="P95" s="12" t="s">
        <v>264</v>
      </c>
      <c r="Q95" s="12" t="s">
        <v>195</v>
      </c>
      <c r="R95" s="12" t="s">
        <v>195</v>
      </c>
      <c r="S95" s="12" t="s">
        <v>195</v>
      </c>
      <c r="T95" s="12" t="s">
        <v>197</v>
      </c>
      <c r="U95" s="12" t="s">
        <v>99</v>
      </c>
      <c r="V95" s="12" t="s">
        <v>100</v>
      </c>
      <c r="W95" s="12" t="s">
        <v>100</v>
      </c>
      <c r="X95" s="12" t="s">
        <v>23</v>
      </c>
      <c r="Y95" s="12" t="s">
        <v>80</v>
      </c>
      <c r="Z95" s="12" t="s">
        <v>197</v>
      </c>
      <c r="AA95" s="12" t="s">
        <v>99</v>
      </c>
      <c r="AB95" s="12">
        <v>11</v>
      </c>
      <c r="AC95" s="12">
        <v>14</v>
      </c>
      <c r="AD95" s="12" t="s">
        <v>197</v>
      </c>
      <c r="AE95" s="12" t="s">
        <v>99</v>
      </c>
      <c r="AF95" s="11">
        <v>46168.597546296303</v>
      </c>
      <c r="AG95" s="11">
        <v>46185.604259259257</v>
      </c>
      <c r="AH95" s="12" t="s">
        <v>279</v>
      </c>
    </row>
    <row r="96" spans="1:34" ht="29" x14ac:dyDescent="0.35">
      <c r="A96" s="11">
        <v>46181.338217592587</v>
      </c>
      <c r="B96" s="11">
        <v>46188.556851851848</v>
      </c>
      <c r="C96" s="12" t="s">
        <v>87</v>
      </c>
      <c r="D96" s="12" t="s">
        <v>103</v>
      </c>
      <c r="E96" s="12" t="s">
        <v>277</v>
      </c>
      <c r="F96" s="12" t="s">
        <v>278</v>
      </c>
      <c r="G96" s="12" t="s">
        <v>278</v>
      </c>
      <c r="H96" s="12" t="s">
        <v>81</v>
      </c>
      <c r="I96" s="12"/>
      <c r="J96" s="12"/>
      <c r="K96" s="12"/>
      <c r="L96" s="12" t="s">
        <v>194</v>
      </c>
      <c r="M96" s="12" t="s">
        <v>260</v>
      </c>
      <c r="N96" s="12" t="s">
        <v>260</v>
      </c>
      <c r="O96" s="12" t="s">
        <v>263</v>
      </c>
      <c r="P96" s="12" t="s">
        <v>264</v>
      </c>
      <c r="Q96" s="12" t="s">
        <v>195</v>
      </c>
      <c r="R96" s="12" t="s">
        <v>195</v>
      </c>
      <c r="S96" s="12" t="s">
        <v>195</v>
      </c>
      <c r="T96" s="12" t="s">
        <v>197</v>
      </c>
      <c r="U96" s="12" t="s">
        <v>99</v>
      </c>
      <c r="V96" s="12" t="s">
        <v>100</v>
      </c>
      <c r="W96" s="12" t="s">
        <v>100</v>
      </c>
      <c r="X96" s="12" t="s">
        <v>26</v>
      </c>
      <c r="Y96" s="12" t="s">
        <v>265</v>
      </c>
      <c r="Z96" s="12" t="s">
        <v>266</v>
      </c>
      <c r="AA96" s="12" t="s">
        <v>267</v>
      </c>
      <c r="AB96" s="12">
        <v>10</v>
      </c>
      <c r="AC96" s="12">
        <v>7</v>
      </c>
      <c r="AD96" s="12" t="s">
        <v>266</v>
      </c>
      <c r="AE96" s="12" t="s">
        <v>267</v>
      </c>
      <c r="AF96" s="11">
        <v>46168.597546296303</v>
      </c>
      <c r="AG96" s="11">
        <v>46185.604259259257</v>
      </c>
      <c r="AH96" s="12" t="s">
        <v>279</v>
      </c>
    </row>
    <row r="97" spans="1:34" ht="29" x14ac:dyDescent="0.35">
      <c r="A97" s="11">
        <v>46181.338217592587</v>
      </c>
      <c r="B97" s="11">
        <v>46188.556851851848</v>
      </c>
      <c r="C97" s="12" t="s">
        <v>87</v>
      </c>
      <c r="D97" s="12" t="s">
        <v>103</v>
      </c>
      <c r="E97" s="12" t="s">
        <v>204</v>
      </c>
      <c r="F97" s="12" t="s">
        <v>205</v>
      </c>
      <c r="G97" s="12" t="s">
        <v>205</v>
      </c>
      <c r="H97" s="12" t="s">
        <v>81</v>
      </c>
      <c r="I97" s="12"/>
      <c r="J97" s="12"/>
      <c r="K97" s="12"/>
      <c r="L97" s="12" t="s">
        <v>194</v>
      </c>
      <c r="M97" s="12" t="s">
        <v>194</v>
      </c>
      <c r="N97" s="12" t="s">
        <v>194</v>
      </c>
      <c r="O97" s="12" t="s">
        <v>263</v>
      </c>
      <c r="P97" s="12" t="s">
        <v>263</v>
      </c>
      <c r="Q97" s="12" t="s">
        <v>195</v>
      </c>
      <c r="R97" s="12" t="s">
        <v>195</v>
      </c>
      <c r="S97" s="12" t="s">
        <v>195</v>
      </c>
      <c r="T97" s="12" t="s">
        <v>197</v>
      </c>
      <c r="U97" s="12" t="s">
        <v>197</v>
      </c>
      <c r="V97" s="12" t="s">
        <v>100</v>
      </c>
      <c r="W97" s="12" t="s">
        <v>100</v>
      </c>
      <c r="X97" s="12" t="s">
        <v>27</v>
      </c>
      <c r="Y97" s="12" t="s">
        <v>206</v>
      </c>
      <c r="Z97" s="12" t="s">
        <v>207</v>
      </c>
      <c r="AA97" s="12" t="s">
        <v>208</v>
      </c>
      <c r="AB97" s="12">
        <v>0</v>
      </c>
      <c r="AC97" s="12">
        <v>1</v>
      </c>
      <c r="AD97" s="12" t="s">
        <v>207</v>
      </c>
      <c r="AE97" s="12" t="s">
        <v>208</v>
      </c>
      <c r="AF97" s="11">
        <v>46168.599722222221</v>
      </c>
      <c r="AG97" s="11">
        <v>46183.528483796297</v>
      </c>
      <c r="AH97" s="12" t="s">
        <v>209</v>
      </c>
    </row>
    <row r="98" spans="1:34" ht="29" x14ac:dyDescent="0.35">
      <c r="A98" s="11">
        <v>46181.338217592587</v>
      </c>
      <c r="B98" s="11">
        <v>46188.556851851848</v>
      </c>
      <c r="C98" s="12" t="s">
        <v>87</v>
      </c>
      <c r="D98" s="12" t="s">
        <v>103</v>
      </c>
      <c r="E98" s="12" t="s">
        <v>280</v>
      </c>
      <c r="F98" s="12" t="s">
        <v>281</v>
      </c>
      <c r="G98" s="12" t="s">
        <v>281</v>
      </c>
      <c r="H98" s="12" t="s">
        <v>81</v>
      </c>
      <c r="I98" s="12"/>
      <c r="J98" s="12"/>
      <c r="K98" s="12"/>
      <c r="L98" s="12" t="s">
        <v>194</v>
      </c>
      <c r="M98" s="12" t="s">
        <v>260</v>
      </c>
      <c r="N98" s="12" t="s">
        <v>260</v>
      </c>
      <c r="O98" s="12" t="s">
        <v>263</v>
      </c>
      <c r="P98" s="12" t="s">
        <v>264</v>
      </c>
      <c r="Q98" s="12" t="s">
        <v>195</v>
      </c>
      <c r="R98" s="12" t="s">
        <v>195</v>
      </c>
      <c r="S98" s="12" t="s">
        <v>195</v>
      </c>
      <c r="T98" s="12" t="s">
        <v>197</v>
      </c>
      <c r="U98" s="12" t="s">
        <v>99</v>
      </c>
      <c r="V98" s="12" t="s">
        <v>100</v>
      </c>
      <c r="W98" s="12" t="s">
        <v>100</v>
      </c>
      <c r="X98" s="12" t="s">
        <v>24</v>
      </c>
      <c r="Y98" s="12" t="s">
        <v>92</v>
      </c>
      <c r="Z98" s="12" t="s">
        <v>194</v>
      </c>
      <c r="AA98" s="12" t="s">
        <v>260</v>
      </c>
      <c r="AB98" s="12">
        <v>6</v>
      </c>
      <c r="AC98" s="12">
        <v>6</v>
      </c>
      <c r="AD98" s="12" t="s">
        <v>194</v>
      </c>
      <c r="AE98" s="12" t="s">
        <v>260</v>
      </c>
      <c r="AF98" s="11">
        <v>46168.611851851849</v>
      </c>
      <c r="AG98" s="11">
        <v>46188.431388888886</v>
      </c>
      <c r="AH98" s="12" t="s">
        <v>282</v>
      </c>
    </row>
    <row r="99" spans="1:34" ht="29" x14ac:dyDescent="0.35">
      <c r="A99" s="11">
        <v>46181.338217592587</v>
      </c>
      <c r="B99" s="11">
        <v>46188.556851851848</v>
      </c>
      <c r="C99" s="12" t="s">
        <v>87</v>
      </c>
      <c r="D99" s="12" t="s">
        <v>103</v>
      </c>
      <c r="E99" s="12" t="s">
        <v>280</v>
      </c>
      <c r="F99" s="12" t="s">
        <v>281</v>
      </c>
      <c r="G99" s="12" t="s">
        <v>281</v>
      </c>
      <c r="H99" s="12" t="s">
        <v>81</v>
      </c>
      <c r="I99" s="12"/>
      <c r="J99" s="12"/>
      <c r="K99" s="12"/>
      <c r="L99" s="12" t="s">
        <v>194</v>
      </c>
      <c r="M99" s="12" t="s">
        <v>260</v>
      </c>
      <c r="N99" s="12" t="s">
        <v>260</v>
      </c>
      <c r="O99" s="12" t="s">
        <v>263</v>
      </c>
      <c r="P99" s="12" t="s">
        <v>264</v>
      </c>
      <c r="Q99" s="12" t="s">
        <v>195</v>
      </c>
      <c r="R99" s="12" t="s">
        <v>195</v>
      </c>
      <c r="S99" s="12" t="s">
        <v>195</v>
      </c>
      <c r="T99" s="12" t="s">
        <v>197</v>
      </c>
      <c r="U99" s="12" t="s">
        <v>99</v>
      </c>
      <c r="V99" s="12" t="s">
        <v>100</v>
      </c>
      <c r="W99" s="12" t="s">
        <v>100</v>
      </c>
      <c r="X99" s="12" t="s">
        <v>25</v>
      </c>
      <c r="Y99" s="12" t="s">
        <v>262</v>
      </c>
      <c r="Z99" s="12" t="s">
        <v>263</v>
      </c>
      <c r="AA99" s="12" t="s">
        <v>264</v>
      </c>
      <c r="AB99" s="12">
        <v>3</v>
      </c>
      <c r="AC99" s="12">
        <v>4</v>
      </c>
      <c r="AD99" s="12" t="s">
        <v>263</v>
      </c>
      <c r="AE99" s="12" t="s">
        <v>264</v>
      </c>
      <c r="AF99" s="11">
        <v>46168.611851851849</v>
      </c>
      <c r="AG99" s="11">
        <v>46188.431388888886</v>
      </c>
      <c r="AH99" s="12" t="s">
        <v>282</v>
      </c>
    </row>
    <row r="100" spans="1:34" ht="29" x14ac:dyDescent="0.35">
      <c r="A100" s="11">
        <v>46181.338217592587</v>
      </c>
      <c r="B100" s="11">
        <v>46188.556851851848</v>
      </c>
      <c r="C100" s="12" t="s">
        <v>87</v>
      </c>
      <c r="D100" s="12" t="s">
        <v>103</v>
      </c>
      <c r="E100" s="12" t="s">
        <v>280</v>
      </c>
      <c r="F100" s="12" t="s">
        <v>281</v>
      </c>
      <c r="G100" s="12" t="s">
        <v>281</v>
      </c>
      <c r="H100" s="12" t="s">
        <v>81</v>
      </c>
      <c r="I100" s="12"/>
      <c r="J100" s="12"/>
      <c r="K100" s="12"/>
      <c r="L100" s="12" t="s">
        <v>194</v>
      </c>
      <c r="M100" s="12" t="s">
        <v>260</v>
      </c>
      <c r="N100" s="12" t="s">
        <v>260</v>
      </c>
      <c r="O100" s="12" t="s">
        <v>263</v>
      </c>
      <c r="P100" s="12" t="s">
        <v>264</v>
      </c>
      <c r="Q100" s="12" t="s">
        <v>195</v>
      </c>
      <c r="R100" s="12" t="s">
        <v>195</v>
      </c>
      <c r="S100" s="12" t="s">
        <v>195</v>
      </c>
      <c r="T100" s="12" t="s">
        <v>197</v>
      </c>
      <c r="U100" s="12" t="s">
        <v>99</v>
      </c>
      <c r="V100" s="12" t="s">
        <v>100</v>
      </c>
      <c r="W100" s="12" t="s">
        <v>100</v>
      </c>
      <c r="X100" s="12" t="s">
        <v>23</v>
      </c>
      <c r="Y100" s="12" t="s">
        <v>80</v>
      </c>
      <c r="Z100" s="12" t="s">
        <v>197</v>
      </c>
      <c r="AA100" s="12" t="s">
        <v>99</v>
      </c>
      <c r="AB100" s="12">
        <v>11</v>
      </c>
      <c r="AC100" s="12">
        <v>14</v>
      </c>
      <c r="AD100" s="12" t="s">
        <v>197</v>
      </c>
      <c r="AE100" s="12" t="s">
        <v>99</v>
      </c>
      <c r="AF100" s="11">
        <v>46168.611851851849</v>
      </c>
      <c r="AG100" s="11">
        <v>46188.431388888886</v>
      </c>
      <c r="AH100" s="12" t="s">
        <v>282</v>
      </c>
    </row>
    <row r="101" spans="1:34" ht="29" x14ac:dyDescent="0.35">
      <c r="A101" s="11">
        <v>46181.338217592587</v>
      </c>
      <c r="B101" s="11">
        <v>46188.556851851848</v>
      </c>
      <c r="C101" s="12" t="s">
        <v>87</v>
      </c>
      <c r="D101" s="12" t="s">
        <v>103</v>
      </c>
      <c r="E101" s="12" t="s">
        <v>280</v>
      </c>
      <c r="F101" s="12" t="s">
        <v>281</v>
      </c>
      <c r="G101" s="12" t="s">
        <v>281</v>
      </c>
      <c r="H101" s="12" t="s">
        <v>81</v>
      </c>
      <c r="I101" s="12"/>
      <c r="J101" s="12"/>
      <c r="K101" s="12"/>
      <c r="L101" s="12" t="s">
        <v>194</v>
      </c>
      <c r="M101" s="12" t="s">
        <v>260</v>
      </c>
      <c r="N101" s="12" t="s">
        <v>260</v>
      </c>
      <c r="O101" s="12" t="s">
        <v>263</v>
      </c>
      <c r="P101" s="12" t="s">
        <v>264</v>
      </c>
      <c r="Q101" s="12" t="s">
        <v>195</v>
      </c>
      <c r="R101" s="12" t="s">
        <v>195</v>
      </c>
      <c r="S101" s="12" t="s">
        <v>195</v>
      </c>
      <c r="T101" s="12" t="s">
        <v>197</v>
      </c>
      <c r="U101" s="12" t="s">
        <v>99</v>
      </c>
      <c r="V101" s="12" t="s">
        <v>100</v>
      </c>
      <c r="W101" s="12" t="s">
        <v>100</v>
      </c>
      <c r="X101" s="12" t="s">
        <v>26</v>
      </c>
      <c r="Y101" s="12" t="s">
        <v>265</v>
      </c>
      <c r="Z101" s="12" t="s">
        <v>266</v>
      </c>
      <c r="AA101" s="12" t="s">
        <v>267</v>
      </c>
      <c r="AB101" s="12">
        <v>10</v>
      </c>
      <c r="AC101" s="12">
        <v>7</v>
      </c>
      <c r="AD101" s="12" t="s">
        <v>266</v>
      </c>
      <c r="AE101" s="12" t="s">
        <v>267</v>
      </c>
      <c r="AF101" s="11">
        <v>46168.611851851849</v>
      </c>
      <c r="AG101" s="11">
        <v>46188.431388888886</v>
      </c>
      <c r="AH101" s="12" t="s">
        <v>282</v>
      </c>
    </row>
    <row r="102" spans="1:34" ht="29" x14ac:dyDescent="0.35">
      <c r="A102" s="11">
        <v>46181.338217592587</v>
      </c>
      <c r="B102" s="11">
        <v>46188.556851851848</v>
      </c>
      <c r="C102" s="12" t="s">
        <v>87</v>
      </c>
      <c r="D102" s="12" t="s">
        <v>103</v>
      </c>
      <c r="E102" s="12" t="s">
        <v>280</v>
      </c>
      <c r="F102" s="12" t="s">
        <v>281</v>
      </c>
      <c r="G102" s="12" t="s">
        <v>281</v>
      </c>
      <c r="H102" s="12" t="s">
        <v>81</v>
      </c>
      <c r="I102" s="12"/>
      <c r="J102" s="12"/>
      <c r="K102" s="12"/>
      <c r="L102" s="12" t="s">
        <v>194</v>
      </c>
      <c r="M102" s="12" t="s">
        <v>260</v>
      </c>
      <c r="N102" s="12" t="s">
        <v>260</v>
      </c>
      <c r="O102" s="12" t="s">
        <v>263</v>
      </c>
      <c r="P102" s="12" t="s">
        <v>264</v>
      </c>
      <c r="Q102" s="12" t="s">
        <v>195</v>
      </c>
      <c r="R102" s="12" t="s">
        <v>195</v>
      </c>
      <c r="S102" s="12" t="s">
        <v>195</v>
      </c>
      <c r="T102" s="12" t="s">
        <v>197</v>
      </c>
      <c r="U102" s="12" t="s">
        <v>99</v>
      </c>
      <c r="V102" s="12" t="s">
        <v>100</v>
      </c>
      <c r="W102" s="12" t="s">
        <v>100</v>
      </c>
      <c r="X102" s="12" t="s">
        <v>27</v>
      </c>
      <c r="Y102" s="12" t="s">
        <v>206</v>
      </c>
      <c r="Z102" s="12" t="s">
        <v>207</v>
      </c>
      <c r="AA102" s="12" t="s">
        <v>208</v>
      </c>
      <c r="AB102" s="12">
        <v>0</v>
      </c>
      <c r="AC102" s="12">
        <v>1</v>
      </c>
      <c r="AD102" s="12" t="s">
        <v>207</v>
      </c>
      <c r="AE102" s="12" t="s">
        <v>208</v>
      </c>
      <c r="AF102" s="11">
        <v>46168.611851851849</v>
      </c>
      <c r="AG102" s="11">
        <v>46188.431388888886</v>
      </c>
      <c r="AH102" s="12" t="s">
        <v>282</v>
      </c>
    </row>
    <row r="103" spans="1:34" ht="29" x14ac:dyDescent="0.35">
      <c r="A103" s="11">
        <v>46181.338217592587</v>
      </c>
      <c r="B103" s="11">
        <v>46188.556851851848</v>
      </c>
      <c r="C103" s="12" t="s">
        <v>87</v>
      </c>
      <c r="D103" s="12" t="s">
        <v>103</v>
      </c>
      <c r="E103" s="12" t="s">
        <v>210</v>
      </c>
      <c r="F103" s="12" t="s">
        <v>211</v>
      </c>
      <c r="G103" s="12" t="s">
        <v>211</v>
      </c>
      <c r="H103" s="12" t="s">
        <v>81</v>
      </c>
      <c r="I103" s="12"/>
      <c r="J103" s="12"/>
      <c r="K103" s="12"/>
      <c r="L103" s="12" t="s">
        <v>194</v>
      </c>
      <c r="M103" s="12" t="s">
        <v>194</v>
      </c>
      <c r="N103" s="12" t="s">
        <v>194</v>
      </c>
      <c r="O103" s="12" t="s">
        <v>263</v>
      </c>
      <c r="P103" s="12" t="s">
        <v>263</v>
      </c>
      <c r="Q103" s="12" t="s">
        <v>195</v>
      </c>
      <c r="R103" s="12" t="s">
        <v>195</v>
      </c>
      <c r="S103" s="12" t="s">
        <v>195</v>
      </c>
      <c r="T103" s="12" t="s">
        <v>197</v>
      </c>
      <c r="U103" s="12" t="s">
        <v>99</v>
      </c>
      <c r="V103" s="12" t="s">
        <v>100</v>
      </c>
      <c r="W103" s="12" t="s">
        <v>100</v>
      </c>
      <c r="X103" s="12" t="s">
        <v>23</v>
      </c>
      <c r="Y103" s="12" t="s">
        <v>80</v>
      </c>
      <c r="Z103" s="12" t="s">
        <v>197</v>
      </c>
      <c r="AA103" s="12" t="s">
        <v>99</v>
      </c>
      <c r="AB103" s="12">
        <v>11</v>
      </c>
      <c r="AC103" s="12">
        <v>14</v>
      </c>
      <c r="AD103" s="12" t="s">
        <v>197</v>
      </c>
      <c r="AE103" s="12" t="s">
        <v>99</v>
      </c>
      <c r="AF103" s="11">
        <v>46168.612858796303</v>
      </c>
      <c r="AG103" s="11">
        <v>46184.583414351851</v>
      </c>
      <c r="AH103" s="12" t="s">
        <v>212</v>
      </c>
    </row>
    <row r="104" spans="1:34" ht="29" x14ac:dyDescent="0.35">
      <c r="A104" s="11">
        <v>46181.338217592587</v>
      </c>
      <c r="B104" s="11">
        <v>46188.556851851848</v>
      </c>
      <c r="C104" s="12" t="s">
        <v>87</v>
      </c>
      <c r="D104" s="12" t="s">
        <v>103</v>
      </c>
      <c r="E104" s="12" t="s">
        <v>213</v>
      </c>
      <c r="F104" s="12" t="s">
        <v>214</v>
      </c>
      <c r="G104" s="12" t="s">
        <v>214</v>
      </c>
      <c r="H104" s="12" t="s">
        <v>81</v>
      </c>
      <c r="I104" s="12"/>
      <c r="J104" s="12"/>
      <c r="K104" s="12"/>
      <c r="L104" s="12" t="s">
        <v>194</v>
      </c>
      <c r="M104" s="12" t="s">
        <v>194</v>
      </c>
      <c r="N104" s="12" t="s">
        <v>194</v>
      </c>
      <c r="O104" s="12" t="s">
        <v>263</v>
      </c>
      <c r="P104" s="12" t="s">
        <v>263</v>
      </c>
      <c r="Q104" s="12" t="s">
        <v>195</v>
      </c>
      <c r="R104" s="12" t="s">
        <v>195</v>
      </c>
      <c r="S104" s="12" t="s">
        <v>195</v>
      </c>
      <c r="T104" s="12" t="s">
        <v>197</v>
      </c>
      <c r="U104" s="12" t="s">
        <v>197</v>
      </c>
      <c r="V104" s="12" t="s">
        <v>100</v>
      </c>
      <c r="W104" s="12" t="s">
        <v>100</v>
      </c>
      <c r="X104" s="12" t="s">
        <v>27</v>
      </c>
      <c r="Y104" s="12" t="s">
        <v>206</v>
      </c>
      <c r="Z104" s="12" t="s">
        <v>207</v>
      </c>
      <c r="AA104" s="12" t="s">
        <v>215</v>
      </c>
      <c r="AB104" s="12">
        <v>0</v>
      </c>
      <c r="AC104" s="12">
        <v>2</v>
      </c>
      <c r="AD104" s="12" t="s">
        <v>207</v>
      </c>
      <c r="AE104" s="12" t="s">
        <v>215</v>
      </c>
      <c r="AF104" s="11">
        <v>46168.630624999998</v>
      </c>
      <c r="AG104" s="11">
        <v>46182.635706018518</v>
      </c>
      <c r="AH104" s="12" t="s">
        <v>216</v>
      </c>
    </row>
    <row r="105" spans="1:34" ht="29" x14ac:dyDescent="0.35">
      <c r="A105" s="11">
        <v>46181.338217592587</v>
      </c>
      <c r="B105" s="11">
        <v>46188.556851851848</v>
      </c>
      <c r="C105" s="12" t="s">
        <v>87</v>
      </c>
      <c r="D105" s="12" t="s">
        <v>103</v>
      </c>
      <c r="E105" s="12" t="s">
        <v>217</v>
      </c>
      <c r="F105" s="12" t="s">
        <v>218</v>
      </c>
      <c r="G105" s="12" t="s">
        <v>218</v>
      </c>
      <c r="H105" s="12" t="s">
        <v>81</v>
      </c>
      <c r="I105" s="12"/>
      <c r="J105" s="12"/>
      <c r="K105" s="12"/>
      <c r="L105" s="12" t="s">
        <v>194</v>
      </c>
      <c r="M105" s="12" t="s">
        <v>194</v>
      </c>
      <c r="N105" s="12" t="s">
        <v>194</v>
      </c>
      <c r="O105" s="12" t="s">
        <v>263</v>
      </c>
      <c r="P105" s="12" t="s">
        <v>263</v>
      </c>
      <c r="Q105" s="12" t="s">
        <v>195</v>
      </c>
      <c r="R105" s="12" t="s">
        <v>195</v>
      </c>
      <c r="S105" s="12" t="s">
        <v>195</v>
      </c>
      <c r="T105" s="12" t="s">
        <v>197</v>
      </c>
      <c r="U105" s="12" t="s">
        <v>197</v>
      </c>
      <c r="V105" s="12" t="s">
        <v>100</v>
      </c>
      <c r="W105" s="12" t="s">
        <v>100</v>
      </c>
      <c r="X105" s="12" t="s">
        <v>27</v>
      </c>
      <c r="Y105" s="12" t="s">
        <v>206</v>
      </c>
      <c r="Z105" s="12" t="s">
        <v>207</v>
      </c>
      <c r="AA105" s="12" t="s">
        <v>215</v>
      </c>
      <c r="AB105" s="12">
        <v>0</v>
      </c>
      <c r="AC105" s="12">
        <v>2</v>
      </c>
      <c r="AD105" s="12" t="s">
        <v>207</v>
      </c>
      <c r="AE105" s="12" t="s">
        <v>215</v>
      </c>
      <c r="AF105" s="11">
        <v>46168.638009259259</v>
      </c>
      <c r="AG105" s="11">
        <v>46182.413715277777</v>
      </c>
      <c r="AH105" s="12" t="s">
        <v>219</v>
      </c>
    </row>
    <row r="106" spans="1:34" ht="29" x14ac:dyDescent="0.35">
      <c r="A106" s="11">
        <v>46181.338217592587</v>
      </c>
      <c r="B106" s="11">
        <v>46188.556851851848</v>
      </c>
      <c r="C106" s="12" t="s">
        <v>87</v>
      </c>
      <c r="D106" s="12" t="s">
        <v>103</v>
      </c>
      <c r="E106" s="12" t="s">
        <v>283</v>
      </c>
      <c r="F106" s="12" t="s">
        <v>284</v>
      </c>
      <c r="G106" s="12" t="s">
        <v>284</v>
      </c>
      <c r="H106" s="12" t="s">
        <v>81</v>
      </c>
      <c r="I106" s="12"/>
      <c r="J106" s="12"/>
      <c r="K106" s="12"/>
      <c r="L106" s="12" t="s">
        <v>194</v>
      </c>
      <c r="M106" s="12" t="s">
        <v>260</v>
      </c>
      <c r="N106" s="12" t="s">
        <v>260</v>
      </c>
      <c r="O106" s="12" t="s">
        <v>263</v>
      </c>
      <c r="P106" s="12" t="s">
        <v>264</v>
      </c>
      <c r="Q106" s="12" t="s">
        <v>195</v>
      </c>
      <c r="R106" s="12" t="s">
        <v>195</v>
      </c>
      <c r="S106" s="12" t="s">
        <v>195</v>
      </c>
      <c r="T106" s="12" t="s">
        <v>197</v>
      </c>
      <c r="U106" s="12" t="s">
        <v>99</v>
      </c>
      <c r="V106" s="12" t="s">
        <v>100</v>
      </c>
      <c r="W106" s="12" t="s">
        <v>100</v>
      </c>
      <c r="X106" s="12" t="s">
        <v>24</v>
      </c>
      <c r="Y106" s="12" t="s">
        <v>92</v>
      </c>
      <c r="Z106" s="12" t="s">
        <v>194</v>
      </c>
      <c r="AA106" s="12" t="s">
        <v>260</v>
      </c>
      <c r="AB106" s="12">
        <v>6</v>
      </c>
      <c r="AC106" s="12">
        <v>6</v>
      </c>
      <c r="AD106" s="12" t="s">
        <v>194</v>
      </c>
      <c r="AE106" s="12" t="s">
        <v>260</v>
      </c>
      <c r="AF106" s="11">
        <v>46168.639201388891</v>
      </c>
      <c r="AG106" s="11">
        <v>46184.544432870367</v>
      </c>
      <c r="AH106" s="12" t="s">
        <v>285</v>
      </c>
    </row>
    <row r="107" spans="1:34" ht="29" x14ac:dyDescent="0.35">
      <c r="A107" s="11">
        <v>46181.338217592587</v>
      </c>
      <c r="B107" s="11">
        <v>46188.556851851848</v>
      </c>
      <c r="C107" s="12" t="s">
        <v>87</v>
      </c>
      <c r="D107" s="12" t="s">
        <v>103</v>
      </c>
      <c r="E107" s="12" t="s">
        <v>283</v>
      </c>
      <c r="F107" s="12" t="s">
        <v>284</v>
      </c>
      <c r="G107" s="12" t="s">
        <v>284</v>
      </c>
      <c r="H107" s="12" t="s">
        <v>81</v>
      </c>
      <c r="I107" s="12"/>
      <c r="J107" s="12"/>
      <c r="K107" s="12"/>
      <c r="L107" s="12" t="s">
        <v>194</v>
      </c>
      <c r="M107" s="12" t="s">
        <v>260</v>
      </c>
      <c r="N107" s="12" t="s">
        <v>260</v>
      </c>
      <c r="O107" s="12" t="s">
        <v>263</v>
      </c>
      <c r="P107" s="12" t="s">
        <v>264</v>
      </c>
      <c r="Q107" s="12" t="s">
        <v>195</v>
      </c>
      <c r="R107" s="12" t="s">
        <v>195</v>
      </c>
      <c r="S107" s="12" t="s">
        <v>195</v>
      </c>
      <c r="T107" s="12" t="s">
        <v>197</v>
      </c>
      <c r="U107" s="12" t="s">
        <v>99</v>
      </c>
      <c r="V107" s="12" t="s">
        <v>100</v>
      </c>
      <c r="W107" s="12" t="s">
        <v>100</v>
      </c>
      <c r="X107" s="12" t="s">
        <v>25</v>
      </c>
      <c r="Y107" s="12" t="s">
        <v>262</v>
      </c>
      <c r="Z107" s="12" t="s">
        <v>263</v>
      </c>
      <c r="AA107" s="12" t="s">
        <v>264</v>
      </c>
      <c r="AB107" s="12">
        <v>3</v>
      </c>
      <c r="AC107" s="12">
        <v>4</v>
      </c>
      <c r="AD107" s="12" t="s">
        <v>263</v>
      </c>
      <c r="AE107" s="12" t="s">
        <v>264</v>
      </c>
      <c r="AF107" s="11">
        <v>46168.639201388891</v>
      </c>
      <c r="AG107" s="11">
        <v>46184.544432870367</v>
      </c>
      <c r="AH107" s="12" t="s">
        <v>285</v>
      </c>
    </row>
    <row r="108" spans="1:34" ht="29" x14ac:dyDescent="0.35">
      <c r="A108" s="11">
        <v>46181.338217592587</v>
      </c>
      <c r="B108" s="11">
        <v>46188.556851851848</v>
      </c>
      <c r="C108" s="12" t="s">
        <v>87</v>
      </c>
      <c r="D108" s="12" t="s">
        <v>103</v>
      </c>
      <c r="E108" s="12" t="s">
        <v>283</v>
      </c>
      <c r="F108" s="12" t="s">
        <v>284</v>
      </c>
      <c r="G108" s="12" t="s">
        <v>284</v>
      </c>
      <c r="H108" s="12" t="s">
        <v>81</v>
      </c>
      <c r="I108" s="12"/>
      <c r="J108" s="12"/>
      <c r="K108" s="12"/>
      <c r="L108" s="12" t="s">
        <v>194</v>
      </c>
      <c r="M108" s="12" t="s">
        <v>260</v>
      </c>
      <c r="N108" s="12" t="s">
        <v>260</v>
      </c>
      <c r="O108" s="12" t="s">
        <v>263</v>
      </c>
      <c r="P108" s="12" t="s">
        <v>264</v>
      </c>
      <c r="Q108" s="12" t="s">
        <v>195</v>
      </c>
      <c r="R108" s="12" t="s">
        <v>195</v>
      </c>
      <c r="S108" s="12" t="s">
        <v>195</v>
      </c>
      <c r="T108" s="12" t="s">
        <v>197</v>
      </c>
      <c r="U108" s="12" t="s">
        <v>99</v>
      </c>
      <c r="V108" s="12" t="s">
        <v>100</v>
      </c>
      <c r="W108" s="12" t="s">
        <v>100</v>
      </c>
      <c r="X108" s="12" t="s">
        <v>23</v>
      </c>
      <c r="Y108" s="12" t="s">
        <v>80</v>
      </c>
      <c r="Z108" s="12" t="s">
        <v>197</v>
      </c>
      <c r="AA108" s="12" t="s">
        <v>99</v>
      </c>
      <c r="AB108" s="12">
        <v>11</v>
      </c>
      <c r="AC108" s="12">
        <v>14</v>
      </c>
      <c r="AD108" s="12" t="s">
        <v>197</v>
      </c>
      <c r="AE108" s="12" t="s">
        <v>99</v>
      </c>
      <c r="AF108" s="11">
        <v>46168.639201388891</v>
      </c>
      <c r="AG108" s="11">
        <v>46184.544432870367</v>
      </c>
      <c r="AH108" s="12" t="s">
        <v>285</v>
      </c>
    </row>
    <row r="109" spans="1:34" ht="29" x14ac:dyDescent="0.35">
      <c r="A109" s="11">
        <v>46181.338217592587</v>
      </c>
      <c r="B109" s="11">
        <v>46188.556851851848</v>
      </c>
      <c r="C109" s="12" t="s">
        <v>87</v>
      </c>
      <c r="D109" s="12" t="s">
        <v>103</v>
      </c>
      <c r="E109" s="12" t="s">
        <v>283</v>
      </c>
      <c r="F109" s="12" t="s">
        <v>284</v>
      </c>
      <c r="G109" s="12" t="s">
        <v>284</v>
      </c>
      <c r="H109" s="12" t="s">
        <v>81</v>
      </c>
      <c r="I109" s="12"/>
      <c r="J109" s="12"/>
      <c r="K109" s="12"/>
      <c r="L109" s="12" t="s">
        <v>194</v>
      </c>
      <c r="M109" s="12" t="s">
        <v>260</v>
      </c>
      <c r="N109" s="12" t="s">
        <v>260</v>
      </c>
      <c r="O109" s="12" t="s">
        <v>263</v>
      </c>
      <c r="P109" s="12" t="s">
        <v>264</v>
      </c>
      <c r="Q109" s="12" t="s">
        <v>195</v>
      </c>
      <c r="R109" s="12" t="s">
        <v>195</v>
      </c>
      <c r="S109" s="12" t="s">
        <v>195</v>
      </c>
      <c r="T109" s="12" t="s">
        <v>197</v>
      </c>
      <c r="U109" s="12" t="s">
        <v>99</v>
      </c>
      <c r="V109" s="12" t="s">
        <v>100</v>
      </c>
      <c r="W109" s="12" t="s">
        <v>100</v>
      </c>
      <c r="X109" s="12" t="s">
        <v>26</v>
      </c>
      <c r="Y109" s="12" t="s">
        <v>265</v>
      </c>
      <c r="Z109" s="12" t="s">
        <v>266</v>
      </c>
      <c r="AA109" s="12" t="s">
        <v>267</v>
      </c>
      <c r="AB109" s="12">
        <v>10</v>
      </c>
      <c r="AC109" s="12">
        <v>7</v>
      </c>
      <c r="AD109" s="12" t="s">
        <v>266</v>
      </c>
      <c r="AE109" s="12" t="s">
        <v>267</v>
      </c>
      <c r="AF109" s="11">
        <v>46168.639201388891</v>
      </c>
      <c r="AG109" s="11">
        <v>46184.544432870367</v>
      </c>
      <c r="AH109" s="12" t="s">
        <v>285</v>
      </c>
    </row>
    <row r="110" spans="1:34" ht="29" x14ac:dyDescent="0.35">
      <c r="A110" s="11">
        <v>46181.338217592587</v>
      </c>
      <c r="B110" s="11">
        <v>46188.556851851848</v>
      </c>
      <c r="C110" s="12" t="s">
        <v>87</v>
      </c>
      <c r="D110" s="12" t="s">
        <v>103</v>
      </c>
      <c r="E110" s="12" t="s">
        <v>286</v>
      </c>
      <c r="F110" s="12" t="s">
        <v>287</v>
      </c>
      <c r="G110" s="12" t="s">
        <v>287</v>
      </c>
      <c r="H110" s="12" t="s">
        <v>81</v>
      </c>
      <c r="I110" s="12"/>
      <c r="J110" s="12"/>
      <c r="K110" s="12"/>
      <c r="L110" s="12" t="s">
        <v>194</v>
      </c>
      <c r="M110" s="12" t="s">
        <v>260</v>
      </c>
      <c r="N110" s="12" t="s">
        <v>260</v>
      </c>
      <c r="O110" s="12" t="s">
        <v>263</v>
      </c>
      <c r="P110" s="12" t="s">
        <v>264</v>
      </c>
      <c r="Q110" s="12" t="s">
        <v>195</v>
      </c>
      <c r="R110" s="12" t="s">
        <v>195</v>
      </c>
      <c r="S110" s="12" t="s">
        <v>195</v>
      </c>
      <c r="T110" s="12" t="s">
        <v>197</v>
      </c>
      <c r="U110" s="12" t="s">
        <v>99</v>
      </c>
      <c r="V110" s="12" t="s">
        <v>100</v>
      </c>
      <c r="W110" s="12" t="s">
        <v>100</v>
      </c>
      <c r="X110" s="12" t="s">
        <v>24</v>
      </c>
      <c r="Y110" s="12" t="s">
        <v>92</v>
      </c>
      <c r="Z110" s="12" t="s">
        <v>194</v>
      </c>
      <c r="AA110" s="12" t="s">
        <v>260</v>
      </c>
      <c r="AB110" s="12">
        <v>6</v>
      </c>
      <c r="AC110" s="12">
        <v>6</v>
      </c>
      <c r="AD110" s="12" t="s">
        <v>194</v>
      </c>
      <c r="AE110" s="12" t="s">
        <v>260</v>
      </c>
      <c r="AF110" s="11">
        <v>46168.642627314817</v>
      </c>
      <c r="AG110" s="11">
        <v>46183.606168981481</v>
      </c>
      <c r="AH110" s="12" t="s">
        <v>288</v>
      </c>
    </row>
    <row r="111" spans="1:34" ht="29" x14ac:dyDescent="0.35">
      <c r="A111" s="11">
        <v>46181.338217592587</v>
      </c>
      <c r="B111" s="11">
        <v>46188.556851851848</v>
      </c>
      <c r="C111" s="12" t="s">
        <v>87</v>
      </c>
      <c r="D111" s="12" t="s">
        <v>103</v>
      </c>
      <c r="E111" s="12" t="s">
        <v>286</v>
      </c>
      <c r="F111" s="12" t="s">
        <v>287</v>
      </c>
      <c r="G111" s="12" t="s">
        <v>287</v>
      </c>
      <c r="H111" s="12" t="s">
        <v>81</v>
      </c>
      <c r="I111" s="12"/>
      <c r="J111" s="12"/>
      <c r="K111" s="12"/>
      <c r="L111" s="12" t="s">
        <v>194</v>
      </c>
      <c r="M111" s="12" t="s">
        <v>260</v>
      </c>
      <c r="N111" s="12" t="s">
        <v>260</v>
      </c>
      <c r="O111" s="12" t="s">
        <v>263</v>
      </c>
      <c r="P111" s="12" t="s">
        <v>264</v>
      </c>
      <c r="Q111" s="12" t="s">
        <v>195</v>
      </c>
      <c r="R111" s="12" t="s">
        <v>195</v>
      </c>
      <c r="S111" s="12" t="s">
        <v>195</v>
      </c>
      <c r="T111" s="12" t="s">
        <v>197</v>
      </c>
      <c r="U111" s="12" t="s">
        <v>99</v>
      </c>
      <c r="V111" s="12" t="s">
        <v>100</v>
      </c>
      <c r="W111" s="12" t="s">
        <v>100</v>
      </c>
      <c r="X111" s="12" t="s">
        <v>25</v>
      </c>
      <c r="Y111" s="12" t="s">
        <v>262</v>
      </c>
      <c r="Z111" s="12" t="s">
        <v>263</v>
      </c>
      <c r="AA111" s="12" t="s">
        <v>264</v>
      </c>
      <c r="AB111" s="12">
        <v>3</v>
      </c>
      <c r="AC111" s="12">
        <v>4</v>
      </c>
      <c r="AD111" s="12" t="s">
        <v>263</v>
      </c>
      <c r="AE111" s="12" t="s">
        <v>264</v>
      </c>
      <c r="AF111" s="11">
        <v>46168.642627314817</v>
      </c>
      <c r="AG111" s="11">
        <v>46183.606168981481</v>
      </c>
      <c r="AH111" s="12" t="s">
        <v>288</v>
      </c>
    </row>
    <row r="112" spans="1:34" ht="29" x14ac:dyDescent="0.35">
      <c r="A112" s="11">
        <v>46181.338217592587</v>
      </c>
      <c r="B112" s="11">
        <v>46188.556851851848</v>
      </c>
      <c r="C112" s="12" t="s">
        <v>87</v>
      </c>
      <c r="D112" s="12" t="s">
        <v>103</v>
      </c>
      <c r="E112" s="12" t="s">
        <v>286</v>
      </c>
      <c r="F112" s="12" t="s">
        <v>287</v>
      </c>
      <c r="G112" s="12" t="s">
        <v>287</v>
      </c>
      <c r="H112" s="12" t="s">
        <v>81</v>
      </c>
      <c r="I112" s="12"/>
      <c r="J112" s="12"/>
      <c r="K112" s="12"/>
      <c r="L112" s="12" t="s">
        <v>194</v>
      </c>
      <c r="M112" s="12" t="s">
        <v>260</v>
      </c>
      <c r="N112" s="12" t="s">
        <v>260</v>
      </c>
      <c r="O112" s="12" t="s">
        <v>263</v>
      </c>
      <c r="P112" s="12" t="s">
        <v>264</v>
      </c>
      <c r="Q112" s="12" t="s">
        <v>195</v>
      </c>
      <c r="R112" s="12" t="s">
        <v>195</v>
      </c>
      <c r="S112" s="12" t="s">
        <v>195</v>
      </c>
      <c r="T112" s="12" t="s">
        <v>197</v>
      </c>
      <c r="U112" s="12" t="s">
        <v>99</v>
      </c>
      <c r="V112" s="12" t="s">
        <v>100</v>
      </c>
      <c r="W112" s="12" t="s">
        <v>100</v>
      </c>
      <c r="X112" s="12" t="s">
        <v>23</v>
      </c>
      <c r="Y112" s="12" t="s">
        <v>80</v>
      </c>
      <c r="Z112" s="12" t="s">
        <v>197</v>
      </c>
      <c r="AA112" s="12" t="s">
        <v>99</v>
      </c>
      <c r="AB112" s="12">
        <v>11</v>
      </c>
      <c r="AC112" s="12">
        <v>14</v>
      </c>
      <c r="AD112" s="12" t="s">
        <v>197</v>
      </c>
      <c r="AE112" s="12" t="s">
        <v>99</v>
      </c>
      <c r="AF112" s="11">
        <v>46168.642627314817</v>
      </c>
      <c r="AG112" s="11">
        <v>46183.606168981481</v>
      </c>
      <c r="AH112" s="12" t="s">
        <v>288</v>
      </c>
    </row>
    <row r="113" spans="1:34" ht="29" x14ac:dyDescent="0.35">
      <c r="A113" s="11">
        <v>46181.338217592587</v>
      </c>
      <c r="B113" s="11">
        <v>46188.556851851848</v>
      </c>
      <c r="C113" s="12" t="s">
        <v>87</v>
      </c>
      <c r="D113" s="12" t="s">
        <v>103</v>
      </c>
      <c r="E113" s="12" t="s">
        <v>286</v>
      </c>
      <c r="F113" s="12" t="s">
        <v>287</v>
      </c>
      <c r="G113" s="12" t="s">
        <v>287</v>
      </c>
      <c r="H113" s="12" t="s">
        <v>81</v>
      </c>
      <c r="I113" s="12"/>
      <c r="J113" s="12"/>
      <c r="K113" s="12"/>
      <c r="L113" s="12" t="s">
        <v>194</v>
      </c>
      <c r="M113" s="12" t="s">
        <v>260</v>
      </c>
      <c r="N113" s="12" t="s">
        <v>260</v>
      </c>
      <c r="O113" s="12" t="s">
        <v>263</v>
      </c>
      <c r="P113" s="12" t="s">
        <v>264</v>
      </c>
      <c r="Q113" s="12" t="s">
        <v>195</v>
      </c>
      <c r="R113" s="12" t="s">
        <v>195</v>
      </c>
      <c r="S113" s="12" t="s">
        <v>195</v>
      </c>
      <c r="T113" s="12" t="s">
        <v>197</v>
      </c>
      <c r="U113" s="12" t="s">
        <v>99</v>
      </c>
      <c r="V113" s="12" t="s">
        <v>100</v>
      </c>
      <c r="W113" s="12" t="s">
        <v>100</v>
      </c>
      <c r="X113" s="12" t="s">
        <v>26</v>
      </c>
      <c r="Y113" s="12" t="s">
        <v>265</v>
      </c>
      <c r="Z113" s="12" t="s">
        <v>266</v>
      </c>
      <c r="AA113" s="12" t="s">
        <v>267</v>
      </c>
      <c r="AB113" s="12">
        <v>10</v>
      </c>
      <c r="AC113" s="12">
        <v>7</v>
      </c>
      <c r="AD113" s="12" t="s">
        <v>266</v>
      </c>
      <c r="AE113" s="12" t="s">
        <v>267</v>
      </c>
      <c r="AF113" s="11">
        <v>46168.642627314817</v>
      </c>
      <c r="AG113" s="11">
        <v>46183.606168981481</v>
      </c>
      <c r="AH113" s="12" t="s">
        <v>288</v>
      </c>
    </row>
    <row r="114" spans="1:34" ht="29" x14ac:dyDescent="0.35">
      <c r="A114" s="11">
        <v>46181.338217592587</v>
      </c>
      <c r="B114" s="11">
        <v>46188.556851851848</v>
      </c>
      <c r="C114" s="12" t="s">
        <v>87</v>
      </c>
      <c r="D114" s="12" t="s">
        <v>103</v>
      </c>
      <c r="E114" s="12" t="s">
        <v>286</v>
      </c>
      <c r="F114" s="12" t="s">
        <v>287</v>
      </c>
      <c r="G114" s="12" t="s">
        <v>287</v>
      </c>
      <c r="H114" s="12" t="s">
        <v>81</v>
      </c>
      <c r="I114" s="12"/>
      <c r="J114" s="12"/>
      <c r="K114" s="12"/>
      <c r="L114" s="12" t="s">
        <v>194</v>
      </c>
      <c r="M114" s="12" t="s">
        <v>260</v>
      </c>
      <c r="N114" s="12" t="s">
        <v>260</v>
      </c>
      <c r="O114" s="12" t="s">
        <v>263</v>
      </c>
      <c r="P114" s="12" t="s">
        <v>264</v>
      </c>
      <c r="Q114" s="12" t="s">
        <v>195</v>
      </c>
      <c r="R114" s="12" t="s">
        <v>195</v>
      </c>
      <c r="S114" s="12" t="s">
        <v>195</v>
      </c>
      <c r="T114" s="12" t="s">
        <v>197</v>
      </c>
      <c r="U114" s="12" t="s">
        <v>99</v>
      </c>
      <c r="V114" s="12" t="s">
        <v>100</v>
      </c>
      <c r="W114" s="12" t="s">
        <v>100</v>
      </c>
      <c r="X114" s="12" t="s">
        <v>27</v>
      </c>
      <c r="Y114" s="12" t="s">
        <v>206</v>
      </c>
      <c r="Z114" s="12" t="s">
        <v>207</v>
      </c>
      <c r="AA114" s="12" t="s">
        <v>208</v>
      </c>
      <c r="AB114" s="12">
        <v>0</v>
      </c>
      <c r="AC114" s="12">
        <v>1</v>
      </c>
      <c r="AD114" s="12" t="s">
        <v>207</v>
      </c>
      <c r="AE114" s="12" t="s">
        <v>208</v>
      </c>
      <c r="AF114" s="11">
        <v>46168.642627314817</v>
      </c>
      <c r="AG114" s="11">
        <v>46183.606168981481</v>
      </c>
      <c r="AH114" s="12" t="s">
        <v>288</v>
      </c>
    </row>
    <row r="115" spans="1:34" ht="29" x14ac:dyDescent="0.35">
      <c r="A115" s="11">
        <v>46181.338217592587</v>
      </c>
      <c r="B115" s="11">
        <v>46188.556851851848</v>
      </c>
      <c r="C115" s="12" t="s">
        <v>87</v>
      </c>
      <c r="D115" s="12" t="s">
        <v>103</v>
      </c>
      <c r="E115" s="12" t="s">
        <v>289</v>
      </c>
      <c r="F115" s="12" t="s">
        <v>290</v>
      </c>
      <c r="G115" s="12" t="s">
        <v>290</v>
      </c>
      <c r="H115" s="12" t="s">
        <v>81</v>
      </c>
      <c r="I115" s="12"/>
      <c r="J115" s="12"/>
      <c r="K115" s="12"/>
      <c r="L115" s="12" t="s">
        <v>194</v>
      </c>
      <c r="M115" s="12" t="s">
        <v>260</v>
      </c>
      <c r="N115" s="12" t="s">
        <v>260</v>
      </c>
      <c r="O115" s="12" t="s">
        <v>263</v>
      </c>
      <c r="P115" s="12" t="s">
        <v>264</v>
      </c>
      <c r="Q115" s="12" t="s">
        <v>195</v>
      </c>
      <c r="R115" s="12" t="s">
        <v>195</v>
      </c>
      <c r="S115" s="12" t="s">
        <v>195</v>
      </c>
      <c r="T115" s="12" t="s">
        <v>197</v>
      </c>
      <c r="U115" s="12" t="s">
        <v>99</v>
      </c>
      <c r="V115" s="12" t="s">
        <v>100</v>
      </c>
      <c r="W115" s="12" t="s">
        <v>100</v>
      </c>
      <c r="X115" s="12" t="s">
        <v>24</v>
      </c>
      <c r="Y115" s="12" t="s">
        <v>92</v>
      </c>
      <c r="Z115" s="12" t="s">
        <v>194</v>
      </c>
      <c r="AA115" s="12" t="s">
        <v>260</v>
      </c>
      <c r="AB115" s="12">
        <v>6</v>
      </c>
      <c r="AC115" s="12">
        <v>6</v>
      </c>
      <c r="AD115" s="12" t="s">
        <v>194</v>
      </c>
      <c r="AE115" s="12" t="s">
        <v>260</v>
      </c>
      <c r="AF115" s="11">
        <v>46168.650636574072</v>
      </c>
      <c r="AG115" s="11">
        <v>46184.613645833328</v>
      </c>
      <c r="AH115" s="12" t="s">
        <v>291</v>
      </c>
    </row>
    <row r="116" spans="1:34" ht="29" x14ac:dyDescent="0.35">
      <c r="A116" s="11">
        <v>46181.338217592587</v>
      </c>
      <c r="B116" s="11">
        <v>46188.556851851848</v>
      </c>
      <c r="C116" s="12" t="s">
        <v>87</v>
      </c>
      <c r="D116" s="12" t="s">
        <v>103</v>
      </c>
      <c r="E116" s="12" t="s">
        <v>289</v>
      </c>
      <c r="F116" s="12" t="s">
        <v>290</v>
      </c>
      <c r="G116" s="12" t="s">
        <v>290</v>
      </c>
      <c r="H116" s="12" t="s">
        <v>81</v>
      </c>
      <c r="I116" s="12"/>
      <c r="J116" s="12"/>
      <c r="K116" s="12"/>
      <c r="L116" s="12" t="s">
        <v>194</v>
      </c>
      <c r="M116" s="12" t="s">
        <v>260</v>
      </c>
      <c r="N116" s="12" t="s">
        <v>260</v>
      </c>
      <c r="O116" s="12" t="s">
        <v>263</v>
      </c>
      <c r="P116" s="12" t="s">
        <v>264</v>
      </c>
      <c r="Q116" s="12" t="s">
        <v>195</v>
      </c>
      <c r="R116" s="12" t="s">
        <v>195</v>
      </c>
      <c r="S116" s="12" t="s">
        <v>195</v>
      </c>
      <c r="T116" s="12" t="s">
        <v>197</v>
      </c>
      <c r="U116" s="12" t="s">
        <v>99</v>
      </c>
      <c r="V116" s="12" t="s">
        <v>100</v>
      </c>
      <c r="W116" s="12" t="s">
        <v>100</v>
      </c>
      <c r="X116" s="12" t="s">
        <v>25</v>
      </c>
      <c r="Y116" s="12" t="s">
        <v>262</v>
      </c>
      <c r="Z116" s="12" t="s">
        <v>263</v>
      </c>
      <c r="AA116" s="12" t="s">
        <v>264</v>
      </c>
      <c r="AB116" s="12">
        <v>3</v>
      </c>
      <c r="AC116" s="12">
        <v>4</v>
      </c>
      <c r="AD116" s="12" t="s">
        <v>263</v>
      </c>
      <c r="AE116" s="12" t="s">
        <v>264</v>
      </c>
      <c r="AF116" s="11">
        <v>46168.650636574072</v>
      </c>
      <c r="AG116" s="11">
        <v>46184.613645833328</v>
      </c>
      <c r="AH116" s="12" t="s">
        <v>291</v>
      </c>
    </row>
    <row r="117" spans="1:34" ht="29" x14ac:dyDescent="0.35">
      <c r="A117" s="11">
        <v>46181.338217592587</v>
      </c>
      <c r="B117" s="11">
        <v>46188.556851851848</v>
      </c>
      <c r="C117" s="12" t="s">
        <v>87</v>
      </c>
      <c r="D117" s="12" t="s">
        <v>103</v>
      </c>
      <c r="E117" s="12" t="s">
        <v>289</v>
      </c>
      <c r="F117" s="12" t="s">
        <v>290</v>
      </c>
      <c r="G117" s="12" t="s">
        <v>290</v>
      </c>
      <c r="H117" s="12" t="s">
        <v>81</v>
      </c>
      <c r="I117" s="12"/>
      <c r="J117" s="12"/>
      <c r="K117" s="12"/>
      <c r="L117" s="12" t="s">
        <v>194</v>
      </c>
      <c r="M117" s="12" t="s">
        <v>260</v>
      </c>
      <c r="N117" s="12" t="s">
        <v>260</v>
      </c>
      <c r="O117" s="12" t="s">
        <v>263</v>
      </c>
      <c r="P117" s="12" t="s">
        <v>264</v>
      </c>
      <c r="Q117" s="12" t="s">
        <v>195</v>
      </c>
      <c r="R117" s="12" t="s">
        <v>195</v>
      </c>
      <c r="S117" s="12" t="s">
        <v>195</v>
      </c>
      <c r="T117" s="12" t="s">
        <v>197</v>
      </c>
      <c r="U117" s="12" t="s">
        <v>99</v>
      </c>
      <c r="V117" s="12" t="s">
        <v>100</v>
      </c>
      <c r="W117" s="12" t="s">
        <v>100</v>
      </c>
      <c r="X117" s="12" t="s">
        <v>23</v>
      </c>
      <c r="Y117" s="12" t="s">
        <v>80</v>
      </c>
      <c r="Z117" s="12" t="s">
        <v>197</v>
      </c>
      <c r="AA117" s="12" t="s">
        <v>99</v>
      </c>
      <c r="AB117" s="12">
        <v>11</v>
      </c>
      <c r="AC117" s="12">
        <v>14</v>
      </c>
      <c r="AD117" s="12" t="s">
        <v>197</v>
      </c>
      <c r="AE117" s="12" t="s">
        <v>99</v>
      </c>
      <c r="AF117" s="11">
        <v>46168.650636574072</v>
      </c>
      <c r="AG117" s="11">
        <v>46184.613645833328</v>
      </c>
      <c r="AH117" s="12" t="s">
        <v>291</v>
      </c>
    </row>
    <row r="118" spans="1:34" ht="29" x14ac:dyDescent="0.35">
      <c r="A118" s="11">
        <v>46181.338217592587</v>
      </c>
      <c r="B118" s="11">
        <v>46188.556851851848</v>
      </c>
      <c r="C118" s="12" t="s">
        <v>87</v>
      </c>
      <c r="D118" s="12" t="s">
        <v>103</v>
      </c>
      <c r="E118" s="12" t="s">
        <v>289</v>
      </c>
      <c r="F118" s="12" t="s">
        <v>290</v>
      </c>
      <c r="G118" s="12" t="s">
        <v>290</v>
      </c>
      <c r="H118" s="12" t="s">
        <v>81</v>
      </c>
      <c r="I118" s="12"/>
      <c r="J118" s="12"/>
      <c r="K118" s="12"/>
      <c r="L118" s="12" t="s">
        <v>194</v>
      </c>
      <c r="M118" s="12" t="s">
        <v>260</v>
      </c>
      <c r="N118" s="12" t="s">
        <v>260</v>
      </c>
      <c r="O118" s="12" t="s">
        <v>263</v>
      </c>
      <c r="P118" s="12" t="s">
        <v>264</v>
      </c>
      <c r="Q118" s="12" t="s">
        <v>195</v>
      </c>
      <c r="R118" s="12" t="s">
        <v>195</v>
      </c>
      <c r="S118" s="12" t="s">
        <v>195</v>
      </c>
      <c r="T118" s="12" t="s">
        <v>197</v>
      </c>
      <c r="U118" s="12" t="s">
        <v>99</v>
      </c>
      <c r="V118" s="12" t="s">
        <v>100</v>
      </c>
      <c r="W118" s="12" t="s">
        <v>100</v>
      </c>
      <c r="X118" s="12" t="s">
        <v>26</v>
      </c>
      <c r="Y118" s="12" t="s">
        <v>265</v>
      </c>
      <c r="Z118" s="12" t="s">
        <v>266</v>
      </c>
      <c r="AA118" s="12" t="s">
        <v>267</v>
      </c>
      <c r="AB118" s="12">
        <v>10</v>
      </c>
      <c r="AC118" s="12">
        <v>7</v>
      </c>
      <c r="AD118" s="12" t="s">
        <v>266</v>
      </c>
      <c r="AE118" s="12" t="s">
        <v>267</v>
      </c>
      <c r="AF118" s="11">
        <v>46168.650636574072</v>
      </c>
      <c r="AG118" s="11">
        <v>46184.613645833328</v>
      </c>
      <c r="AH118" s="12" t="s">
        <v>291</v>
      </c>
    </row>
    <row r="119" spans="1:34" ht="29" x14ac:dyDescent="0.35">
      <c r="A119" s="11">
        <v>46181.338217592587</v>
      </c>
      <c r="B119" s="11">
        <v>46188.556851851848</v>
      </c>
      <c r="C119" s="12" t="s">
        <v>87</v>
      </c>
      <c r="D119" s="12" t="s">
        <v>103</v>
      </c>
      <c r="E119" s="12" t="s">
        <v>289</v>
      </c>
      <c r="F119" s="12" t="s">
        <v>290</v>
      </c>
      <c r="G119" s="12" t="s">
        <v>290</v>
      </c>
      <c r="H119" s="12" t="s">
        <v>81</v>
      </c>
      <c r="I119" s="12"/>
      <c r="J119" s="12"/>
      <c r="K119" s="12"/>
      <c r="L119" s="12" t="s">
        <v>194</v>
      </c>
      <c r="M119" s="12" t="s">
        <v>260</v>
      </c>
      <c r="N119" s="12" t="s">
        <v>260</v>
      </c>
      <c r="O119" s="12" t="s">
        <v>263</v>
      </c>
      <c r="P119" s="12" t="s">
        <v>264</v>
      </c>
      <c r="Q119" s="12" t="s">
        <v>195</v>
      </c>
      <c r="R119" s="12" t="s">
        <v>195</v>
      </c>
      <c r="S119" s="12" t="s">
        <v>195</v>
      </c>
      <c r="T119" s="12" t="s">
        <v>197</v>
      </c>
      <c r="U119" s="12" t="s">
        <v>99</v>
      </c>
      <c r="V119" s="12" t="s">
        <v>100</v>
      </c>
      <c r="W119" s="12" t="s">
        <v>100</v>
      </c>
      <c r="X119" s="12" t="s">
        <v>27</v>
      </c>
      <c r="Y119" s="12" t="s">
        <v>206</v>
      </c>
      <c r="Z119" s="12" t="s">
        <v>207</v>
      </c>
      <c r="AA119" s="12" t="s">
        <v>208</v>
      </c>
      <c r="AB119" s="12">
        <v>0</v>
      </c>
      <c r="AC119" s="12">
        <v>1</v>
      </c>
      <c r="AD119" s="12" t="s">
        <v>207</v>
      </c>
      <c r="AE119" s="12" t="s">
        <v>208</v>
      </c>
      <c r="AF119" s="11">
        <v>46168.650636574072</v>
      </c>
      <c r="AG119" s="11">
        <v>46184.613645833328</v>
      </c>
      <c r="AH119" s="12" t="s">
        <v>291</v>
      </c>
    </row>
    <row r="120" spans="1:34" ht="29" x14ac:dyDescent="0.35">
      <c r="A120" s="11">
        <v>46181.338217592587</v>
      </c>
      <c r="B120" s="11">
        <v>46188.556851851848</v>
      </c>
      <c r="C120" s="12" t="s">
        <v>87</v>
      </c>
      <c r="D120" s="12" t="s">
        <v>103</v>
      </c>
      <c r="E120" s="12" t="s">
        <v>292</v>
      </c>
      <c r="F120" s="12" t="s">
        <v>293</v>
      </c>
      <c r="G120" s="12" t="s">
        <v>293</v>
      </c>
      <c r="H120" s="12" t="s">
        <v>81</v>
      </c>
      <c r="I120" s="12"/>
      <c r="J120" s="12"/>
      <c r="K120" s="12"/>
      <c r="L120" s="12" t="s">
        <v>194</v>
      </c>
      <c r="M120" s="12" t="s">
        <v>260</v>
      </c>
      <c r="N120" s="12" t="s">
        <v>260</v>
      </c>
      <c r="O120" s="12" t="s">
        <v>263</v>
      </c>
      <c r="P120" s="12" t="s">
        <v>264</v>
      </c>
      <c r="Q120" s="12" t="s">
        <v>195</v>
      </c>
      <c r="R120" s="12" t="s">
        <v>195</v>
      </c>
      <c r="S120" s="12" t="s">
        <v>195</v>
      </c>
      <c r="T120" s="12" t="s">
        <v>197</v>
      </c>
      <c r="U120" s="12" t="s">
        <v>99</v>
      </c>
      <c r="V120" s="12" t="s">
        <v>100</v>
      </c>
      <c r="W120" s="12" t="s">
        <v>100</v>
      </c>
      <c r="X120" s="12" t="s">
        <v>24</v>
      </c>
      <c r="Y120" s="12" t="s">
        <v>92</v>
      </c>
      <c r="Z120" s="12" t="s">
        <v>194</v>
      </c>
      <c r="AA120" s="12" t="s">
        <v>260</v>
      </c>
      <c r="AB120" s="12">
        <v>6</v>
      </c>
      <c r="AC120" s="12">
        <v>6</v>
      </c>
      <c r="AD120" s="12" t="s">
        <v>194</v>
      </c>
      <c r="AE120" s="12" t="s">
        <v>260</v>
      </c>
      <c r="AF120" s="11">
        <v>46169.318298611113</v>
      </c>
      <c r="AG120" s="11">
        <v>46183.559074074074</v>
      </c>
      <c r="AH120" s="12" t="s">
        <v>294</v>
      </c>
    </row>
    <row r="121" spans="1:34" ht="29" x14ac:dyDescent="0.35">
      <c r="A121" s="11">
        <v>46181.338217592587</v>
      </c>
      <c r="B121" s="11">
        <v>46188.556851851848</v>
      </c>
      <c r="C121" s="12" t="s">
        <v>87</v>
      </c>
      <c r="D121" s="12" t="s">
        <v>103</v>
      </c>
      <c r="E121" s="12" t="s">
        <v>292</v>
      </c>
      <c r="F121" s="12" t="s">
        <v>293</v>
      </c>
      <c r="G121" s="12" t="s">
        <v>293</v>
      </c>
      <c r="H121" s="12" t="s">
        <v>81</v>
      </c>
      <c r="I121" s="12"/>
      <c r="J121" s="12"/>
      <c r="K121" s="12"/>
      <c r="L121" s="12" t="s">
        <v>194</v>
      </c>
      <c r="M121" s="12" t="s">
        <v>260</v>
      </c>
      <c r="N121" s="12" t="s">
        <v>260</v>
      </c>
      <c r="O121" s="12" t="s">
        <v>263</v>
      </c>
      <c r="P121" s="12" t="s">
        <v>264</v>
      </c>
      <c r="Q121" s="12" t="s">
        <v>195</v>
      </c>
      <c r="R121" s="12" t="s">
        <v>195</v>
      </c>
      <c r="S121" s="12" t="s">
        <v>195</v>
      </c>
      <c r="T121" s="12" t="s">
        <v>197</v>
      </c>
      <c r="U121" s="12" t="s">
        <v>99</v>
      </c>
      <c r="V121" s="12" t="s">
        <v>100</v>
      </c>
      <c r="W121" s="12" t="s">
        <v>100</v>
      </c>
      <c r="X121" s="12" t="s">
        <v>25</v>
      </c>
      <c r="Y121" s="12" t="s">
        <v>262</v>
      </c>
      <c r="Z121" s="12" t="s">
        <v>263</v>
      </c>
      <c r="AA121" s="12" t="s">
        <v>264</v>
      </c>
      <c r="AB121" s="12">
        <v>3</v>
      </c>
      <c r="AC121" s="12">
        <v>4</v>
      </c>
      <c r="AD121" s="12" t="s">
        <v>263</v>
      </c>
      <c r="AE121" s="12" t="s">
        <v>264</v>
      </c>
      <c r="AF121" s="11">
        <v>46169.318298611113</v>
      </c>
      <c r="AG121" s="11">
        <v>46183.559074074074</v>
      </c>
      <c r="AH121" s="12" t="s">
        <v>294</v>
      </c>
    </row>
    <row r="122" spans="1:34" ht="29" x14ac:dyDescent="0.35">
      <c r="A122" s="11">
        <v>46181.338217592587</v>
      </c>
      <c r="B122" s="11">
        <v>46188.556851851848</v>
      </c>
      <c r="C122" s="12" t="s">
        <v>87</v>
      </c>
      <c r="D122" s="12" t="s">
        <v>103</v>
      </c>
      <c r="E122" s="12" t="s">
        <v>292</v>
      </c>
      <c r="F122" s="12" t="s">
        <v>293</v>
      </c>
      <c r="G122" s="12" t="s">
        <v>293</v>
      </c>
      <c r="H122" s="12" t="s">
        <v>81</v>
      </c>
      <c r="I122" s="12"/>
      <c r="J122" s="12"/>
      <c r="K122" s="12"/>
      <c r="L122" s="12" t="s">
        <v>194</v>
      </c>
      <c r="M122" s="12" t="s">
        <v>260</v>
      </c>
      <c r="N122" s="12" t="s">
        <v>260</v>
      </c>
      <c r="O122" s="12" t="s">
        <v>263</v>
      </c>
      <c r="P122" s="12" t="s">
        <v>264</v>
      </c>
      <c r="Q122" s="12" t="s">
        <v>195</v>
      </c>
      <c r="R122" s="12" t="s">
        <v>195</v>
      </c>
      <c r="S122" s="12" t="s">
        <v>195</v>
      </c>
      <c r="T122" s="12" t="s">
        <v>197</v>
      </c>
      <c r="U122" s="12" t="s">
        <v>99</v>
      </c>
      <c r="V122" s="12" t="s">
        <v>100</v>
      </c>
      <c r="W122" s="12" t="s">
        <v>100</v>
      </c>
      <c r="X122" s="12" t="s">
        <v>23</v>
      </c>
      <c r="Y122" s="12" t="s">
        <v>80</v>
      </c>
      <c r="Z122" s="12" t="s">
        <v>197</v>
      </c>
      <c r="AA122" s="12" t="s">
        <v>99</v>
      </c>
      <c r="AB122" s="12">
        <v>11</v>
      </c>
      <c r="AC122" s="12">
        <v>14</v>
      </c>
      <c r="AD122" s="12" t="s">
        <v>197</v>
      </c>
      <c r="AE122" s="12" t="s">
        <v>99</v>
      </c>
      <c r="AF122" s="11">
        <v>46169.318298611113</v>
      </c>
      <c r="AG122" s="11">
        <v>46183.559074074074</v>
      </c>
      <c r="AH122" s="12" t="s">
        <v>294</v>
      </c>
    </row>
    <row r="123" spans="1:34" ht="29" x14ac:dyDescent="0.35">
      <c r="A123" s="11">
        <v>46181.338217592587</v>
      </c>
      <c r="B123" s="11">
        <v>46188.556851851848</v>
      </c>
      <c r="C123" s="12" t="s">
        <v>87</v>
      </c>
      <c r="D123" s="12" t="s">
        <v>103</v>
      </c>
      <c r="E123" s="12" t="s">
        <v>292</v>
      </c>
      <c r="F123" s="12" t="s">
        <v>293</v>
      </c>
      <c r="G123" s="12" t="s">
        <v>293</v>
      </c>
      <c r="H123" s="12" t="s">
        <v>81</v>
      </c>
      <c r="I123" s="12"/>
      <c r="J123" s="12"/>
      <c r="K123" s="12"/>
      <c r="L123" s="12" t="s">
        <v>194</v>
      </c>
      <c r="M123" s="12" t="s">
        <v>260</v>
      </c>
      <c r="N123" s="12" t="s">
        <v>260</v>
      </c>
      <c r="O123" s="12" t="s">
        <v>263</v>
      </c>
      <c r="P123" s="12" t="s">
        <v>264</v>
      </c>
      <c r="Q123" s="12" t="s">
        <v>195</v>
      </c>
      <c r="R123" s="12" t="s">
        <v>195</v>
      </c>
      <c r="S123" s="12" t="s">
        <v>195</v>
      </c>
      <c r="T123" s="12" t="s">
        <v>197</v>
      </c>
      <c r="U123" s="12" t="s">
        <v>99</v>
      </c>
      <c r="V123" s="12" t="s">
        <v>100</v>
      </c>
      <c r="W123" s="12" t="s">
        <v>100</v>
      </c>
      <c r="X123" s="12" t="s">
        <v>26</v>
      </c>
      <c r="Y123" s="12" t="s">
        <v>265</v>
      </c>
      <c r="Z123" s="12" t="s">
        <v>266</v>
      </c>
      <c r="AA123" s="12" t="s">
        <v>267</v>
      </c>
      <c r="AB123" s="12">
        <v>10</v>
      </c>
      <c r="AC123" s="12">
        <v>7</v>
      </c>
      <c r="AD123" s="12" t="s">
        <v>266</v>
      </c>
      <c r="AE123" s="12" t="s">
        <v>267</v>
      </c>
      <c r="AF123" s="11">
        <v>46169.318298611113</v>
      </c>
      <c r="AG123" s="11">
        <v>46183.559074074074</v>
      </c>
      <c r="AH123" s="12" t="s">
        <v>294</v>
      </c>
    </row>
    <row r="124" spans="1:34" ht="29" x14ac:dyDescent="0.35">
      <c r="A124" s="11">
        <v>46181.338217592587</v>
      </c>
      <c r="B124" s="11">
        <v>46188.556851851848</v>
      </c>
      <c r="C124" s="12" t="s">
        <v>87</v>
      </c>
      <c r="D124" s="12" t="s">
        <v>103</v>
      </c>
      <c r="E124" s="12" t="s">
        <v>295</v>
      </c>
      <c r="F124" s="12" t="s">
        <v>296</v>
      </c>
      <c r="G124" s="12" t="s">
        <v>296</v>
      </c>
      <c r="H124" s="12" t="s">
        <v>81</v>
      </c>
      <c r="I124" s="12"/>
      <c r="J124" s="12"/>
      <c r="K124" s="12"/>
      <c r="L124" s="12" t="s">
        <v>194</v>
      </c>
      <c r="M124" s="12" t="s">
        <v>260</v>
      </c>
      <c r="N124" s="12" t="s">
        <v>260</v>
      </c>
      <c r="O124" s="12" t="s">
        <v>263</v>
      </c>
      <c r="P124" s="12" t="s">
        <v>264</v>
      </c>
      <c r="Q124" s="12" t="s">
        <v>195</v>
      </c>
      <c r="R124" s="12" t="s">
        <v>195</v>
      </c>
      <c r="S124" s="12" t="s">
        <v>195</v>
      </c>
      <c r="T124" s="12" t="s">
        <v>197</v>
      </c>
      <c r="U124" s="12" t="s">
        <v>99</v>
      </c>
      <c r="V124" s="12" t="s">
        <v>100</v>
      </c>
      <c r="W124" s="12" t="s">
        <v>100</v>
      </c>
      <c r="X124" s="12" t="s">
        <v>24</v>
      </c>
      <c r="Y124" s="12" t="s">
        <v>92</v>
      </c>
      <c r="Z124" s="12" t="s">
        <v>194</v>
      </c>
      <c r="AA124" s="12" t="s">
        <v>260</v>
      </c>
      <c r="AB124" s="12">
        <v>6</v>
      </c>
      <c r="AC124" s="12">
        <v>6</v>
      </c>
      <c r="AD124" s="12" t="s">
        <v>194</v>
      </c>
      <c r="AE124" s="12" t="s">
        <v>260</v>
      </c>
      <c r="AF124" s="11">
        <v>46169.320497685178</v>
      </c>
      <c r="AG124" s="11">
        <v>46183.393506944441</v>
      </c>
      <c r="AH124" s="12" t="s">
        <v>297</v>
      </c>
    </row>
    <row r="125" spans="1:34" ht="29" x14ac:dyDescent="0.35">
      <c r="A125" s="11">
        <v>46181.338217592587</v>
      </c>
      <c r="B125" s="11">
        <v>46188.556851851848</v>
      </c>
      <c r="C125" s="12" t="s">
        <v>87</v>
      </c>
      <c r="D125" s="12" t="s">
        <v>103</v>
      </c>
      <c r="E125" s="12" t="s">
        <v>295</v>
      </c>
      <c r="F125" s="12" t="s">
        <v>296</v>
      </c>
      <c r="G125" s="12" t="s">
        <v>296</v>
      </c>
      <c r="H125" s="12" t="s">
        <v>81</v>
      </c>
      <c r="I125" s="12"/>
      <c r="J125" s="12"/>
      <c r="K125" s="12"/>
      <c r="L125" s="12" t="s">
        <v>194</v>
      </c>
      <c r="M125" s="12" t="s">
        <v>260</v>
      </c>
      <c r="N125" s="12" t="s">
        <v>260</v>
      </c>
      <c r="O125" s="12" t="s">
        <v>263</v>
      </c>
      <c r="P125" s="12" t="s">
        <v>264</v>
      </c>
      <c r="Q125" s="12" t="s">
        <v>195</v>
      </c>
      <c r="R125" s="12" t="s">
        <v>195</v>
      </c>
      <c r="S125" s="12" t="s">
        <v>195</v>
      </c>
      <c r="T125" s="12" t="s">
        <v>197</v>
      </c>
      <c r="U125" s="12" t="s">
        <v>99</v>
      </c>
      <c r="V125" s="12" t="s">
        <v>100</v>
      </c>
      <c r="W125" s="12" t="s">
        <v>100</v>
      </c>
      <c r="X125" s="12" t="s">
        <v>25</v>
      </c>
      <c r="Y125" s="12" t="s">
        <v>262</v>
      </c>
      <c r="Z125" s="12" t="s">
        <v>263</v>
      </c>
      <c r="AA125" s="12" t="s">
        <v>264</v>
      </c>
      <c r="AB125" s="12">
        <v>3</v>
      </c>
      <c r="AC125" s="12">
        <v>4</v>
      </c>
      <c r="AD125" s="12" t="s">
        <v>263</v>
      </c>
      <c r="AE125" s="12" t="s">
        <v>264</v>
      </c>
      <c r="AF125" s="11">
        <v>46169.320497685178</v>
      </c>
      <c r="AG125" s="11">
        <v>46183.393506944441</v>
      </c>
      <c r="AH125" s="12" t="s">
        <v>297</v>
      </c>
    </row>
    <row r="126" spans="1:34" ht="29" x14ac:dyDescent="0.35">
      <c r="A126" s="11">
        <v>46181.338217592587</v>
      </c>
      <c r="B126" s="11">
        <v>46188.556851851848</v>
      </c>
      <c r="C126" s="12" t="s">
        <v>87</v>
      </c>
      <c r="D126" s="12" t="s">
        <v>103</v>
      </c>
      <c r="E126" s="12" t="s">
        <v>295</v>
      </c>
      <c r="F126" s="12" t="s">
        <v>296</v>
      </c>
      <c r="G126" s="12" t="s">
        <v>296</v>
      </c>
      <c r="H126" s="12" t="s">
        <v>81</v>
      </c>
      <c r="I126" s="12"/>
      <c r="J126" s="12"/>
      <c r="K126" s="12"/>
      <c r="L126" s="12" t="s">
        <v>194</v>
      </c>
      <c r="M126" s="12" t="s">
        <v>260</v>
      </c>
      <c r="N126" s="12" t="s">
        <v>260</v>
      </c>
      <c r="O126" s="12" t="s">
        <v>263</v>
      </c>
      <c r="P126" s="12" t="s">
        <v>264</v>
      </c>
      <c r="Q126" s="12" t="s">
        <v>195</v>
      </c>
      <c r="R126" s="12" t="s">
        <v>195</v>
      </c>
      <c r="S126" s="12" t="s">
        <v>195</v>
      </c>
      <c r="T126" s="12" t="s">
        <v>197</v>
      </c>
      <c r="U126" s="12" t="s">
        <v>99</v>
      </c>
      <c r="V126" s="12" t="s">
        <v>100</v>
      </c>
      <c r="W126" s="12" t="s">
        <v>100</v>
      </c>
      <c r="X126" s="12" t="s">
        <v>23</v>
      </c>
      <c r="Y126" s="12" t="s">
        <v>80</v>
      </c>
      <c r="Z126" s="12" t="s">
        <v>197</v>
      </c>
      <c r="AA126" s="12" t="s">
        <v>99</v>
      </c>
      <c r="AB126" s="12">
        <v>11</v>
      </c>
      <c r="AC126" s="12">
        <v>14</v>
      </c>
      <c r="AD126" s="12" t="s">
        <v>197</v>
      </c>
      <c r="AE126" s="12" t="s">
        <v>99</v>
      </c>
      <c r="AF126" s="11">
        <v>46169.320497685178</v>
      </c>
      <c r="AG126" s="11">
        <v>46183.393506944441</v>
      </c>
      <c r="AH126" s="12" t="s">
        <v>297</v>
      </c>
    </row>
    <row r="127" spans="1:34" ht="29" x14ac:dyDescent="0.35">
      <c r="A127" s="11">
        <v>46181.338217592587</v>
      </c>
      <c r="B127" s="11">
        <v>46188.556851851848</v>
      </c>
      <c r="C127" s="12" t="s">
        <v>87</v>
      </c>
      <c r="D127" s="12" t="s">
        <v>103</v>
      </c>
      <c r="E127" s="12" t="s">
        <v>295</v>
      </c>
      <c r="F127" s="12" t="s">
        <v>296</v>
      </c>
      <c r="G127" s="12" t="s">
        <v>296</v>
      </c>
      <c r="H127" s="12" t="s">
        <v>81</v>
      </c>
      <c r="I127" s="12"/>
      <c r="J127" s="12"/>
      <c r="K127" s="12"/>
      <c r="L127" s="12" t="s">
        <v>194</v>
      </c>
      <c r="M127" s="12" t="s">
        <v>260</v>
      </c>
      <c r="N127" s="12" t="s">
        <v>260</v>
      </c>
      <c r="O127" s="12" t="s">
        <v>263</v>
      </c>
      <c r="P127" s="12" t="s">
        <v>264</v>
      </c>
      <c r="Q127" s="12" t="s">
        <v>195</v>
      </c>
      <c r="R127" s="12" t="s">
        <v>195</v>
      </c>
      <c r="S127" s="12" t="s">
        <v>195</v>
      </c>
      <c r="T127" s="12" t="s">
        <v>197</v>
      </c>
      <c r="U127" s="12" t="s">
        <v>99</v>
      </c>
      <c r="V127" s="12" t="s">
        <v>100</v>
      </c>
      <c r="W127" s="12" t="s">
        <v>100</v>
      </c>
      <c r="X127" s="12" t="s">
        <v>26</v>
      </c>
      <c r="Y127" s="12" t="s">
        <v>265</v>
      </c>
      <c r="Z127" s="12" t="s">
        <v>266</v>
      </c>
      <c r="AA127" s="12" t="s">
        <v>267</v>
      </c>
      <c r="AB127" s="12">
        <v>10</v>
      </c>
      <c r="AC127" s="12">
        <v>7</v>
      </c>
      <c r="AD127" s="12" t="s">
        <v>266</v>
      </c>
      <c r="AE127" s="12" t="s">
        <v>267</v>
      </c>
      <c r="AF127" s="11">
        <v>46169.320497685178</v>
      </c>
      <c r="AG127" s="11">
        <v>46183.393506944441</v>
      </c>
      <c r="AH127" s="12" t="s">
        <v>297</v>
      </c>
    </row>
    <row r="128" spans="1:34" ht="29" x14ac:dyDescent="0.35">
      <c r="A128" s="11">
        <v>46181.338217592587</v>
      </c>
      <c r="B128" s="11">
        <v>46188.556851851848</v>
      </c>
      <c r="C128" s="12" t="s">
        <v>87</v>
      </c>
      <c r="D128" s="12" t="s">
        <v>103</v>
      </c>
      <c r="E128" s="12" t="s">
        <v>295</v>
      </c>
      <c r="F128" s="12" t="s">
        <v>296</v>
      </c>
      <c r="G128" s="12" t="s">
        <v>296</v>
      </c>
      <c r="H128" s="12" t="s">
        <v>81</v>
      </c>
      <c r="I128" s="12"/>
      <c r="J128" s="12"/>
      <c r="K128" s="12"/>
      <c r="L128" s="12" t="s">
        <v>194</v>
      </c>
      <c r="M128" s="12" t="s">
        <v>260</v>
      </c>
      <c r="N128" s="12" t="s">
        <v>260</v>
      </c>
      <c r="O128" s="12" t="s">
        <v>263</v>
      </c>
      <c r="P128" s="12" t="s">
        <v>264</v>
      </c>
      <c r="Q128" s="12" t="s">
        <v>195</v>
      </c>
      <c r="R128" s="12" t="s">
        <v>195</v>
      </c>
      <c r="S128" s="12" t="s">
        <v>195</v>
      </c>
      <c r="T128" s="12" t="s">
        <v>197</v>
      </c>
      <c r="U128" s="12" t="s">
        <v>99</v>
      </c>
      <c r="V128" s="12" t="s">
        <v>100</v>
      </c>
      <c r="W128" s="12" t="s">
        <v>100</v>
      </c>
      <c r="X128" s="12" t="s">
        <v>27</v>
      </c>
      <c r="Y128" s="12" t="s">
        <v>206</v>
      </c>
      <c r="Z128" s="12" t="s">
        <v>207</v>
      </c>
      <c r="AA128" s="12" t="s">
        <v>208</v>
      </c>
      <c r="AB128" s="12">
        <v>0</v>
      </c>
      <c r="AC128" s="12">
        <v>1</v>
      </c>
      <c r="AD128" s="12" t="s">
        <v>207</v>
      </c>
      <c r="AE128" s="12" t="s">
        <v>208</v>
      </c>
      <c r="AF128" s="11">
        <v>46169.320497685178</v>
      </c>
      <c r="AG128" s="11">
        <v>46183.393506944441</v>
      </c>
      <c r="AH128" s="12" t="s">
        <v>297</v>
      </c>
    </row>
    <row r="129" spans="1:34" ht="29" x14ac:dyDescent="0.35">
      <c r="A129" s="11">
        <v>46181.338217592587</v>
      </c>
      <c r="B129" s="11">
        <v>46188.556851851848</v>
      </c>
      <c r="C129" s="12" t="s">
        <v>87</v>
      </c>
      <c r="D129" s="12" t="s">
        <v>103</v>
      </c>
      <c r="E129" s="12" t="s">
        <v>220</v>
      </c>
      <c r="F129" s="12" t="s">
        <v>221</v>
      </c>
      <c r="G129" s="12" t="s">
        <v>221</v>
      </c>
      <c r="H129" s="12" t="s">
        <v>81</v>
      </c>
      <c r="I129" s="12"/>
      <c r="J129" s="12"/>
      <c r="K129" s="12"/>
      <c r="L129" s="12" t="s">
        <v>194</v>
      </c>
      <c r="M129" s="12" t="s">
        <v>194</v>
      </c>
      <c r="N129" s="12" t="s">
        <v>194</v>
      </c>
      <c r="O129" s="12" t="s">
        <v>263</v>
      </c>
      <c r="P129" s="12" t="s">
        <v>263</v>
      </c>
      <c r="Q129" s="12" t="s">
        <v>195</v>
      </c>
      <c r="R129" s="12" t="s">
        <v>195</v>
      </c>
      <c r="S129" s="12" t="s">
        <v>195</v>
      </c>
      <c r="T129" s="12" t="s">
        <v>197</v>
      </c>
      <c r="U129" s="12" t="s">
        <v>197</v>
      </c>
      <c r="V129" s="12" t="s">
        <v>100</v>
      </c>
      <c r="W129" s="12" t="s">
        <v>100</v>
      </c>
      <c r="X129" s="12" t="s">
        <v>27</v>
      </c>
      <c r="Y129" s="12" t="s">
        <v>206</v>
      </c>
      <c r="Z129" s="12" t="s">
        <v>207</v>
      </c>
      <c r="AA129" s="12" t="s">
        <v>208</v>
      </c>
      <c r="AB129" s="12">
        <v>0</v>
      </c>
      <c r="AC129" s="12">
        <v>1</v>
      </c>
      <c r="AD129" s="12" t="s">
        <v>207</v>
      </c>
      <c r="AE129" s="12" t="s">
        <v>208</v>
      </c>
      <c r="AF129" s="11">
        <v>46169.325578703712</v>
      </c>
      <c r="AG129" s="11">
        <v>46188.53402777778</v>
      </c>
      <c r="AH129" s="12" t="s">
        <v>222</v>
      </c>
    </row>
    <row r="130" spans="1:34" ht="29" x14ac:dyDescent="0.35">
      <c r="A130" s="11">
        <v>46181.338217592587</v>
      </c>
      <c r="B130" s="11">
        <v>46188.556851851848</v>
      </c>
      <c r="C130" s="12" t="s">
        <v>87</v>
      </c>
      <c r="D130" s="12" t="s">
        <v>103</v>
      </c>
      <c r="E130" s="12" t="s">
        <v>223</v>
      </c>
      <c r="F130" s="12" t="s">
        <v>224</v>
      </c>
      <c r="G130" s="12" t="s">
        <v>224</v>
      </c>
      <c r="H130" s="12" t="s">
        <v>81</v>
      </c>
      <c r="I130" s="12"/>
      <c r="J130" s="12"/>
      <c r="K130" s="12"/>
      <c r="L130" s="12" t="s">
        <v>194</v>
      </c>
      <c r="M130" s="12" t="s">
        <v>194</v>
      </c>
      <c r="N130" s="12" t="s">
        <v>194</v>
      </c>
      <c r="O130" s="12" t="s">
        <v>263</v>
      </c>
      <c r="P130" s="12" t="s">
        <v>263</v>
      </c>
      <c r="Q130" s="12" t="s">
        <v>195</v>
      </c>
      <c r="R130" s="12" t="s">
        <v>195</v>
      </c>
      <c r="S130" s="12" t="s">
        <v>195</v>
      </c>
      <c r="T130" s="12" t="s">
        <v>197</v>
      </c>
      <c r="U130" s="12" t="s">
        <v>99</v>
      </c>
      <c r="V130" s="12" t="s">
        <v>100</v>
      </c>
      <c r="W130" s="12" t="s">
        <v>100</v>
      </c>
      <c r="X130" s="12" t="s">
        <v>23</v>
      </c>
      <c r="Y130" s="12" t="s">
        <v>80</v>
      </c>
      <c r="Z130" s="12" t="s">
        <v>197</v>
      </c>
      <c r="AA130" s="12" t="s">
        <v>99</v>
      </c>
      <c r="AB130" s="12">
        <v>11</v>
      </c>
      <c r="AC130" s="12">
        <v>14</v>
      </c>
      <c r="AD130" s="12" t="s">
        <v>197</v>
      </c>
      <c r="AE130" s="12" t="s">
        <v>99</v>
      </c>
      <c r="AF130" s="11">
        <v>46169.326168981483</v>
      </c>
      <c r="AG130" s="11">
        <v>46188.432118055563</v>
      </c>
      <c r="AH130" s="12" t="s">
        <v>225</v>
      </c>
    </row>
    <row r="131" spans="1:34" ht="29" x14ac:dyDescent="0.35">
      <c r="A131" s="11">
        <v>46181.338217592587</v>
      </c>
      <c r="B131" s="11">
        <v>46188.556851851848</v>
      </c>
      <c r="C131" s="12" t="s">
        <v>87</v>
      </c>
      <c r="D131" s="12" t="s">
        <v>103</v>
      </c>
      <c r="E131" s="12" t="s">
        <v>298</v>
      </c>
      <c r="F131" s="12" t="s">
        <v>299</v>
      </c>
      <c r="G131" s="12" t="s">
        <v>299</v>
      </c>
      <c r="H131" s="12" t="s">
        <v>81</v>
      </c>
      <c r="I131" s="12"/>
      <c r="J131" s="12"/>
      <c r="K131" s="12"/>
      <c r="L131" s="12" t="s">
        <v>194</v>
      </c>
      <c r="M131" s="12" t="s">
        <v>260</v>
      </c>
      <c r="N131" s="12" t="s">
        <v>260</v>
      </c>
      <c r="O131" s="12" t="s">
        <v>263</v>
      </c>
      <c r="P131" s="12" t="s">
        <v>264</v>
      </c>
      <c r="Q131" s="12" t="s">
        <v>195</v>
      </c>
      <c r="R131" s="12" t="s">
        <v>195</v>
      </c>
      <c r="S131" s="12" t="s">
        <v>195</v>
      </c>
      <c r="T131" s="12" t="s">
        <v>197</v>
      </c>
      <c r="U131" s="12" t="s">
        <v>99</v>
      </c>
      <c r="V131" s="12" t="s">
        <v>100</v>
      </c>
      <c r="W131" s="12" t="s">
        <v>100</v>
      </c>
      <c r="X131" s="12" t="s">
        <v>24</v>
      </c>
      <c r="Y131" s="12" t="s">
        <v>92</v>
      </c>
      <c r="Z131" s="12" t="s">
        <v>194</v>
      </c>
      <c r="AA131" s="12" t="s">
        <v>260</v>
      </c>
      <c r="AB131" s="12">
        <v>6</v>
      </c>
      <c r="AC131" s="12">
        <v>6</v>
      </c>
      <c r="AD131" s="12" t="s">
        <v>194</v>
      </c>
      <c r="AE131" s="12" t="s">
        <v>260</v>
      </c>
      <c r="AF131" s="11">
        <v>46169.326817129629</v>
      </c>
      <c r="AG131" s="11">
        <v>46188.383553240739</v>
      </c>
      <c r="AH131" s="12" t="s">
        <v>300</v>
      </c>
    </row>
    <row r="132" spans="1:34" ht="29" x14ac:dyDescent="0.35">
      <c r="A132" s="11">
        <v>46181.338217592587</v>
      </c>
      <c r="B132" s="11">
        <v>46188.556851851848</v>
      </c>
      <c r="C132" s="12" t="s">
        <v>87</v>
      </c>
      <c r="D132" s="12" t="s">
        <v>103</v>
      </c>
      <c r="E132" s="12" t="s">
        <v>298</v>
      </c>
      <c r="F132" s="12" t="s">
        <v>299</v>
      </c>
      <c r="G132" s="12" t="s">
        <v>299</v>
      </c>
      <c r="H132" s="12" t="s">
        <v>81</v>
      </c>
      <c r="I132" s="12"/>
      <c r="J132" s="12"/>
      <c r="K132" s="12"/>
      <c r="L132" s="12" t="s">
        <v>194</v>
      </c>
      <c r="M132" s="12" t="s">
        <v>260</v>
      </c>
      <c r="N132" s="12" t="s">
        <v>260</v>
      </c>
      <c r="O132" s="12" t="s">
        <v>263</v>
      </c>
      <c r="P132" s="12" t="s">
        <v>264</v>
      </c>
      <c r="Q132" s="12" t="s">
        <v>195</v>
      </c>
      <c r="R132" s="12" t="s">
        <v>195</v>
      </c>
      <c r="S132" s="12" t="s">
        <v>195</v>
      </c>
      <c r="T132" s="12" t="s">
        <v>197</v>
      </c>
      <c r="U132" s="12" t="s">
        <v>99</v>
      </c>
      <c r="V132" s="12" t="s">
        <v>100</v>
      </c>
      <c r="W132" s="12" t="s">
        <v>100</v>
      </c>
      <c r="X132" s="12" t="s">
        <v>25</v>
      </c>
      <c r="Y132" s="12" t="s">
        <v>262</v>
      </c>
      <c r="Z132" s="12" t="s">
        <v>263</v>
      </c>
      <c r="AA132" s="12" t="s">
        <v>264</v>
      </c>
      <c r="AB132" s="12">
        <v>3</v>
      </c>
      <c r="AC132" s="12">
        <v>4</v>
      </c>
      <c r="AD132" s="12" t="s">
        <v>263</v>
      </c>
      <c r="AE132" s="12" t="s">
        <v>264</v>
      </c>
      <c r="AF132" s="11">
        <v>46169.326817129629</v>
      </c>
      <c r="AG132" s="11">
        <v>46188.383553240739</v>
      </c>
      <c r="AH132" s="12" t="s">
        <v>300</v>
      </c>
    </row>
    <row r="133" spans="1:34" ht="29" x14ac:dyDescent="0.35">
      <c r="A133" s="11">
        <v>46181.338217592587</v>
      </c>
      <c r="B133" s="11">
        <v>46188.556851851848</v>
      </c>
      <c r="C133" s="12" t="s">
        <v>87</v>
      </c>
      <c r="D133" s="12" t="s">
        <v>103</v>
      </c>
      <c r="E133" s="12" t="s">
        <v>298</v>
      </c>
      <c r="F133" s="12" t="s">
        <v>299</v>
      </c>
      <c r="G133" s="12" t="s">
        <v>299</v>
      </c>
      <c r="H133" s="12" t="s">
        <v>81</v>
      </c>
      <c r="I133" s="12"/>
      <c r="J133" s="12"/>
      <c r="K133" s="12"/>
      <c r="L133" s="12" t="s">
        <v>194</v>
      </c>
      <c r="M133" s="12" t="s">
        <v>260</v>
      </c>
      <c r="N133" s="12" t="s">
        <v>260</v>
      </c>
      <c r="O133" s="12" t="s">
        <v>263</v>
      </c>
      <c r="P133" s="12" t="s">
        <v>264</v>
      </c>
      <c r="Q133" s="12" t="s">
        <v>195</v>
      </c>
      <c r="R133" s="12" t="s">
        <v>195</v>
      </c>
      <c r="S133" s="12" t="s">
        <v>195</v>
      </c>
      <c r="T133" s="12" t="s">
        <v>197</v>
      </c>
      <c r="U133" s="12" t="s">
        <v>99</v>
      </c>
      <c r="V133" s="12" t="s">
        <v>100</v>
      </c>
      <c r="W133" s="12" t="s">
        <v>100</v>
      </c>
      <c r="X133" s="12" t="s">
        <v>23</v>
      </c>
      <c r="Y133" s="12" t="s">
        <v>80</v>
      </c>
      <c r="Z133" s="12" t="s">
        <v>197</v>
      </c>
      <c r="AA133" s="12" t="s">
        <v>99</v>
      </c>
      <c r="AB133" s="12">
        <v>11</v>
      </c>
      <c r="AC133" s="12">
        <v>14</v>
      </c>
      <c r="AD133" s="12" t="s">
        <v>197</v>
      </c>
      <c r="AE133" s="12" t="s">
        <v>99</v>
      </c>
      <c r="AF133" s="11">
        <v>46169.326817129629</v>
      </c>
      <c r="AG133" s="11">
        <v>46188.383553240739</v>
      </c>
      <c r="AH133" s="12" t="s">
        <v>300</v>
      </c>
    </row>
    <row r="134" spans="1:34" ht="29" x14ac:dyDescent="0.35">
      <c r="A134" s="11">
        <v>46181.338217592587</v>
      </c>
      <c r="B134" s="11">
        <v>46188.556851851848</v>
      </c>
      <c r="C134" s="12" t="s">
        <v>87</v>
      </c>
      <c r="D134" s="12" t="s">
        <v>103</v>
      </c>
      <c r="E134" s="12" t="s">
        <v>298</v>
      </c>
      <c r="F134" s="12" t="s">
        <v>299</v>
      </c>
      <c r="G134" s="12" t="s">
        <v>299</v>
      </c>
      <c r="H134" s="12" t="s">
        <v>81</v>
      </c>
      <c r="I134" s="12"/>
      <c r="J134" s="12"/>
      <c r="K134" s="12"/>
      <c r="L134" s="12" t="s">
        <v>194</v>
      </c>
      <c r="M134" s="12" t="s">
        <v>260</v>
      </c>
      <c r="N134" s="12" t="s">
        <v>260</v>
      </c>
      <c r="O134" s="12" t="s">
        <v>263</v>
      </c>
      <c r="P134" s="12" t="s">
        <v>264</v>
      </c>
      <c r="Q134" s="12" t="s">
        <v>195</v>
      </c>
      <c r="R134" s="12" t="s">
        <v>195</v>
      </c>
      <c r="S134" s="12" t="s">
        <v>195</v>
      </c>
      <c r="T134" s="12" t="s">
        <v>197</v>
      </c>
      <c r="U134" s="12" t="s">
        <v>99</v>
      </c>
      <c r="V134" s="12" t="s">
        <v>100</v>
      </c>
      <c r="W134" s="12" t="s">
        <v>100</v>
      </c>
      <c r="X134" s="12" t="s">
        <v>26</v>
      </c>
      <c r="Y134" s="12" t="s">
        <v>265</v>
      </c>
      <c r="Z134" s="12" t="s">
        <v>266</v>
      </c>
      <c r="AA134" s="12" t="s">
        <v>267</v>
      </c>
      <c r="AB134" s="12">
        <v>10</v>
      </c>
      <c r="AC134" s="12">
        <v>7</v>
      </c>
      <c r="AD134" s="12" t="s">
        <v>266</v>
      </c>
      <c r="AE134" s="12" t="s">
        <v>267</v>
      </c>
      <c r="AF134" s="11">
        <v>46169.326817129629</v>
      </c>
      <c r="AG134" s="11">
        <v>46188.383553240739</v>
      </c>
      <c r="AH134" s="12" t="s">
        <v>300</v>
      </c>
    </row>
    <row r="135" spans="1:34" ht="29" x14ac:dyDescent="0.35">
      <c r="A135" s="11">
        <v>46181.338217592587</v>
      </c>
      <c r="B135" s="11">
        <v>46188.556851851848</v>
      </c>
      <c r="C135" s="12" t="s">
        <v>87</v>
      </c>
      <c r="D135" s="12" t="s">
        <v>103</v>
      </c>
      <c r="E135" s="12" t="s">
        <v>226</v>
      </c>
      <c r="F135" s="12" t="s">
        <v>227</v>
      </c>
      <c r="G135" s="12" t="s">
        <v>227</v>
      </c>
      <c r="H135" s="12" t="s">
        <v>81</v>
      </c>
      <c r="I135" s="12"/>
      <c r="J135" s="12"/>
      <c r="K135" s="12"/>
      <c r="L135" s="12" t="s">
        <v>194</v>
      </c>
      <c r="M135" s="12" t="s">
        <v>194</v>
      </c>
      <c r="N135" s="12" t="s">
        <v>194</v>
      </c>
      <c r="O135" s="12" t="s">
        <v>263</v>
      </c>
      <c r="P135" s="12" t="s">
        <v>263</v>
      </c>
      <c r="Q135" s="12" t="s">
        <v>228</v>
      </c>
      <c r="R135" s="12" t="s">
        <v>228</v>
      </c>
      <c r="S135" s="12" t="s">
        <v>228</v>
      </c>
      <c r="T135" s="12" t="s">
        <v>197</v>
      </c>
      <c r="U135" s="12" t="s">
        <v>197</v>
      </c>
      <c r="V135" s="12" t="s">
        <v>100</v>
      </c>
      <c r="W135" s="12" t="s">
        <v>100</v>
      </c>
      <c r="X135" s="12" t="s">
        <v>31</v>
      </c>
      <c r="Y135" s="12" t="s">
        <v>229</v>
      </c>
      <c r="Z135" s="12" t="s">
        <v>230</v>
      </c>
      <c r="AA135" s="12" t="s">
        <v>231</v>
      </c>
      <c r="AB135" s="12">
        <v>28</v>
      </c>
      <c r="AC135" s="12">
        <v>61</v>
      </c>
      <c r="AD135" s="12" t="s">
        <v>230</v>
      </c>
      <c r="AE135" s="12" t="s">
        <v>231</v>
      </c>
      <c r="AF135" s="11">
        <v>46175.428460648152</v>
      </c>
      <c r="AG135" s="11">
        <v>46181.586168981477</v>
      </c>
      <c r="AH135" s="12" t="s">
        <v>232</v>
      </c>
    </row>
    <row r="136" spans="1:34" ht="290" x14ac:dyDescent="0.35">
      <c r="A136" s="11">
        <v>46181.338217592587</v>
      </c>
      <c r="B136" s="11">
        <v>46188.556851851848</v>
      </c>
      <c r="C136" s="12" t="s">
        <v>87</v>
      </c>
      <c r="D136" s="12" t="s">
        <v>103</v>
      </c>
      <c r="E136" s="12" t="s">
        <v>363</v>
      </c>
      <c r="F136" s="12" t="s">
        <v>364</v>
      </c>
      <c r="G136" s="12" t="s">
        <v>364</v>
      </c>
      <c r="H136" s="12" t="s">
        <v>81</v>
      </c>
      <c r="I136" s="12" t="s">
        <v>347</v>
      </c>
      <c r="J136" s="12" t="s">
        <v>347</v>
      </c>
      <c r="K136" s="12" t="s">
        <v>347</v>
      </c>
      <c r="L136" s="12" t="s">
        <v>310</v>
      </c>
      <c r="M136" s="12" t="s">
        <v>310</v>
      </c>
      <c r="N136" s="12" t="s">
        <v>310</v>
      </c>
      <c r="O136" s="12" t="s">
        <v>402</v>
      </c>
      <c r="P136" s="12" t="s">
        <v>402</v>
      </c>
      <c r="Q136" s="12" t="s">
        <v>305</v>
      </c>
      <c r="R136" s="12" t="s">
        <v>305</v>
      </c>
      <c r="S136" s="12" t="s">
        <v>305</v>
      </c>
      <c r="T136" s="12" t="s">
        <v>110</v>
      </c>
      <c r="U136" s="12" t="s">
        <v>110</v>
      </c>
      <c r="V136" s="12" t="s">
        <v>100</v>
      </c>
      <c r="W136" s="12" t="s">
        <v>100</v>
      </c>
      <c r="X136" s="12" t="s">
        <v>29</v>
      </c>
      <c r="Y136" s="12" t="s">
        <v>367</v>
      </c>
      <c r="Z136" s="12" t="s">
        <v>368</v>
      </c>
      <c r="AA136" s="12" t="s">
        <v>369</v>
      </c>
      <c r="AB136" s="12">
        <v>528</v>
      </c>
      <c r="AC136" s="12">
        <v>562</v>
      </c>
      <c r="AD136" s="12" t="s">
        <v>370</v>
      </c>
      <c r="AE136" s="12" t="s">
        <v>371</v>
      </c>
      <c r="AF136" s="11">
        <v>46175.424988425933</v>
      </c>
      <c r="AG136" s="11">
        <v>46188.334039351852</v>
      </c>
      <c r="AH136" s="12" t="s">
        <v>366</v>
      </c>
    </row>
    <row r="137" spans="1:34" ht="29" x14ac:dyDescent="0.35">
      <c r="A137" s="11">
        <v>46181.338217592587</v>
      </c>
      <c r="B137" s="11">
        <v>46188.556851851848</v>
      </c>
      <c r="C137" s="12" t="s">
        <v>87</v>
      </c>
      <c r="D137" s="12" t="s">
        <v>103</v>
      </c>
      <c r="E137" s="12" t="s">
        <v>363</v>
      </c>
      <c r="F137" s="12" t="s">
        <v>364</v>
      </c>
      <c r="G137" s="12" t="s">
        <v>364</v>
      </c>
      <c r="H137" s="12" t="s">
        <v>81</v>
      </c>
      <c r="I137" s="12" t="s">
        <v>347</v>
      </c>
      <c r="J137" s="12" t="s">
        <v>347</v>
      </c>
      <c r="K137" s="12" t="s">
        <v>347</v>
      </c>
      <c r="L137" s="12" t="s">
        <v>310</v>
      </c>
      <c r="M137" s="12" t="s">
        <v>310</v>
      </c>
      <c r="N137" s="12" t="s">
        <v>310</v>
      </c>
      <c r="O137" s="12" t="s">
        <v>402</v>
      </c>
      <c r="P137" s="12" t="s">
        <v>402</v>
      </c>
      <c r="Q137" s="12" t="s">
        <v>305</v>
      </c>
      <c r="R137" s="12" t="s">
        <v>305</v>
      </c>
      <c r="S137" s="12" t="s">
        <v>305</v>
      </c>
      <c r="T137" s="12" t="s">
        <v>110</v>
      </c>
      <c r="U137" s="12" t="s">
        <v>110</v>
      </c>
      <c r="V137" s="12" t="s">
        <v>100</v>
      </c>
      <c r="W137" s="12" t="s">
        <v>100</v>
      </c>
      <c r="X137" s="12" t="s">
        <v>28</v>
      </c>
      <c r="Y137" s="12" t="s">
        <v>365</v>
      </c>
      <c r="Z137" s="12" t="s">
        <v>208</v>
      </c>
      <c r="AA137" s="12" t="s">
        <v>215</v>
      </c>
      <c r="AB137" s="12">
        <v>1</v>
      </c>
      <c r="AC137" s="12">
        <v>2</v>
      </c>
      <c r="AD137" s="12" t="s">
        <v>208</v>
      </c>
      <c r="AE137" s="12" t="s">
        <v>215</v>
      </c>
      <c r="AF137" s="11">
        <v>46175.424988425933</v>
      </c>
      <c r="AG137" s="11">
        <v>46188.334039351852</v>
      </c>
      <c r="AH137" s="12" t="s">
        <v>366</v>
      </c>
    </row>
    <row r="138" spans="1:34" ht="409.5" x14ac:dyDescent="0.35">
      <c r="A138" s="11">
        <v>46181.338217592587</v>
      </c>
      <c r="B138" s="11">
        <v>46188.556851851848</v>
      </c>
      <c r="C138" s="12" t="s">
        <v>87</v>
      </c>
      <c r="D138" s="12" t="s">
        <v>103</v>
      </c>
      <c r="E138" s="12" t="s">
        <v>400</v>
      </c>
      <c r="F138" s="12" t="s">
        <v>401</v>
      </c>
      <c r="G138" s="12" t="s">
        <v>401</v>
      </c>
      <c r="H138" s="12" t="s">
        <v>81</v>
      </c>
      <c r="I138" s="12" t="s">
        <v>347</v>
      </c>
      <c r="J138" s="12" t="s">
        <v>347</v>
      </c>
      <c r="K138" s="12" t="s">
        <v>347</v>
      </c>
      <c r="L138" s="12" t="s">
        <v>194</v>
      </c>
      <c r="M138" s="12" t="s">
        <v>342</v>
      </c>
      <c r="N138" s="12" t="s">
        <v>342</v>
      </c>
      <c r="O138" s="12" t="s">
        <v>263</v>
      </c>
      <c r="P138" s="12" t="s">
        <v>402</v>
      </c>
      <c r="Q138" s="12" t="s">
        <v>228</v>
      </c>
      <c r="R138" s="12" t="s">
        <v>228</v>
      </c>
      <c r="S138" s="12" t="s">
        <v>228</v>
      </c>
      <c r="T138" s="12" t="s">
        <v>99</v>
      </c>
      <c r="U138" s="12" t="s">
        <v>99</v>
      </c>
      <c r="V138" s="12" t="s">
        <v>100</v>
      </c>
      <c r="W138" s="12" t="s">
        <v>100</v>
      </c>
      <c r="X138" s="12" t="s">
        <v>29</v>
      </c>
      <c r="Y138" s="12" t="s">
        <v>367</v>
      </c>
      <c r="Z138" s="12" t="s">
        <v>404</v>
      </c>
      <c r="AA138" s="12" t="s">
        <v>405</v>
      </c>
      <c r="AB138" s="12">
        <v>2341</v>
      </c>
      <c r="AC138" s="12">
        <v>734</v>
      </c>
      <c r="AD138" s="12" t="s">
        <v>406</v>
      </c>
      <c r="AE138" s="12" t="s">
        <v>407</v>
      </c>
      <c r="AF138" s="11">
        <v>46178.578472222223</v>
      </c>
      <c r="AG138" s="11">
        <v>46183.367743055547</v>
      </c>
      <c r="AH138" s="12" t="s">
        <v>403</v>
      </c>
    </row>
    <row r="139" spans="1:34" ht="29" x14ac:dyDescent="0.35">
      <c r="A139" s="11">
        <v>46181.338217592587</v>
      </c>
      <c r="B139" s="11">
        <v>46188.556851851848</v>
      </c>
      <c r="C139" s="12" t="s">
        <v>87</v>
      </c>
      <c r="D139" s="12" t="s">
        <v>103</v>
      </c>
      <c r="E139" s="12" t="s">
        <v>400</v>
      </c>
      <c r="F139" s="12" t="s">
        <v>401</v>
      </c>
      <c r="G139" s="12" t="s">
        <v>401</v>
      </c>
      <c r="H139" s="12" t="s">
        <v>81</v>
      </c>
      <c r="I139" s="12" t="s">
        <v>347</v>
      </c>
      <c r="J139" s="12" t="s">
        <v>347</v>
      </c>
      <c r="K139" s="12" t="s">
        <v>347</v>
      </c>
      <c r="L139" s="12" t="s">
        <v>194</v>
      </c>
      <c r="M139" s="12" t="s">
        <v>342</v>
      </c>
      <c r="N139" s="12" t="s">
        <v>342</v>
      </c>
      <c r="O139" s="12" t="s">
        <v>263</v>
      </c>
      <c r="P139" s="12" t="s">
        <v>402</v>
      </c>
      <c r="Q139" s="12" t="s">
        <v>228</v>
      </c>
      <c r="R139" s="12" t="s">
        <v>228</v>
      </c>
      <c r="S139" s="12" t="s">
        <v>228</v>
      </c>
      <c r="T139" s="12" t="s">
        <v>99</v>
      </c>
      <c r="U139" s="12" t="s">
        <v>99</v>
      </c>
      <c r="V139" s="12" t="s">
        <v>100</v>
      </c>
      <c r="W139" s="12" t="s">
        <v>100</v>
      </c>
      <c r="X139" s="12" t="s">
        <v>24</v>
      </c>
      <c r="Y139" s="12" t="s">
        <v>92</v>
      </c>
      <c r="Z139" s="12" t="s">
        <v>194</v>
      </c>
      <c r="AA139" s="12" t="s">
        <v>342</v>
      </c>
      <c r="AB139" s="12">
        <v>6</v>
      </c>
      <c r="AC139" s="12">
        <v>9</v>
      </c>
      <c r="AD139" s="12" t="s">
        <v>194</v>
      </c>
      <c r="AE139" s="12" t="s">
        <v>342</v>
      </c>
      <c r="AF139" s="11">
        <v>46178.578472222223</v>
      </c>
      <c r="AG139" s="11">
        <v>46183.367743055547</v>
      </c>
      <c r="AH139" s="12" t="s">
        <v>403</v>
      </c>
    </row>
    <row r="140" spans="1:34" ht="29" x14ac:dyDescent="0.35">
      <c r="A140" s="11">
        <v>46181.338217592587</v>
      </c>
      <c r="B140" s="11">
        <v>46188.556851851848</v>
      </c>
      <c r="C140" s="12" t="s">
        <v>87</v>
      </c>
      <c r="D140" s="12" t="s">
        <v>103</v>
      </c>
      <c r="E140" s="12" t="s">
        <v>400</v>
      </c>
      <c r="F140" s="12" t="s">
        <v>401</v>
      </c>
      <c r="G140" s="12" t="s">
        <v>401</v>
      </c>
      <c r="H140" s="12" t="s">
        <v>81</v>
      </c>
      <c r="I140" s="12" t="s">
        <v>347</v>
      </c>
      <c r="J140" s="12" t="s">
        <v>347</v>
      </c>
      <c r="K140" s="12" t="s">
        <v>347</v>
      </c>
      <c r="L140" s="12" t="s">
        <v>194</v>
      </c>
      <c r="M140" s="12" t="s">
        <v>342</v>
      </c>
      <c r="N140" s="12" t="s">
        <v>342</v>
      </c>
      <c r="O140" s="12" t="s">
        <v>263</v>
      </c>
      <c r="P140" s="12" t="s">
        <v>402</v>
      </c>
      <c r="Q140" s="12" t="s">
        <v>228</v>
      </c>
      <c r="R140" s="12" t="s">
        <v>228</v>
      </c>
      <c r="S140" s="12" t="s">
        <v>228</v>
      </c>
      <c r="T140" s="12" t="s">
        <v>99</v>
      </c>
      <c r="U140" s="12" t="s">
        <v>99</v>
      </c>
      <c r="V140" s="12" t="s">
        <v>100</v>
      </c>
      <c r="W140" s="12" t="s">
        <v>100</v>
      </c>
      <c r="X140" s="12" t="s">
        <v>25</v>
      </c>
      <c r="Y140" s="12" t="s">
        <v>262</v>
      </c>
      <c r="Z140" s="12" t="s">
        <v>263</v>
      </c>
      <c r="AA140" s="12" t="s">
        <v>402</v>
      </c>
      <c r="AB140" s="12">
        <v>3</v>
      </c>
      <c r="AC140" s="12">
        <v>13</v>
      </c>
      <c r="AD140" s="12" t="s">
        <v>263</v>
      </c>
      <c r="AE140" s="12" t="s">
        <v>402</v>
      </c>
      <c r="AF140" s="11">
        <v>46178.578472222223</v>
      </c>
      <c r="AG140" s="11">
        <v>46183.367743055547</v>
      </c>
      <c r="AH140" s="12" t="s">
        <v>403</v>
      </c>
    </row>
    <row r="141" spans="1:34" ht="29" x14ac:dyDescent="0.35">
      <c r="A141" s="11">
        <v>46181.338217592587</v>
      </c>
      <c r="B141" s="11">
        <v>46188.556851851848</v>
      </c>
      <c r="C141" s="12" t="s">
        <v>87</v>
      </c>
      <c r="D141" s="12" t="s">
        <v>103</v>
      </c>
      <c r="E141" s="12" t="s">
        <v>400</v>
      </c>
      <c r="F141" s="12" t="s">
        <v>401</v>
      </c>
      <c r="G141" s="12" t="s">
        <v>401</v>
      </c>
      <c r="H141" s="12" t="s">
        <v>81</v>
      </c>
      <c r="I141" s="12" t="s">
        <v>347</v>
      </c>
      <c r="J141" s="12" t="s">
        <v>347</v>
      </c>
      <c r="K141" s="12" t="s">
        <v>347</v>
      </c>
      <c r="L141" s="12" t="s">
        <v>194</v>
      </c>
      <c r="M141" s="12" t="s">
        <v>342</v>
      </c>
      <c r="N141" s="12" t="s">
        <v>342</v>
      </c>
      <c r="O141" s="12" t="s">
        <v>263</v>
      </c>
      <c r="P141" s="12" t="s">
        <v>402</v>
      </c>
      <c r="Q141" s="12" t="s">
        <v>228</v>
      </c>
      <c r="R141" s="12" t="s">
        <v>228</v>
      </c>
      <c r="S141" s="12" t="s">
        <v>228</v>
      </c>
      <c r="T141" s="12" t="s">
        <v>99</v>
      </c>
      <c r="U141" s="12" t="s">
        <v>99</v>
      </c>
      <c r="V141" s="12" t="s">
        <v>100</v>
      </c>
      <c r="W141" s="12" t="s">
        <v>100</v>
      </c>
      <c r="X141" s="12" t="s">
        <v>28</v>
      </c>
      <c r="Y141" s="12" t="s">
        <v>365</v>
      </c>
      <c r="Z141" s="12" t="s">
        <v>207</v>
      </c>
      <c r="AA141" s="12" t="s">
        <v>208</v>
      </c>
      <c r="AB141" s="12">
        <v>0</v>
      </c>
      <c r="AC141" s="12">
        <v>1</v>
      </c>
      <c r="AD141" s="12" t="s">
        <v>207</v>
      </c>
      <c r="AE141" s="12" t="s">
        <v>208</v>
      </c>
      <c r="AF141" s="11">
        <v>46178.578472222223</v>
      </c>
      <c r="AG141" s="11">
        <v>46183.367743055547</v>
      </c>
      <c r="AH141" s="12" t="s">
        <v>403</v>
      </c>
    </row>
  </sheetData>
  <autoFilter ref="A1:AH14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141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1" customWidth="1"/>
    <col min="2" max="2" width="25" customWidth="1"/>
    <col min="3" max="4" width="31" customWidth="1"/>
    <col min="5" max="8" width="11" customWidth="1"/>
    <col min="9" max="11" width="46" customWidth="1"/>
    <col min="12" max="14" width="23" customWidth="1"/>
    <col min="15" max="16" width="24" customWidth="1"/>
    <col min="17" max="17" width="12" customWidth="1"/>
    <col min="18" max="19" width="16" customWidth="1"/>
    <col min="20" max="21" width="24" customWidth="1"/>
    <col min="22" max="23" width="16" customWidth="1"/>
    <col min="24" max="24" width="18" customWidth="1"/>
    <col min="25" max="25" width="29" customWidth="1"/>
    <col min="26" max="27" width="46" customWidth="1"/>
    <col min="28" max="29" width="14" customWidth="1"/>
    <col min="30" max="31" width="46" customWidth="1"/>
    <col min="32" max="33" width="21" customWidth="1"/>
    <col min="34" max="34" width="46" customWidth="1"/>
  </cols>
  <sheetData>
    <row r="1" spans="1:34" x14ac:dyDescent="0.35">
      <c r="A1" s="13" t="s">
        <v>865</v>
      </c>
      <c r="B1" s="13" t="s">
        <v>866</v>
      </c>
      <c r="C1" s="13" t="s">
        <v>72</v>
      </c>
      <c r="D1" s="13" t="s">
        <v>73</v>
      </c>
      <c r="E1" s="13" t="s">
        <v>65</v>
      </c>
      <c r="F1" s="13" t="s">
        <v>867</v>
      </c>
      <c r="G1" s="13" t="s">
        <v>868</v>
      </c>
      <c r="H1" s="13" t="s">
        <v>68</v>
      </c>
      <c r="I1" s="13" t="s">
        <v>869</v>
      </c>
      <c r="J1" s="13" t="s">
        <v>870</v>
      </c>
      <c r="K1" s="13" t="s">
        <v>871</v>
      </c>
      <c r="L1" s="13" t="s">
        <v>872</v>
      </c>
      <c r="M1" s="13" t="s">
        <v>873</v>
      </c>
      <c r="N1" s="13" t="s">
        <v>874</v>
      </c>
      <c r="O1" s="13" t="s">
        <v>875</v>
      </c>
      <c r="P1" s="13" t="s">
        <v>876</v>
      </c>
      <c r="Q1" s="13" t="s">
        <v>877</v>
      </c>
      <c r="R1" s="13" t="s">
        <v>878</v>
      </c>
      <c r="S1" s="13" t="s">
        <v>879</v>
      </c>
      <c r="T1" s="13" t="s">
        <v>880</v>
      </c>
      <c r="U1" s="13" t="s">
        <v>881</v>
      </c>
      <c r="V1" s="13" t="s">
        <v>882</v>
      </c>
      <c r="W1" s="13" t="s">
        <v>883</v>
      </c>
      <c r="X1" s="13" t="s">
        <v>18</v>
      </c>
      <c r="Y1" s="13" t="s">
        <v>67</v>
      </c>
      <c r="Z1" s="13" t="s">
        <v>70</v>
      </c>
      <c r="AA1" s="13" t="s">
        <v>71</v>
      </c>
      <c r="AB1" s="13" t="s">
        <v>884</v>
      </c>
      <c r="AC1" s="13" t="s">
        <v>885</v>
      </c>
      <c r="AD1" s="13" t="s">
        <v>62</v>
      </c>
      <c r="AE1" s="13" t="s">
        <v>63</v>
      </c>
      <c r="AF1" s="13" t="s">
        <v>886</v>
      </c>
      <c r="AG1" s="13" t="s">
        <v>74</v>
      </c>
      <c r="AH1" s="13" t="s">
        <v>59</v>
      </c>
    </row>
    <row r="2" spans="1:34" ht="29" x14ac:dyDescent="0.35">
      <c r="A2" s="11">
        <v>46178.648101851853</v>
      </c>
      <c r="B2" s="11">
        <v>46181.338217592587</v>
      </c>
      <c r="C2" s="12" t="s">
        <v>86</v>
      </c>
      <c r="D2" s="12" t="s">
        <v>87</v>
      </c>
      <c r="E2" s="12" t="s">
        <v>75</v>
      </c>
      <c r="F2" s="12" t="s">
        <v>76</v>
      </c>
      <c r="G2" s="12" t="s">
        <v>76</v>
      </c>
      <c r="H2" s="12" t="s">
        <v>81</v>
      </c>
      <c r="I2" s="12" t="s">
        <v>77</v>
      </c>
      <c r="J2" s="12" t="s">
        <v>77</v>
      </c>
      <c r="K2" s="12" t="s">
        <v>77</v>
      </c>
      <c r="L2" s="12" t="s">
        <v>93</v>
      </c>
      <c r="M2" s="12" t="s">
        <v>78</v>
      </c>
      <c r="N2" s="12" t="s">
        <v>78</v>
      </c>
      <c r="O2" s="12" t="s">
        <v>402</v>
      </c>
      <c r="P2" s="12" t="s">
        <v>402</v>
      </c>
      <c r="Q2" s="12" t="s">
        <v>79</v>
      </c>
      <c r="R2" s="12" t="s">
        <v>79</v>
      </c>
      <c r="S2" s="12" t="s">
        <v>79</v>
      </c>
      <c r="T2" s="12" t="s">
        <v>84</v>
      </c>
      <c r="U2" s="12" t="s">
        <v>82</v>
      </c>
      <c r="V2" s="12" t="s">
        <v>83</v>
      </c>
      <c r="W2" s="12" t="s">
        <v>83</v>
      </c>
      <c r="X2" s="12" t="s">
        <v>24</v>
      </c>
      <c r="Y2" s="12" t="s">
        <v>92</v>
      </c>
      <c r="Z2" s="12" t="s">
        <v>93</v>
      </c>
      <c r="AA2" s="12" t="s">
        <v>78</v>
      </c>
      <c r="AB2" s="12">
        <v>7</v>
      </c>
      <c r="AC2" s="12">
        <v>13</v>
      </c>
      <c r="AD2" s="12" t="s">
        <v>93</v>
      </c>
      <c r="AE2" s="12" t="s">
        <v>78</v>
      </c>
      <c r="AF2" s="11">
        <v>46178.544768518521</v>
      </c>
      <c r="AG2" s="11">
        <v>46178.661608796298</v>
      </c>
      <c r="AH2" s="12" t="s">
        <v>85</v>
      </c>
    </row>
    <row r="3" spans="1:34" ht="29" x14ac:dyDescent="0.35">
      <c r="A3" s="11">
        <v>46178.648101851853</v>
      </c>
      <c r="B3" s="11">
        <v>46181.338217592587</v>
      </c>
      <c r="C3" s="12" t="s">
        <v>86</v>
      </c>
      <c r="D3" s="12" t="s">
        <v>87</v>
      </c>
      <c r="E3" s="12" t="s">
        <v>75</v>
      </c>
      <c r="F3" s="12" t="s">
        <v>76</v>
      </c>
      <c r="G3" s="12" t="s">
        <v>76</v>
      </c>
      <c r="H3" s="12" t="s">
        <v>81</v>
      </c>
      <c r="I3" s="12" t="s">
        <v>77</v>
      </c>
      <c r="J3" s="12" t="s">
        <v>77</v>
      </c>
      <c r="K3" s="12" t="s">
        <v>77</v>
      </c>
      <c r="L3" s="12" t="s">
        <v>93</v>
      </c>
      <c r="M3" s="12" t="s">
        <v>78</v>
      </c>
      <c r="N3" s="12" t="s">
        <v>78</v>
      </c>
      <c r="O3" s="12" t="s">
        <v>402</v>
      </c>
      <c r="P3" s="12" t="s">
        <v>402</v>
      </c>
      <c r="Q3" s="12" t="s">
        <v>79</v>
      </c>
      <c r="R3" s="12" t="s">
        <v>79</v>
      </c>
      <c r="S3" s="12" t="s">
        <v>79</v>
      </c>
      <c r="T3" s="12" t="s">
        <v>84</v>
      </c>
      <c r="U3" s="12" t="s">
        <v>82</v>
      </c>
      <c r="V3" s="12" t="s">
        <v>83</v>
      </c>
      <c r="W3" s="12" t="s">
        <v>83</v>
      </c>
      <c r="X3" s="12" t="s">
        <v>23</v>
      </c>
      <c r="Y3" s="12" t="s">
        <v>80</v>
      </c>
      <c r="Z3" s="12" t="s">
        <v>84</v>
      </c>
      <c r="AA3" s="12" t="s">
        <v>82</v>
      </c>
      <c r="AB3" s="12">
        <v>11</v>
      </c>
      <c r="AC3" s="12">
        <v>14</v>
      </c>
      <c r="AD3" s="12" t="s">
        <v>84</v>
      </c>
      <c r="AE3" s="12" t="s">
        <v>82</v>
      </c>
      <c r="AF3" s="11">
        <v>46178.544768518521</v>
      </c>
      <c r="AG3" s="11">
        <v>46178.661608796298</v>
      </c>
      <c r="AH3" s="12" t="s">
        <v>85</v>
      </c>
    </row>
    <row r="4" spans="1:34" ht="29" x14ac:dyDescent="0.35">
      <c r="A4" s="11">
        <v>46178.648101851853</v>
      </c>
      <c r="B4" s="11">
        <v>46181.338217592587</v>
      </c>
      <c r="C4" s="12" t="s">
        <v>86</v>
      </c>
      <c r="D4" s="12" t="s">
        <v>87</v>
      </c>
      <c r="E4" s="12" t="s">
        <v>75</v>
      </c>
      <c r="F4" s="12" t="s">
        <v>76</v>
      </c>
      <c r="G4" s="12" t="s">
        <v>76</v>
      </c>
      <c r="H4" s="12" t="s">
        <v>81</v>
      </c>
      <c r="I4" s="12" t="s">
        <v>77</v>
      </c>
      <c r="J4" s="12" t="s">
        <v>77</v>
      </c>
      <c r="K4" s="12" t="s">
        <v>77</v>
      </c>
      <c r="L4" s="12" t="s">
        <v>93</v>
      </c>
      <c r="M4" s="12" t="s">
        <v>78</v>
      </c>
      <c r="N4" s="12" t="s">
        <v>78</v>
      </c>
      <c r="O4" s="12" t="s">
        <v>402</v>
      </c>
      <c r="P4" s="12" t="s">
        <v>402</v>
      </c>
      <c r="Q4" s="12" t="s">
        <v>79</v>
      </c>
      <c r="R4" s="12" t="s">
        <v>79</v>
      </c>
      <c r="S4" s="12" t="s">
        <v>79</v>
      </c>
      <c r="T4" s="12" t="s">
        <v>84</v>
      </c>
      <c r="U4" s="12" t="s">
        <v>82</v>
      </c>
      <c r="V4" s="12" t="s">
        <v>83</v>
      </c>
      <c r="W4" s="12" t="s">
        <v>83</v>
      </c>
      <c r="X4" s="12" t="s">
        <v>28</v>
      </c>
      <c r="Y4" s="12" t="s">
        <v>88</v>
      </c>
      <c r="Z4" s="12" t="s">
        <v>89</v>
      </c>
      <c r="AA4" s="12" t="s">
        <v>89</v>
      </c>
      <c r="AB4" s="12">
        <v>4</v>
      </c>
      <c r="AC4" s="12">
        <v>4</v>
      </c>
      <c r="AD4" s="12" t="s">
        <v>89</v>
      </c>
      <c r="AE4" s="12" t="s">
        <v>89</v>
      </c>
      <c r="AF4" s="11">
        <v>46178.544768518521</v>
      </c>
      <c r="AG4" s="11">
        <v>46178.661608796298</v>
      </c>
      <c r="AH4" s="12" t="s">
        <v>85</v>
      </c>
    </row>
    <row r="5" spans="1:34" ht="29" x14ac:dyDescent="0.35">
      <c r="A5" s="11">
        <v>46178.648101851853</v>
      </c>
      <c r="B5" s="11">
        <v>46181.338217592587</v>
      </c>
      <c r="C5" s="12" t="s">
        <v>86</v>
      </c>
      <c r="D5" s="12" t="s">
        <v>87</v>
      </c>
      <c r="E5" s="12" t="s">
        <v>75</v>
      </c>
      <c r="F5" s="12" t="s">
        <v>76</v>
      </c>
      <c r="G5" s="12" t="s">
        <v>76</v>
      </c>
      <c r="H5" s="12" t="s">
        <v>81</v>
      </c>
      <c r="I5" s="12" t="s">
        <v>77</v>
      </c>
      <c r="J5" s="12" t="s">
        <v>77</v>
      </c>
      <c r="K5" s="12" t="s">
        <v>77</v>
      </c>
      <c r="L5" s="12" t="s">
        <v>93</v>
      </c>
      <c r="M5" s="12" t="s">
        <v>78</v>
      </c>
      <c r="N5" s="12" t="s">
        <v>78</v>
      </c>
      <c r="O5" s="12" t="s">
        <v>402</v>
      </c>
      <c r="P5" s="12" t="s">
        <v>402</v>
      </c>
      <c r="Q5" s="12" t="s">
        <v>79</v>
      </c>
      <c r="R5" s="12" t="s">
        <v>79</v>
      </c>
      <c r="S5" s="12" t="s">
        <v>79</v>
      </c>
      <c r="T5" s="12" t="s">
        <v>84</v>
      </c>
      <c r="U5" s="12" t="s">
        <v>82</v>
      </c>
      <c r="V5" s="12" t="s">
        <v>83</v>
      </c>
      <c r="W5" s="12" t="s">
        <v>83</v>
      </c>
      <c r="X5" s="12" t="s">
        <v>30</v>
      </c>
      <c r="Y5" s="12" t="s">
        <v>90</v>
      </c>
      <c r="Z5" s="12" t="s">
        <v>91</v>
      </c>
      <c r="AA5" s="12" t="s">
        <v>91</v>
      </c>
      <c r="AB5" s="12">
        <v>1</v>
      </c>
      <c r="AC5" s="12">
        <v>1</v>
      </c>
      <c r="AD5" s="12" t="s">
        <v>91</v>
      </c>
      <c r="AE5" s="12" t="s">
        <v>91</v>
      </c>
      <c r="AF5" s="11">
        <v>46178.544768518521</v>
      </c>
      <c r="AG5" s="11">
        <v>46178.661608796298</v>
      </c>
      <c r="AH5" s="12" t="s">
        <v>85</v>
      </c>
    </row>
    <row r="6" spans="1:34" ht="29" x14ac:dyDescent="0.35">
      <c r="A6" s="11">
        <v>46181.338217592587</v>
      </c>
      <c r="B6" s="11">
        <v>46188.556851851848</v>
      </c>
      <c r="C6" s="12" t="s">
        <v>87</v>
      </c>
      <c r="D6" s="12" t="s">
        <v>103</v>
      </c>
      <c r="E6" s="12" t="s">
        <v>94</v>
      </c>
      <c r="F6" s="12"/>
      <c r="G6" s="12" t="s">
        <v>95</v>
      </c>
      <c r="H6" s="12" t="s">
        <v>81</v>
      </c>
      <c r="I6" s="12"/>
      <c r="J6" s="12"/>
      <c r="K6" s="12"/>
      <c r="L6" s="12"/>
      <c r="M6" s="12" t="s">
        <v>96</v>
      </c>
      <c r="N6" s="12" t="s">
        <v>96</v>
      </c>
      <c r="O6" s="12"/>
      <c r="P6" s="12" t="s">
        <v>263</v>
      </c>
      <c r="Q6" s="12"/>
      <c r="R6" s="12" t="s">
        <v>97</v>
      </c>
      <c r="S6" s="12" t="s">
        <v>97</v>
      </c>
      <c r="T6" s="12"/>
      <c r="U6" s="12" t="s">
        <v>99</v>
      </c>
      <c r="V6" s="12"/>
      <c r="W6" s="12" t="s">
        <v>100</v>
      </c>
      <c r="X6" s="12" t="s">
        <v>21</v>
      </c>
      <c r="Y6" s="12" t="s">
        <v>98</v>
      </c>
      <c r="Z6" s="12"/>
      <c r="AA6" s="12" t="s">
        <v>101</v>
      </c>
      <c r="AB6" s="12"/>
      <c r="AC6" s="12">
        <v>29</v>
      </c>
      <c r="AD6" s="12"/>
      <c r="AE6" s="12" t="s">
        <v>101</v>
      </c>
      <c r="AF6" s="12"/>
      <c r="AG6" s="11">
        <v>46181.353078703702</v>
      </c>
      <c r="AH6" s="12" t="s">
        <v>102</v>
      </c>
    </row>
    <row r="7" spans="1:34" ht="29" x14ac:dyDescent="0.35">
      <c r="A7" s="11">
        <v>46181.338217592587</v>
      </c>
      <c r="B7" s="11">
        <v>46188.556851851848</v>
      </c>
      <c r="C7" s="12" t="s">
        <v>87</v>
      </c>
      <c r="D7" s="12" t="s">
        <v>103</v>
      </c>
      <c r="E7" s="12" t="s">
        <v>104</v>
      </c>
      <c r="F7" s="12"/>
      <c r="G7" s="12" t="s">
        <v>105</v>
      </c>
      <c r="H7" s="12" t="s">
        <v>81</v>
      </c>
      <c r="I7" s="12"/>
      <c r="J7" s="12"/>
      <c r="K7" s="12"/>
      <c r="L7" s="12"/>
      <c r="M7" s="12" t="s">
        <v>96</v>
      </c>
      <c r="N7" s="12" t="s">
        <v>96</v>
      </c>
      <c r="O7" s="12"/>
      <c r="P7" s="12" t="s">
        <v>263</v>
      </c>
      <c r="Q7" s="12"/>
      <c r="R7" s="12" t="s">
        <v>97</v>
      </c>
      <c r="S7" s="12" t="s">
        <v>97</v>
      </c>
      <c r="T7" s="12"/>
      <c r="U7" s="12" t="s">
        <v>99</v>
      </c>
      <c r="V7" s="12"/>
      <c r="W7" s="12" t="s">
        <v>100</v>
      </c>
      <c r="X7" s="12" t="s">
        <v>21</v>
      </c>
      <c r="Y7" s="12" t="s">
        <v>98</v>
      </c>
      <c r="Z7" s="12"/>
      <c r="AA7" s="12" t="s">
        <v>106</v>
      </c>
      <c r="AB7" s="12"/>
      <c r="AC7" s="12">
        <v>29</v>
      </c>
      <c r="AD7" s="12"/>
      <c r="AE7" s="12" t="s">
        <v>106</v>
      </c>
      <c r="AF7" s="12"/>
      <c r="AG7" s="11">
        <v>46181.589791666673</v>
      </c>
      <c r="AH7" s="12" t="s">
        <v>107</v>
      </c>
    </row>
    <row r="8" spans="1:34" ht="29" x14ac:dyDescent="0.35">
      <c r="A8" s="11">
        <v>46181.338217592587</v>
      </c>
      <c r="B8" s="11">
        <v>46188.556851851848</v>
      </c>
      <c r="C8" s="12" t="s">
        <v>87</v>
      </c>
      <c r="D8" s="12" t="s">
        <v>103</v>
      </c>
      <c r="E8" s="12" t="s">
        <v>233</v>
      </c>
      <c r="F8" s="12"/>
      <c r="G8" s="12" t="s">
        <v>234</v>
      </c>
      <c r="H8" s="12" t="s">
        <v>81</v>
      </c>
      <c r="I8" s="12"/>
      <c r="J8" s="12"/>
      <c r="K8" s="12"/>
      <c r="L8" s="12"/>
      <c r="M8" s="12" t="s">
        <v>194</v>
      </c>
      <c r="N8" s="12" t="s">
        <v>194</v>
      </c>
      <c r="O8" s="12"/>
      <c r="P8" s="12" t="s">
        <v>263</v>
      </c>
      <c r="Q8" s="12"/>
      <c r="R8" s="12" t="s">
        <v>228</v>
      </c>
      <c r="S8" s="12" t="s">
        <v>228</v>
      </c>
      <c r="T8" s="12"/>
      <c r="U8" s="12" t="s">
        <v>197</v>
      </c>
      <c r="V8" s="12"/>
      <c r="W8" s="12" t="s">
        <v>100</v>
      </c>
      <c r="X8" s="12" t="s">
        <v>21</v>
      </c>
      <c r="Y8" s="12" t="s">
        <v>98</v>
      </c>
      <c r="Z8" s="12"/>
      <c r="AA8" s="12" t="s">
        <v>235</v>
      </c>
      <c r="AB8" s="12"/>
      <c r="AC8" s="12">
        <v>72</v>
      </c>
      <c r="AD8" s="12"/>
      <c r="AE8" s="12" t="s">
        <v>235</v>
      </c>
      <c r="AF8" s="12"/>
      <c r="AG8" s="11">
        <v>46181.593425925923</v>
      </c>
      <c r="AH8" s="12" t="s">
        <v>236</v>
      </c>
    </row>
    <row r="9" spans="1:34" ht="29" x14ac:dyDescent="0.35">
      <c r="A9" s="11">
        <v>46181.338217592587</v>
      </c>
      <c r="B9" s="11">
        <v>46188.556851851848</v>
      </c>
      <c r="C9" s="12" t="s">
        <v>87</v>
      </c>
      <c r="D9" s="12" t="s">
        <v>103</v>
      </c>
      <c r="E9" s="12" t="s">
        <v>108</v>
      </c>
      <c r="F9" s="12"/>
      <c r="G9" s="12" t="s">
        <v>109</v>
      </c>
      <c r="H9" s="12" t="s">
        <v>81</v>
      </c>
      <c r="I9" s="12"/>
      <c r="J9" s="12"/>
      <c r="K9" s="12"/>
      <c r="L9" s="12"/>
      <c r="M9" s="12" t="s">
        <v>96</v>
      </c>
      <c r="N9" s="12" t="s">
        <v>96</v>
      </c>
      <c r="O9" s="12"/>
      <c r="P9" s="12" t="s">
        <v>263</v>
      </c>
      <c r="Q9" s="12"/>
      <c r="R9" s="12" t="s">
        <v>97</v>
      </c>
      <c r="S9" s="12" t="s">
        <v>97</v>
      </c>
      <c r="T9" s="12"/>
      <c r="U9" s="12" t="s">
        <v>110</v>
      </c>
      <c r="V9" s="12"/>
      <c r="W9" s="12" t="s">
        <v>100</v>
      </c>
      <c r="X9" s="12" t="s">
        <v>21</v>
      </c>
      <c r="Y9" s="12" t="s">
        <v>98</v>
      </c>
      <c r="Z9" s="12"/>
      <c r="AA9" s="12" t="s">
        <v>111</v>
      </c>
      <c r="AB9" s="12"/>
      <c r="AC9" s="12">
        <v>29</v>
      </c>
      <c r="AD9" s="12"/>
      <c r="AE9" s="12" t="s">
        <v>111</v>
      </c>
      <c r="AF9" s="12"/>
      <c r="AG9" s="11">
        <v>46182.635706018518</v>
      </c>
      <c r="AH9" s="12" t="s">
        <v>112</v>
      </c>
    </row>
    <row r="10" spans="1:34" ht="29" x14ac:dyDescent="0.35">
      <c r="A10" s="11">
        <v>46181.338217592587</v>
      </c>
      <c r="B10" s="11">
        <v>46188.556851851848</v>
      </c>
      <c r="C10" s="12" t="s">
        <v>87</v>
      </c>
      <c r="D10" s="12" t="s">
        <v>103</v>
      </c>
      <c r="E10" s="12" t="s">
        <v>237</v>
      </c>
      <c r="F10" s="12"/>
      <c r="G10" s="12" t="s">
        <v>238</v>
      </c>
      <c r="H10" s="12" t="s">
        <v>81</v>
      </c>
      <c r="I10" s="12"/>
      <c r="J10" s="12"/>
      <c r="K10" s="12"/>
      <c r="L10" s="12"/>
      <c r="M10" s="12" t="s">
        <v>194</v>
      </c>
      <c r="N10" s="12" t="s">
        <v>194</v>
      </c>
      <c r="O10" s="12"/>
      <c r="P10" s="12" t="s">
        <v>263</v>
      </c>
      <c r="Q10" s="12"/>
      <c r="R10" s="12" t="s">
        <v>195</v>
      </c>
      <c r="S10" s="12" t="s">
        <v>195</v>
      </c>
      <c r="T10" s="12"/>
      <c r="U10" s="12" t="s">
        <v>197</v>
      </c>
      <c r="V10" s="12"/>
      <c r="W10" s="12" t="s">
        <v>100</v>
      </c>
      <c r="X10" s="12" t="s">
        <v>21</v>
      </c>
      <c r="Y10" s="12" t="s">
        <v>98</v>
      </c>
      <c r="Z10" s="12"/>
      <c r="AA10" s="12" t="s">
        <v>239</v>
      </c>
      <c r="AB10" s="12"/>
      <c r="AC10" s="12">
        <v>54</v>
      </c>
      <c r="AD10" s="12"/>
      <c r="AE10" s="12" t="s">
        <v>239</v>
      </c>
      <c r="AF10" s="12"/>
      <c r="AG10" s="11">
        <v>46181.642175925917</v>
      </c>
      <c r="AH10" s="12" t="s">
        <v>240</v>
      </c>
    </row>
    <row r="11" spans="1:34" ht="29" x14ac:dyDescent="0.35">
      <c r="A11" s="11">
        <v>46181.338217592587</v>
      </c>
      <c r="B11" s="11">
        <v>46188.556851851848</v>
      </c>
      <c r="C11" s="12" t="s">
        <v>87</v>
      </c>
      <c r="D11" s="12" t="s">
        <v>103</v>
      </c>
      <c r="E11" s="12" t="s">
        <v>241</v>
      </c>
      <c r="F11" s="12"/>
      <c r="G11" s="12" t="s">
        <v>242</v>
      </c>
      <c r="H11" s="12" t="s">
        <v>81</v>
      </c>
      <c r="I11" s="12"/>
      <c r="J11" s="12"/>
      <c r="K11" s="12"/>
      <c r="L11" s="12"/>
      <c r="M11" s="12" t="s">
        <v>194</v>
      </c>
      <c r="N11" s="12" t="s">
        <v>194</v>
      </c>
      <c r="O11" s="12"/>
      <c r="P11" s="12" t="s">
        <v>263</v>
      </c>
      <c r="Q11" s="12"/>
      <c r="R11" s="12" t="s">
        <v>195</v>
      </c>
      <c r="S11" s="12" t="s">
        <v>195</v>
      </c>
      <c r="T11" s="12"/>
      <c r="U11" s="12" t="s">
        <v>197</v>
      </c>
      <c r="V11" s="12"/>
      <c r="W11" s="12" t="s">
        <v>100</v>
      </c>
      <c r="X11" s="12" t="s">
        <v>21</v>
      </c>
      <c r="Y11" s="12" t="s">
        <v>98</v>
      </c>
      <c r="Z11" s="12"/>
      <c r="AA11" s="12" t="s">
        <v>239</v>
      </c>
      <c r="AB11" s="12"/>
      <c r="AC11" s="12">
        <v>54</v>
      </c>
      <c r="AD11" s="12"/>
      <c r="AE11" s="12" t="s">
        <v>239</v>
      </c>
      <c r="AF11" s="12"/>
      <c r="AG11" s="11">
        <v>46181.642199074071</v>
      </c>
      <c r="AH11" s="12" t="s">
        <v>243</v>
      </c>
    </row>
    <row r="12" spans="1:34" ht="29" x14ac:dyDescent="0.35">
      <c r="A12" s="11">
        <v>46181.338217592587</v>
      </c>
      <c r="B12" s="11">
        <v>46188.556851851848</v>
      </c>
      <c r="C12" s="12" t="s">
        <v>87</v>
      </c>
      <c r="D12" s="12" t="s">
        <v>103</v>
      </c>
      <c r="E12" s="12" t="s">
        <v>244</v>
      </c>
      <c r="F12" s="12"/>
      <c r="G12" s="12" t="s">
        <v>245</v>
      </c>
      <c r="H12" s="12" t="s">
        <v>81</v>
      </c>
      <c r="I12" s="12"/>
      <c r="J12" s="12"/>
      <c r="K12" s="12"/>
      <c r="L12" s="12"/>
      <c r="M12" s="12" t="s">
        <v>194</v>
      </c>
      <c r="N12" s="12" t="s">
        <v>194</v>
      </c>
      <c r="O12" s="12"/>
      <c r="P12" s="12" t="s">
        <v>263</v>
      </c>
      <c r="Q12" s="12"/>
      <c r="R12" s="12" t="s">
        <v>195</v>
      </c>
      <c r="S12" s="12" t="s">
        <v>195</v>
      </c>
      <c r="T12" s="12"/>
      <c r="U12" s="12" t="s">
        <v>197</v>
      </c>
      <c r="V12" s="12"/>
      <c r="W12" s="12" t="s">
        <v>100</v>
      </c>
      <c r="X12" s="12" t="s">
        <v>21</v>
      </c>
      <c r="Y12" s="12" t="s">
        <v>98</v>
      </c>
      <c r="Z12" s="12"/>
      <c r="AA12" s="12" t="s">
        <v>239</v>
      </c>
      <c r="AB12" s="12"/>
      <c r="AC12" s="12">
        <v>54</v>
      </c>
      <c r="AD12" s="12"/>
      <c r="AE12" s="12" t="s">
        <v>239</v>
      </c>
      <c r="AF12" s="12"/>
      <c r="AG12" s="11">
        <v>46181.642199074071</v>
      </c>
      <c r="AH12" s="12" t="s">
        <v>246</v>
      </c>
    </row>
    <row r="13" spans="1:34" ht="29" x14ac:dyDescent="0.35">
      <c r="A13" s="11">
        <v>46181.338217592587</v>
      </c>
      <c r="B13" s="11">
        <v>46188.556851851848</v>
      </c>
      <c r="C13" s="12" t="s">
        <v>87</v>
      </c>
      <c r="D13" s="12" t="s">
        <v>103</v>
      </c>
      <c r="E13" s="12" t="s">
        <v>247</v>
      </c>
      <c r="F13" s="12"/>
      <c r="G13" s="12" t="s">
        <v>248</v>
      </c>
      <c r="H13" s="12" t="s">
        <v>81</v>
      </c>
      <c r="I13" s="12"/>
      <c r="J13" s="12"/>
      <c r="K13" s="12"/>
      <c r="L13" s="12"/>
      <c r="M13" s="12" t="s">
        <v>194</v>
      </c>
      <c r="N13" s="12" t="s">
        <v>194</v>
      </c>
      <c r="O13" s="12"/>
      <c r="P13" s="12" t="s">
        <v>263</v>
      </c>
      <c r="Q13" s="12"/>
      <c r="R13" s="12" t="s">
        <v>195</v>
      </c>
      <c r="S13" s="12" t="s">
        <v>195</v>
      </c>
      <c r="T13" s="12"/>
      <c r="U13" s="12" t="s">
        <v>197</v>
      </c>
      <c r="V13" s="12"/>
      <c r="W13" s="12" t="s">
        <v>100</v>
      </c>
      <c r="X13" s="12" t="s">
        <v>21</v>
      </c>
      <c r="Y13" s="12" t="s">
        <v>98</v>
      </c>
      <c r="Z13" s="12"/>
      <c r="AA13" s="12" t="s">
        <v>239</v>
      </c>
      <c r="AB13" s="12"/>
      <c r="AC13" s="12">
        <v>54</v>
      </c>
      <c r="AD13" s="12"/>
      <c r="AE13" s="12" t="s">
        <v>239</v>
      </c>
      <c r="AF13" s="12"/>
      <c r="AG13" s="11">
        <v>46181.642199074071</v>
      </c>
      <c r="AH13" s="12" t="s">
        <v>249</v>
      </c>
    </row>
    <row r="14" spans="1:34" ht="43.5" x14ac:dyDescent="0.35">
      <c r="A14" s="11">
        <v>46181.338217592587</v>
      </c>
      <c r="B14" s="11">
        <v>46188.556851851848</v>
      </c>
      <c r="C14" s="12" t="s">
        <v>87</v>
      </c>
      <c r="D14" s="12" t="s">
        <v>103</v>
      </c>
      <c r="E14" s="12" t="s">
        <v>372</v>
      </c>
      <c r="F14" s="12"/>
      <c r="G14" s="12" t="s">
        <v>373</v>
      </c>
      <c r="H14" s="12" t="s">
        <v>81</v>
      </c>
      <c r="I14" s="12"/>
      <c r="J14" s="12" t="s">
        <v>347</v>
      </c>
      <c r="K14" s="12" t="s">
        <v>347</v>
      </c>
      <c r="L14" s="12"/>
      <c r="M14" s="12" t="s">
        <v>310</v>
      </c>
      <c r="N14" s="12" t="s">
        <v>310</v>
      </c>
      <c r="O14" s="12"/>
      <c r="P14" s="12" t="s">
        <v>402</v>
      </c>
      <c r="Q14" s="12"/>
      <c r="R14" s="12" t="s">
        <v>305</v>
      </c>
      <c r="S14" s="12" t="s">
        <v>305</v>
      </c>
      <c r="T14" s="12"/>
      <c r="U14" s="12" t="s">
        <v>99</v>
      </c>
      <c r="V14" s="12"/>
      <c r="W14" s="12" t="s">
        <v>100</v>
      </c>
      <c r="X14" s="12" t="s">
        <v>21</v>
      </c>
      <c r="Y14" s="12" t="s">
        <v>98</v>
      </c>
      <c r="Z14" s="12"/>
      <c r="AA14" s="12" t="s">
        <v>374</v>
      </c>
      <c r="AB14" s="12"/>
      <c r="AC14" s="12">
        <v>113</v>
      </c>
      <c r="AD14" s="12"/>
      <c r="AE14" s="12" t="s">
        <v>374</v>
      </c>
      <c r="AF14" s="12"/>
      <c r="AG14" s="11">
        <v>46185.32335648148</v>
      </c>
      <c r="AH14" s="12" t="s">
        <v>375</v>
      </c>
    </row>
    <row r="15" spans="1:34" ht="29" x14ac:dyDescent="0.35">
      <c r="A15" s="11">
        <v>46181.338217592587</v>
      </c>
      <c r="B15" s="11">
        <v>46188.556851851848</v>
      </c>
      <c r="C15" s="12" t="s">
        <v>87</v>
      </c>
      <c r="D15" s="12" t="s">
        <v>103</v>
      </c>
      <c r="E15" s="12" t="s">
        <v>113</v>
      </c>
      <c r="F15" s="12"/>
      <c r="G15" s="12" t="s">
        <v>114</v>
      </c>
      <c r="H15" s="12" t="s">
        <v>81</v>
      </c>
      <c r="I15" s="12"/>
      <c r="J15" s="12"/>
      <c r="K15" s="12"/>
      <c r="L15" s="12"/>
      <c r="M15" s="12" t="s">
        <v>96</v>
      </c>
      <c r="N15" s="12" t="s">
        <v>96</v>
      </c>
      <c r="O15" s="12"/>
      <c r="P15" s="12" t="s">
        <v>263</v>
      </c>
      <c r="Q15" s="12"/>
      <c r="R15" s="12" t="s">
        <v>97</v>
      </c>
      <c r="S15" s="12" t="s">
        <v>97</v>
      </c>
      <c r="T15" s="12"/>
      <c r="U15" s="12" t="s">
        <v>110</v>
      </c>
      <c r="V15" s="12"/>
      <c r="W15" s="12" t="s">
        <v>100</v>
      </c>
      <c r="X15" s="12" t="s">
        <v>21</v>
      </c>
      <c r="Y15" s="12" t="s">
        <v>98</v>
      </c>
      <c r="Z15" s="12"/>
      <c r="AA15" s="12" t="s">
        <v>115</v>
      </c>
      <c r="AB15" s="12"/>
      <c r="AC15" s="12">
        <v>29</v>
      </c>
      <c r="AD15" s="12"/>
      <c r="AE15" s="12" t="s">
        <v>115</v>
      </c>
      <c r="AF15" s="12"/>
      <c r="AG15" s="11">
        <v>46182.413715277777</v>
      </c>
      <c r="AH15" s="12" t="s">
        <v>116</v>
      </c>
    </row>
    <row r="16" spans="1:34" ht="29" x14ac:dyDescent="0.35">
      <c r="A16" s="11">
        <v>46181.338217592587</v>
      </c>
      <c r="B16" s="11">
        <v>46188.556851851848</v>
      </c>
      <c r="C16" s="12" t="s">
        <v>87</v>
      </c>
      <c r="D16" s="12" t="s">
        <v>103</v>
      </c>
      <c r="E16" s="12" t="s">
        <v>376</v>
      </c>
      <c r="F16" s="12"/>
      <c r="G16" s="12" t="s">
        <v>377</v>
      </c>
      <c r="H16" s="12" t="s">
        <v>81</v>
      </c>
      <c r="I16" s="12"/>
      <c r="J16" s="12" t="s">
        <v>347</v>
      </c>
      <c r="K16" s="12" t="s">
        <v>347</v>
      </c>
      <c r="L16" s="12"/>
      <c r="M16" s="12" t="s">
        <v>310</v>
      </c>
      <c r="N16" s="12" t="s">
        <v>310</v>
      </c>
      <c r="O16" s="12"/>
      <c r="P16" s="12" t="s">
        <v>402</v>
      </c>
      <c r="Q16" s="12"/>
      <c r="R16" s="12" t="s">
        <v>228</v>
      </c>
      <c r="S16" s="12" t="s">
        <v>228</v>
      </c>
      <c r="T16" s="12"/>
      <c r="U16" s="12" t="s">
        <v>110</v>
      </c>
      <c r="V16" s="12"/>
      <c r="W16" s="12" t="s">
        <v>100</v>
      </c>
      <c r="X16" s="12" t="s">
        <v>21</v>
      </c>
      <c r="Y16" s="12" t="s">
        <v>98</v>
      </c>
      <c r="Z16" s="12"/>
      <c r="AA16" s="12" t="s">
        <v>378</v>
      </c>
      <c r="AB16" s="12"/>
      <c r="AC16" s="12">
        <v>84</v>
      </c>
      <c r="AD16" s="12"/>
      <c r="AE16" s="12" t="s">
        <v>378</v>
      </c>
      <c r="AF16" s="12"/>
      <c r="AG16" s="11">
        <v>46188.392916666657</v>
      </c>
      <c r="AH16" s="12" t="s">
        <v>379</v>
      </c>
    </row>
    <row r="17" spans="1:34" ht="29" x14ac:dyDescent="0.35">
      <c r="A17" s="11">
        <v>46181.338217592587</v>
      </c>
      <c r="B17" s="11">
        <v>46188.556851851848</v>
      </c>
      <c r="C17" s="12" t="s">
        <v>87</v>
      </c>
      <c r="D17" s="12" t="s">
        <v>103</v>
      </c>
      <c r="E17" s="12" t="s">
        <v>117</v>
      </c>
      <c r="F17" s="12"/>
      <c r="G17" s="12" t="s">
        <v>118</v>
      </c>
      <c r="H17" s="12" t="s">
        <v>81</v>
      </c>
      <c r="I17" s="12"/>
      <c r="J17" s="12"/>
      <c r="K17" s="12"/>
      <c r="L17" s="12"/>
      <c r="M17" s="12" t="s">
        <v>96</v>
      </c>
      <c r="N17" s="12" t="s">
        <v>96</v>
      </c>
      <c r="O17" s="12"/>
      <c r="P17" s="12" t="s">
        <v>263</v>
      </c>
      <c r="Q17" s="12"/>
      <c r="R17" s="12" t="s">
        <v>97</v>
      </c>
      <c r="S17" s="12" t="s">
        <v>97</v>
      </c>
      <c r="T17" s="12"/>
      <c r="U17" s="12" t="s">
        <v>99</v>
      </c>
      <c r="V17" s="12"/>
      <c r="W17" s="12" t="s">
        <v>100</v>
      </c>
      <c r="X17" s="12" t="s">
        <v>21</v>
      </c>
      <c r="Y17" s="12" t="s">
        <v>98</v>
      </c>
      <c r="Z17" s="12"/>
      <c r="AA17" s="12" t="s">
        <v>119</v>
      </c>
      <c r="AB17" s="12"/>
      <c r="AC17" s="12">
        <v>29</v>
      </c>
      <c r="AD17" s="12"/>
      <c r="AE17" s="12" t="s">
        <v>119</v>
      </c>
      <c r="AF17" s="12"/>
      <c r="AG17" s="11">
        <v>46182.644918981481</v>
      </c>
      <c r="AH17" s="12" t="s">
        <v>120</v>
      </c>
    </row>
    <row r="18" spans="1:34" ht="29" x14ac:dyDescent="0.35">
      <c r="A18" s="11">
        <v>46181.338217592587</v>
      </c>
      <c r="B18" s="11">
        <v>46188.556851851848</v>
      </c>
      <c r="C18" s="12" t="s">
        <v>87</v>
      </c>
      <c r="D18" s="12" t="s">
        <v>103</v>
      </c>
      <c r="E18" s="12" t="s">
        <v>380</v>
      </c>
      <c r="F18" s="12"/>
      <c r="G18" s="12" t="s">
        <v>381</v>
      </c>
      <c r="H18" s="12" t="s">
        <v>81</v>
      </c>
      <c r="I18" s="12"/>
      <c r="J18" s="12" t="s">
        <v>347</v>
      </c>
      <c r="K18" s="12" t="s">
        <v>347</v>
      </c>
      <c r="L18" s="12"/>
      <c r="M18" s="12" t="s">
        <v>194</v>
      </c>
      <c r="N18" s="12" t="s">
        <v>194</v>
      </c>
      <c r="O18" s="12"/>
      <c r="P18" s="12" t="s">
        <v>263</v>
      </c>
      <c r="Q18" s="12"/>
      <c r="R18" s="12" t="s">
        <v>228</v>
      </c>
      <c r="S18" s="12" t="s">
        <v>228</v>
      </c>
      <c r="T18" s="12"/>
      <c r="U18" s="12" t="s">
        <v>99</v>
      </c>
      <c r="V18" s="12"/>
      <c r="W18" s="12" t="s">
        <v>100</v>
      </c>
      <c r="X18" s="12" t="s">
        <v>21</v>
      </c>
      <c r="Y18" s="12" t="s">
        <v>98</v>
      </c>
      <c r="Z18" s="12"/>
      <c r="AA18" s="12" t="s">
        <v>382</v>
      </c>
      <c r="AB18" s="12"/>
      <c r="AC18" s="12">
        <v>99</v>
      </c>
      <c r="AD18" s="12"/>
      <c r="AE18" s="12" t="s">
        <v>382</v>
      </c>
      <c r="AF18" s="12"/>
      <c r="AG18" s="11">
        <v>46182.647060185183</v>
      </c>
      <c r="AH18" s="12" t="s">
        <v>383</v>
      </c>
    </row>
    <row r="19" spans="1:34" ht="29" x14ac:dyDescent="0.35">
      <c r="A19" s="11">
        <v>46181.338217592587</v>
      </c>
      <c r="B19" s="11">
        <v>46188.556851851848</v>
      </c>
      <c r="C19" s="12" t="s">
        <v>87</v>
      </c>
      <c r="D19" s="12" t="s">
        <v>103</v>
      </c>
      <c r="E19" s="12" t="s">
        <v>121</v>
      </c>
      <c r="F19" s="12"/>
      <c r="G19" s="12" t="s">
        <v>122</v>
      </c>
      <c r="H19" s="12" t="s">
        <v>81</v>
      </c>
      <c r="I19" s="12"/>
      <c r="J19" s="12"/>
      <c r="K19" s="12"/>
      <c r="L19" s="12"/>
      <c r="M19" s="12" t="s">
        <v>96</v>
      </c>
      <c r="N19" s="12" t="s">
        <v>96</v>
      </c>
      <c r="O19" s="12"/>
      <c r="P19" s="12" t="s">
        <v>263</v>
      </c>
      <c r="Q19" s="12"/>
      <c r="R19" s="12" t="s">
        <v>97</v>
      </c>
      <c r="S19" s="12" t="s">
        <v>97</v>
      </c>
      <c r="T19" s="12"/>
      <c r="U19" s="12" t="s">
        <v>110</v>
      </c>
      <c r="V19" s="12"/>
      <c r="W19" s="12" t="s">
        <v>100</v>
      </c>
      <c r="X19" s="12" t="s">
        <v>21</v>
      </c>
      <c r="Y19" s="12" t="s">
        <v>98</v>
      </c>
      <c r="Z19" s="12"/>
      <c r="AA19" s="12" t="s">
        <v>123</v>
      </c>
      <c r="AB19" s="12"/>
      <c r="AC19" s="12">
        <v>29</v>
      </c>
      <c r="AD19" s="12"/>
      <c r="AE19" s="12" t="s">
        <v>123</v>
      </c>
      <c r="AF19" s="12"/>
      <c r="AG19" s="11">
        <v>46183.52847222222</v>
      </c>
      <c r="AH19" s="12" t="s">
        <v>124</v>
      </c>
    </row>
    <row r="20" spans="1:34" ht="29" x14ac:dyDescent="0.35">
      <c r="A20" s="11">
        <v>46181.338217592587</v>
      </c>
      <c r="B20" s="11">
        <v>46188.556851851848</v>
      </c>
      <c r="C20" s="12" t="s">
        <v>87</v>
      </c>
      <c r="D20" s="12" t="s">
        <v>103</v>
      </c>
      <c r="E20" s="12" t="s">
        <v>125</v>
      </c>
      <c r="F20" s="12"/>
      <c r="G20" s="12" t="s">
        <v>126</v>
      </c>
      <c r="H20" s="12" t="s">
        <v>81</v>
      </c>
      <c r="I20" s="12"/>
      <c r="J20" s="12"/>
      <c r="K20" s="12"/>
      <c r="L20" s="12"/>
      <c r="M20" s="12" t="s">
        <v>96</v>
      </c>
      <c r="N20" s="12" t="s">
        <v>96</v>
      </c>
      <c r="O20" s="12"/>
      <c r="P20" s="12" t="s">
        <v>263</v>
      </c>
      <c r="Q20" s="12"/>
      <c r="R20" s="12" t="s">
        <v>97</v>
      </c>
      <c r="S20" s="12" t="s">
        <v>97</v>
      </c>
      <c r="T20" s="12"/>
      <c r="U20" s="12" t="s">
        <v>99</v>
      </c>
      <c r="V20" s="12"/>
      <c r="W20" s="12" t="s">
        <v>100</v>
      </c>
      <c r="X20" s="12" t="s">
        <v>21</v>
      </c>
      <c r="Y20" s="12" t="s">
        <v>98</v>
      </c>
      <c r="Z20" s="12"/>
      <c r="AA20" s="12" t="s">
        <v>127</v>
      </c>
      <c r="AB20" s="12"/>
      <c r="AC20" s="12">
        <v>29</v>
      </c>
      <c r="AD20" s="12"/>
      <c r="AE20" s="12" t="s">
        <v>127</v>
      </c>
      <c r="AF20" s="12"/>
      <c r="AG20" s="11">
        <v>46183.360590277778</v>
      </c>
      <c r="AH20" s="12" t="s">
        <v>128</v>
      </c>
    </row>
    <row r="21" spans="1:34" ht="29" x14ac:dyDescent="0.35">
      <c r="A21" s="11">
        <v>46181.338217592587</v>
      </c>
      <c r="B21" s="11">
        <v>46188.556851851848</v>
      </c>
      <c r="C21" s="12" t="s">
        <v>87</v>
      </c>
      <c r="D21" s="12" t="s">
        <v>103</v>
      </c>
      <c r="E21" s="12" t="s">
        <v>408</v>
      </c>
      <c r="F21" s="12"/>
      <c r="G21" s="12" t="s">
        <v>409</v>
      </c>
      <c r="H21" s="12" t="s">
        <v>81</v>
      </c>
      <c r="I21" s="12"/>
      <c r="J21" s="12" t="s">
        <v>347</v>
      </c>
      <c r="K21" s="12" t="s">
        <v>347</v>
      </c>
      <c r="L21" s="12"/>
      <c r="M21" s="12" t="s">
        <v>342</v>
      </c>
      <c r="N21" s="12" t="s">
        <v>342</v>
      </c>
      <c r="O21" s="12"/>
      <c r="P21" s="12" t="s">
        <v>402</v>
      </c>
      <c r="Q21" s="12"/>
      <c r="R21" s="12" t="s">
        <v>228</v>
      </c>
      <c r="S21" s="12" t="s">
        <v>228</v>
      </c>
      <c r="T21" s="12"/>
      <c r="U21" s="12" t="s">
        <v>99</v>
      </c>
      <c r="V21" s="12"/>
      <c r="W21" s="12" t="s">
        <v>100</v>
      </c>
      <c r="X21" s="12" t="s">
        <v>21</v>
      </c>
      <c r="Y21" s="12" t="s">
        <v>98</v>
      </c>
      <c r="Z21" s="12"/>
      <c r="AA21" s="12" t="s">
        <v>410</v>
      </c>
      <c r="AB21" s="12"/>
      <c r="AC21" s="12">
        <v>102</v>
      </c>
      <c r="AD21" s="12"/>
      <c r="AE21" s="12" t="s">
        <v>410</v>
      </c>
      <c r="AF21" s="12"/>
      <c r="AG21" s="11">
        <v>46183.365370370368</v>
      </c>
      <c r="AH21" s="12" t="s">
        <v>411</v>
      </c>
    </row>
    <row r="22" spans="1:34" ht="29" x14ac:dyDescent="0.35">
      <c r="A22" s="11">
        <v>46181.338217592587</v>
      </c>
      <c r="B22" s="11">
        <v>46188.556851851848</v>
      </c>
      <c r="C22" s="12" t="s">
        <v>87</v>
      </c>
      <c r="D22" s="12" t="s">
        <v>103</v>
      </c>
      <c r="E22" s="12" t="s">
        <v>129</v>
      </c>
      <c r="F22" s="12"/>
      <c r="G22" s="12" t="s">
        <v>130</v>
      </c>
      <c r="H22" s="12" t="s">
        <v>81</v>
      </c>
      <c r="I22" s="12"/>
      <c r="J22" s="12"/>
      <c r="K22" s="12"/>
      <c r="L22" s="12"/>
      <c r="M22" s="12" t="s">
        <v>96</v>
      </c>
      <c r="N22" s="12" t="s">
        <v>96</v>
      </c>
      <c r="O22" s="12"/>
      <c r="P22" s="12" t="s">
        <v>263</v>
      </c>
      <c r="Q22" s="12"/>
      <c r="R22" s="12" t="s">
        <v>97</v>
      </c>
      <c r="S22" s="12" t="s">
        <v>97</v>
      </c>
      <c r="T22" s="12"/>
      <c r="U22" s="12" t="s">
        <v>99</v>
      </c>
      <c r="V22" s="12"/>
      <c r="W22" s="12" t="s">
        <v>100</v>
      </c>
      <c r="X22" s="12" t="s">
        <v>21</v>
      </c>
      <c r="Y22" s="12" t="s">
        <v>98</v>
      </c>
      <c r="Z22" s="12"/>
      <c r="AA22" s="12" t="s">
        <v>131</v>
      </c>
      <c r="AB22" s="12"/>
      <c r="AC22" s="12">
        <v>29</v>
      </c>
      <c r="AD22" s="12"/>
      <c r="AE22" s="12" t="s">
        <v>131</v>
      </c>
      <c r="AF22" s="12"/>
      <c r="AG22" s="11">
        <v>46183.540821759263</v>
      </c>
      <c r="AH22" s="12" t="s">
        <v>132</v>
      </c>
    </row>
    <row r="23" spans="1:34" ht="29" x14ac:dyDescent="0.35">
      <c r="A23" s="11">
        <v>46181.338217592587</v>
      </c>
      <c r="B23" s="11">
        <v>46188.556851851848</v>
      </c>
      <c r="C23" s="12" t="s">
        <v>87</v>
      </c>
      <c r="D23" s="12" t="s">
        <v>103</v>
      </c>
      <c r="E23" s="12" t="s">
        <v>133</v>
      </c>
      <c r="F23" s="12"/>
      <c r="G23" s="12" t="s">
        <v>134</v>
      </c>
      <c r="H23" s="12" t="s">
        <v>81</v>
      </c>
      <c r="I23" s="12"/>
      <c r="J23" s="12"/>
      <c r="K23" s="12"/>
      <c r="L23" s="12"/>
      <c r="M23" s="12" t="s">
        <v>96</v>
      </c>
      <c r="N23" s="12" t="s">
        <v>96</v>
      </c>
      <c r="O23" s="12"/>
      <c r="P23" s="12" t="s">
        <v>263</v>
      </c>
      <c r="Q23" s="12"/>
      <c r="R23" s="12" t="s">
        <v>97</v>
      </c>
      <c r="S23" s="12" t="s">
        <v>97</v>
      </c>
      <c r="T23" s="12"/>
      <c r="U23" s="12" t="s">
        <v>99</v>
      </c>
      <c r="V23" s="12"/>
      <c r="W23" s="12" t="s">
        <v>100</v>
      </c>
      <c r="X23" s="12" t="s">
        <v>21</v>
      </c>
      <c r="Y23" s="12" t="s">
        <v>98</v>
      </c>
      <c r="Z23" s="12"/>
      <c r="AA23" s="12" t="s">
        <v>135</v>
      </c>
      <c r="AB23" s="12"/>
      <c r="AC23" s="12">
        <v>29</v>
      </c>
      <c r="AD23" s="12"/>
      <c r="AE23" s="12" t="s">
        <v>135</v>
      </c>
      <c r="AF23" s="12"/>
      <c r="AG23" s="11">
        <v>46183.587442129632</v>
      </c>
      <c r="AH23" s="12" t="s">
        <v>136</v>
      </c>
    </row>
    <row r="24" spans="1:34" ht="29" x14ac:dyDescent="0.35">
      <c r="A24" s="11">
        <v>46181.338217592587</v>
      </c>
      <c r="B24" s="11">
        <v>46188.556851851848</v>
      </c>
      <c r="C24" s="12" t="s">
        <v>87</v>
      </c>
      <c r="D24" s="12" t="s">
        <v>103</v>
      </c>
      <c r="E24" s="12" t="s">
        <v>384</v>
      </c>
      <c r="F24" s="12"/>
      <c r="G24" s="12" t="s">
        <v>385</v>
      </c>
      <c r="H24" s="12" t="s">
        <v>81</v>
      </c>
      <c r="I24" s="12"/>
      <c r="J24" s="12" t="s">
        <v>347</v>
      </c>
      <c r="K24" s="12" t="s">
        <v>347</v>
      </c>
      <c r="L24" s="12"/>
      <c r="M24" s="12" t="s">
        <v>194</v>
      </c>
      <c r="N24" s="12" t="s">
        <v>194</v>
      </c>
      <c r="O24" s="12"/>
      <c r="P24" s="12" t="s">
        <v>263</v>
      </c>
      <c r="Q24" s="12"/>
      <c r="R24" s="12" t="s">
        <v>228</v>
      </c>
      <c r="S24" s="12" t="s">
        <v>228</v>
      </c>
      <c r="T24" s="12"/>
      <c r="U24" s="12" t="s">
        <v>99</v>
      </c>
      <c r="V24" s="12"/>
      <c r="W24" s="12" t="s">
        <v>100</v>
      </c>
      <c r="X24" s="12" t="s">
        <v>21</v>
      </c>
      <c r="Y24" s="12" t="s">
        <v>98</v>
      </c>
      <c r="Z24" s="12"/>
      <c r="AA24" s="12" t="s">
        <v>386</v>
      </c>
      <c r="AB24" s="12"/>
      <c r="AC24" s="12">
        <v>76</v>
      </c>
      <c r="AD24" s="12"/>
      <c r="AE24" s="12" t="s">
        <v>386</v>
      </c>
      <c r="AF24" s="12"/>
      <c r="AG24" s="11">
        <v>46183.589490740742</v>
      </c>
      <c r="AH24" s="12" t="s">
        <v>387</v>
      </c>
    </row>
    <row r="25" spans="1:34" ht="29" x14ac:dyDescent="0.35">
      <c r="A25" s="11">
        <v>46181.338217592587</v>
      </c>
      <c r="B25" s="11">
        <v>46188.556851851848</v>
      </c>
      <c r="C25" s="12" t="s">
        <v>87</v>
      </c>
      <c r="D25" s="12" t="s">
        <v>103</v>
      </c>
      <c r="E25" s="12" t="s">
        <v>250</v>
      </c>
      <c r="F25" s="12"/>
      <c r="G25" s="12" t="s">
        <v>251</v>
      </c>
      <c r="H25" s="12" t="s">
        <v>81</v>
      </c>
      <c r="I25" s="12"/>
      <c r="J25" s="12"/>
      <c r="K25" s="12"/>
      <c r="L25" s="12"/>
      <c r="M25" s="12" t="s">
        <v>194</v>
      </c>
      <c r="N25" s="12" t="s">
        <v>194</v>
      </c>
      <c r="O25" s="12"/>
      <c r="P25" s="12" t="s">
        <v>263</v>
      </c>
      <c r="Q25" s="12"/>
      <c r="R25" s="12" t="s">
        <v>228</v>
      </c>
      <c r="S25" s="12" t="s">
        <v>228</v>
      </c>
      <c r="T25" s="12"/>
      <c r="U25" s="12" t="s">
        <v>197</v>
      </c>
      <c r="V25" s="12"/>
      <c r="W25" s="12" t="s">
        <v>100</v>
      </c>
      <c r="X25" s="12" t="s">
        <v>21</v>
      </c>
      <c r="Y25" s="12" t="s">
        <v>98</v>
      </c>
      <c r="Z25" s="12"/>
      <c r="AA25" s="12" t="s">
        <v>252</v>
      </c>
      <c r="AB25" s="12"/>
      <c r="AC25" s="12">
        <v>74</v>
      </c>
      <c r="AD25" s="12"/>
      <c r="AE25" s="12" t="s">
        <v>252</v>
      </c>
      <c r="AF25" s="12"/>
      <c r="AG25" s="11">
        <v>46183.598009259258</v>
      </c>
      <c r="AH25" s="12" t="s">
        <v>253</v>
      </c>
    </row>
    <row r="26" spans="1:34" ht="29" x14ac:dyDescent="0.35">
      <c r="A26" s="11">
        <v>46181.338217592587</v>
      </c>
      <c r="B26" s="11">
        <v>46188.556851851848</v>
      </c>
      <c r="C26" s="12" t="s">
        <v>87</v>
      </c>
      <c r="D26" s="12" t="s">
        <v>103</v>
      </c>
      <c r="E26" s="12" t="s">
        <v>137</v>
      </c>
      <c r="F26" s="12"/>
      <c r="G26" s="12" t="s">
        <v>138</v>
      </c>
      <c r="H26" s="12" t="s">
        <v>81</v>
      </c>
      <c r="I26" s="12"/>
      <c r="J26" s="12"/>
      <c r="K26" s="12"/>
      <c r="L26" s="12"/>
      <c r="M26" s="12" t="s">
        <v>96</v>
      </c>
      <c r="N26" s="12" t="s">
        <v>96</v>
      </c>
      <c r="O26" s="12"/>
      <c r="P26" s="12" t="s">
        <v>263</v>
      </c>
      <c r="Q26" s="12"/>
      <c r="R26" s="12" t="s">
        <v>97</v>
      </c>
      <c r="S26" s="12" t="s">
        <v>97</v>
      </c>
      <c r="T26" s="12"/>
      <c r="U26" s="12" t="s">
        <v>110</v>
      </c>
      <c r="V26" s="12"/>
      <c r="W26" s="12" t="s">
        <v>100</v>
      </c>
      <c r="X26" s="12" t="s">
        <v>21</v>
      </c>
      <c r="Y26" s="12" t="s">
        <v>98</v>
      </c>
      <c r="Z26" s="12"/>
      <c r="AA26" s="12" t="s">
        <v>139</v>
      </c>
      <c r="AB26" s="12"/>
      <c r="AC26" s="12">
        <v>29</v>
      </c>
      <c r="AD26" s="12"/>
      <c r="AE26" s="12" t="s">
        <v>139</v>
      </c>
      <c r="AF26" s="12"/>
      <c r="AG26" s="11">
        <v>46183.601145833331</v>
      </c>
      <c r="AH26" s="12" t="s">
        <v>140</v>
      </c>
    </row>
    <row r="27" spans="1:34" ht="29" x14ac:dyDescent="0.35">
      <c r="A27" s="11">
        <v>46181.338217592587</v>
      </c>
      <c r="B27" s="11">
        <v>46188.556851851848</v>
      </c>
      <c r="C27" s="12" t="s">
        <v>87</v>
      </c>
      <c r="D27" s="12" t="s">
        <v>103</v>
      </c>
      <c r="E27" s="12" t="s">
        <v>141</v>
      </c>
      <c r="F27" s="12"/>
      <c r="G27" s="12" t="s">
        <v>142</v>
      </c>
      <c r="H27" s="12" t="s">
        <v>81</v>
      </c>
      <c r="I27" s="12"/>
      <c r="J27" s="12"/>
      <c r="K27" s="12"/>
      <c r="L27" s="12"/>
      <c r="M27" s="12" t="s">
        <v>96</v>
      </c>
      <c r="N27" s="12" t="s">
        <v>96</v>
      </c>
      <c r="O27" s="12"/>
      <c r="P27" s="12" t="s">
        <v>263</v>
      </c>
      <c r="Q27" s="12"/>
      <c r="R27" s="12" t="s">
        <v>97</v>
      </c>
      <c r="S27" s="12" t="s">
        <v>97</v>
      </c>
      <c r="T27" s="12"/>
      <c r="U27" s="12" t="s">
        <v>110</v>
      </c>
      <c r="V27" s="12"/>
      <c r="W27" s="12" t="s">
        <v>100</v>
      </c>
      <c r="X27" s="12" t="s">
        <v>21</v>
      </c>
      <c r="Y27" s="12" t="s">
        <v>98</v>
      </c>
      <c r="Z27" s="12"/>
      <c r="AA27" s="12" t="s">
        <v>143</v>
      </c>
      <c r="AB27" s="12"/>
      <c r="AC27" s="12">
        <v>29</v>
      </c>
      <c r="AD27" s="12"/>
      <c r="AE27" s="12" t="s">
        <v>143</v>
      </c>
      <c r="AF27" s="12"/>
      <c r="AG27" s="11">
        <v>46183.62672453704</v>
      </c>
      <c r="AH27" s="12" t="s">
        <v>144</v>
      </c>
    </row>
    <row r="28" spans="1:34" ht="29" x14ac:dyDescent="0.35">
      <c r="A28" s="11">
        <v>46181.338217592587</v>
      </c>
      <c r="B28" s="11">
        <v>46188.556851851848</v>
      </c>
      <c r="C28" s="12" t="s">
        <v>87</v>
      </c>
      <c r="D28" s="12" t="s">
        <v>103</v>
      </c>
      <c r="E28" s="12" t="s">
        <v>145</v>
      </c>
      <c r="F28" s="12"/>
      <c r="G28" s="12" t="s">
        <v>146</v>
      </c>
      <c r="H28" s="12" t="s">
        <v>81</v>
      </c>
      <c r="I28" s="12"/>
      <c r="J28" s="12"/>
      <c r="K28" s="12"/>
      <c r="L28" s="12"/>
      <c r="M28" s="12" t="s">
        <v>96</v>
      </c>
      <c r="N28" s="12" t="s">
        <v>96</v>
      </c>
      <c r="O28" s="12"/>
      <c r="P28" s="12" t="s">
        <v>263</v>
      </c>
      <c r="Q28" s="12"/>
      <c r="R28" s="12" t="s">
        <v>97</v>
      </c>
      <c r="S28" s="12" t="s">
        <v>97</v>
      </c>
      <c r="T28" s="12"/>
      <c r="U28" s="12" t="s">
        <v>99</v>
      </c>
      <c r="V28" s="12"/>
      <c r="W28" s="12" t="s">
        <v>100</v>
      </c>
      <c r="X28" s="12" t="s">
        <v>21</v>
      </c>
      <c r="Y28" s="12" t="s">
        <v>98</v>
      </c>
      <c r="Z28" s="12"/>
      <c r="AA28" s="12" t="s">
        <v>147</v>
      </c>
      <c r="AB28" s="12"/>
      <c r="AC28" s="12">
        <v>29</v>
      </c>
      <c r="AD28" s="12"/>
      <c r="AE28" s="12" t="s">
        <v>147</v>
      </c>
      <c r="AF28" s="12"/>
      <c r="AG28" s="11">
        <v>46184.613645833328</v>
      </c>
      <c r="AH28" s="12" t="s">
        <v>148</v>
      </c>
    </row>
    <row r="29" spans="1:34" ht="29" x14ac:dyDescent="0.35">
      <c r="A29" s="11">
        <v>46181.338217592587</v>
      </c>
      <c r="B29" s="11">
        <v>46188.556851851848</v>
      </c>
      <c r="C29" s="12" t="s">
        <v>87</v>
      </c>
      <c r="D29" s="12" t="s">
        <v>103</v>
      </c>
      <c r="E29" s="12" t="s">
        <v>149</v>
      </c>
      <c r="F29" s="12"/>
      <c r="G29" s="12" t="s">
        <v>150</v>
      </c>
      <c r="H29" s="12" t="s">
        <v>81</v>
      </c>
      <c r="I29" s="12"/>
      <c r="J29" s="12"/>
      <c r="K29" s="12"/>
      <c r="L29" s="12"/>
      <c r="M29" s="12" t="s">
        <v>96</v>
      </c>
      <c r="N29" s="12" t="s">
        <v>96</v>
      </c>
      <c r="O29" s="12"/>
      <c r="P29" s="12" t="s">
        <v>263</v>
      </c>
      <c r="Q29" s="12"/>
      <c r="R29" s="12" t="s">
        <v>97</v>
      </c>
      <c r="S29" s="12" t="s">
        <v>97</v>
      </c>
      <c r="T29" s="12"/>
      <c r="U29" s="12" t="s">
        <v>110</v>
      </c>
      <c r="V29" s="12"/>
      <c r="W29" s="12" t="s">
        <v>100</v>
      </c>
      <c r="X29" s="12" t="s">
        <v>21</v>
      </c>
      <c r="Y29" s="12" t="s">
        <v>98</v>
      </c>
      <c r="Z29" s="12"/>
      <c r="AA29" s="12" t="s">
        <v>151</v>
      </c>
      <c r="AB29" s="12"/>
      <c r="AC29" s="12">
        <v>29</v>
      </c>
      <c r="AD29" s="12"/>
      <c r="AE29" s="12" t="s">
        <v>151</v>
      </c>
      <c r="AF29" s="12"/>
      <c r="AG29" s="11">
        <v>46184.515659722223</v>
      </c>
      <c r="AH29" s="12" t="s">
        <v>152</v>
      </c>
    </row>
    <row r="30" spans="1:34" ht="29" x14ac:dyDescent="0.35">
      <c r="A30" s="11">
        <v>46181.338217592587</v>
      </c>
      <c r="B30" s="11">
        <v>46188.556851851848</v>
      </c>
      <c r="C30" s="12" t="s">
        <v>87</v>
      </c>
      <c r="D30" s="12" t="s">
        <v>103</v>
      </c>
      <c r="E30" s="12" t="s">
        <v>153</v>
      </c>
      <c r="F30" s="12"/>
      <c r="G30" s="12" t="s">
        <v>154</v>
      </c>
      <c r="H30" s="12" t="s">
        <v>81</v>
      </c>
      <c r="I30" s="12"/>
      <c r="J30" s="12"/>
      <c r="K30" s="12"/>
      <c r="L30" s="12"/>
      <c r="M30" s="12" t="s">
        <v>96</v>
      </c>
      <c r="N30" s="12" t="s">
        <v>96</v>
      </c>
      <c r="O30" s="12"/>
      <c r="P30" s="12" t="s">
        <v>263</v>
      </c>
      <c r="Q30" s="12"/>
      <c r="R30" s="12" t="s">
        <v>97</v>
      </c>
      <c r="S30" s="12" t="s">
        <v>97</v>
      </c>
      <c r="T30" s="12"/>
      <c r="U30" s="12" t="s">
        <v>99</v>
      </c>
      <c r="V30" s="12"/>
      <c r="W30" s="12" t="s">
        <v>100</v>
      </c>
      <c r="X30" s="12" t="s">
        <v>21</v>
      </c>
      <c r="Y30" s="12" t="s">
        <v>98</v>
      </c>
      <c r="Z30" s="12"/>
      <c r="AA30" s="12" t="s">
        <v>151</v>
      </c>
      <c r="AB30" s="12"/>
      <c r="AC30" s="12">
        <v>29</v>
      </c>
      <c r="AD30" s="12"/>
      <c r="AE30" s="12" t="s">
        <v>151</v>
      </c>
      <c r="AF30" s="12"/>
      <c r="AG30" s="11">
        <v>46184.526597222219</v>
      </c>
      <c r="AH30" s="12" t="s">
        <v>155</v>
      </c>
    </row>
    <row r="31" spans="1:34" ht="29" x14ac:dyDescent="0.35">
      <c r="A31" s="11">
        <v>46181.338217592587</v>
      </c>
      <c r="B31" s="11">
        <v>46188.556851851848</v>
      </c>
      <c r="C31" s="12" t="s">
        <v>87</v>
      </c>
      <c r="D31" s="12" t="s">
        <v>103</v>
      </c>
      <c r="E31" s="12" t="s">
        <v>156</v>
      </c>
      <c r="F31" s="12"/>
      <c r="G31" s="12" t="s">
        <v>157</v>
      </c>
      <c r="H31" s="12" t="s">
        <v>81</v>
      </c>
      <c r="I31" s="12"/>
      <c r="J31" s="12"/>
      <c r="K31" s="12"/>
      <c r="L31" s="12"/>
      <c r="M31" s="12" t="s">
        <v>96</v>
      </c>
      <c r="N31" s="12" t="s">
        <v>96</v>
      </c>
      <c r="O31" s="12"/>
      <c r="P31" s="12" t="s">
        <v>263</v>
      </c>
      <c r="Q31" s="12"/>
      <c r="R31" s="12" t="s">
        <v>97</v>
      </c>
      <c r="S31" s="12" t="s">
        <v>97</v>
      </c>
      <c r="T31" s="12"/>
      <c r="U31" s="12" t="s">
        <v>99</v>
      </c>
      <c r="V31" s="12"/>
      <c r="W31" s="12" t="s">
        <v>100</v>
      </c>
      <c r="X31" s="12" t="s">
        <v>21</v>
      </c>
      <c r="Y31" s="12" t="s">
        <v>98</v>
      </c>
      <c r="Z31" s="12"/>
      <c r="AA31" s="12" t="s">
        <v>158</v>
      </c>
      <c r="AB31" s="12"/>
      <c r="AC31" s="12">
        <v>29</v>
      </c>
      <c r="AD31" s="12"/>
      <c r="AE31" s="12" t="s">
        <v>158</v>
      </c>
      <c r="AF31" s="12"/>
      <c r="AG31" s="11">
        <v>46184.583668981482</v>
      </c>
      <c r="AH31" s="12" t="s">
        <v>159</v>
      </c>
    </row>
    <row r="32" spans="1:34" ht="29" x14ac:dyDescent="0.35">
      <c r="A32" s="11">
        <v>46181.338217592587</v>
      </c>
      <c r="B32" s="11">
        <v>46188.556851851848</v>
      </c>
      <c r="C32" s="12" t="s">
        <v>87</v>
      </c>
      <c r="D32" s="12" t="s">
        <v>103</v>
      </c>
      <c r="E32" s="12" t="s">
        <v>160</v>
      </c>
      <c r="F32" s="12"/>
      <c r="G32" s="12" t="s">
        <v>161</v>
      </c>
      <c r="H32" s="12" t="s">
        <v>81</v>
      </c>
      <c r="I32" s="12"/>
      <c r="J32" s="12"/>
      <c r="K32" s="12"/>
      <c r="L32" s="12"/>
      <c r="M32" s="12" t="s">
        <v>96</v>
      </c>
      <c r="N32" s="12" t="s">
        <v>96</v>
      </c>
      <c r="O32" s="12"/>
      <c r="P32" s="12" t="s">
        <v>263</v>
      </c>
      <c r="Q32" s="12"/>
      <c r="R32" s="12" t="s">
        <v>97</v>
      </c>
      <c r="S32" s="12" t="s">
        <v>97</v>
      </c>
      <c r="T32" s="12"/>
      <c r="U32" s="12" t="s">
        <v>110</v>
      </c>
      <c r="V32" s="12"/>
      <c r="W32" s="12" t="s">
        <v>100</v>
      </c>
      <c r="X32" s="12" t="s">
        <v>21</v>
      </c>
      <c r="Y32" s="12" t="s">
        <v>98</v>
      </c>
      <c r="Z32" s="12"/>
      <c r="AA32" s="12" t="s">
        <v>162</v>
      </c>
      <c r="AB32" s="12"/>
      <c r="AC32" s="12">
        <v>29</v>
      </c>
      <c r="AD32" s="12"/>
      <c r="AE32" s="12" t="s">
        <v>162</v>
      </c>
      <c r="AF32" s="12"/>
      <c r="AG32" s="11">
        <v>46184.596967592603</v>
      </c>
      <c r="AH32" s="12" t="s">
        <v>163</v>
      </c>
    </row>
    <row r="33" spans="1:34" ht="29" x14ac:dyDescent="0.35">
      <c r="A33" s="11">
        <v>46181.338217592587</v>
      </c>
      <c r="B33" s="11">
        <v>46188.556851851848</v>
      </c>
      <c r="C33" s="12" t="s">
        <v>87</v>
      </c>
      <c r="D33" s="12" t="s">
        <v>103</v>
      </c>
      <c r="E33" s="12" t="s">
        <v>388</v>
      </c>
      <c r="F33" s="12"/>
      <c r="G33" s="12" t="s">
        <v>389</v>
      </c>
      <c r="H33" s="12" t="s">
        <v>81</v>
      </c>
      <c r="I33" s="12"/>
      <c r="J33" s="12" t="s">
        <v>347</v>
      </c>
      <c r="K33" s="12" t="s">
        <v>347</v>
      </c>
      <c r="L33" s="12"/>
      <c r="M33" s="12" t="s">
        <v>194</v>
      </c>
      <c r="N33" s="12" t="s">
        <v>194</v>
      </c>
      <c r="O33" s="12"/>
      <c r="P33" s="12" t="s">
        <v>263</v>
      </c>
      <c r="Q33" s="12"/>
      <c r="R33" s="12" t="s">
        <v>228</v>
      </c>
      <c r="S33" s="12" t="s">
        <v>228</v>
      </c>
      <c r="T33" s="12"/>
      <c r="U33" s="12" t="s">
        <v>99</v>
      </c>
      <c r="V33" s="12"/>
      <c r="W33" s="12" t="s">
        <v>100</v>
      </c>
      <c r="X33" s="12" t="s">
        <v>21</v>
      </c>
      <c r="Y33" s="12" t="s">
        <v>98</v>
      </c>
      <c r="Z33" s="12"/>
      <c r="AA33" s="12" t="s">
        <v>390</v>
      </c>
      <c r="AB33" s="12"/>
      <c r="AC33" s="12">
        <v>80</v>
      </c>
      <c r="AD33" s="12"/>
      <c r="AE33" s="12" t="s">
        <v>390</v>
      </c>
      <c r="AF33" s="12"/>
      <c r="AG33" s="11">
        <v>46185.587673611109</v>
      </c>
      <c r="AH33" s="12" t="s">
        <v>391</v>
      </c>
    </row>
    <row r="34" spans="1:34" ht="29" x14ac:dyDescent="0.35">
      <c r="A34" s="11">
        <v>46181.338217592587</v>
      </c>
      <c r="B34" s="11">
        <v>46188.556851851848</v>
      </c>
      <c r="C34" s="12" t="s">
        <v>87</v>
      </c>
      <c r="D34" s="12" t="s">
        <v>103</v>
      </c>
      <c r="E34" s="12" t="s">
        <v>164</v>
      </c>
      <c r="F34" s="12"/>
      <c r="G34" s="12" t="s">
        <v>165</v>
      </c>
      <c r="H34" s="12" t="s">
        <v>81</v>
      </c>
      <c r="I34" s="12"/>
      <c r="J34" s="12"/>
      <c r="K34" s="12"/>
      <c r="L34" s="12"/>
      <c r="M34" s="12" t="s">
        <v>96</v>
      </c>
      <c r="N34" s="12" t="s">
        <v>96</v>
      </c>
      <c r="O34" s="12"/>
      <c r="P34" s="12" t="s">
        <v>263</v>
      </c>
      <c r="Q34" s="12"/>
      <c r="R34" s="12" t="s">
        <v>97</v>
      </c>
      <c r="S34" s="12" t="s">
        <v>97</v>
      </c>
      <c r="T34" s="12"/>
      <c r="U34" s="12" t="s">
        <v>110</v>
      </c>
      <c r="V34" s="12"/>
      <c r="W34" s="12" t="s">
        <v>100</v>
      </c>
      <c r="X34" s="12" t="s">
        <v>21</v>
      </c>
      <c r="Y34" s="12" t="s">
        <v>98</v>
      </c>
      <c r="Z34" s="12"/>
      <c r="AA34" s="12" t="s">
        <v>166</v>
      </c>
      <c r="AB34" s="12"/>
      <c r="AC34" s="12">
        <v>29</v>
      </c>
      <c r="AD34" s="12"/>
      <c r="AE34" s="12" t="s">
        <v>166</v>
      </c>
      <c r="AF34" s="12"/>
      <c r="AG34" s="11">
        <v>46185.367361111108</v>
      </c>
      <c r="AH34" s="12" t="s">
        <v>167</v>
      </c>
    </row>
    <row r="35" spans="1:34" ht="29" x14ac:dyDescent="0.35">
      <c r="A35" s="11">
        <v>46181.338217592587</v>
      </c>
      <c r="B35" s="11">
        <v>46188.556851851848</v>
      </c>
      <c r="C35" s="12" t="s">
        <v>87</v>
      </c>
      <c r="D35" s="12" t="s">
        <v>103</v>
      </c>
      <c r="E35" s="12" t="s">
        <v>168</v>
      </c>
      <c r="F35" s="12"/>
      <c r="G35" s="12" t="s">
        <v>169</v>
      </c>
      <c r="H35" s="12" t="s">
        <v>81</v>
      </c>
      <c r="I35" s="12"/>
      <c r="J35" s="12"/>
      <c r="K35" s="12"/>
      <c r="L35" s="12"/>
      <c r="M35" s="12" t="s">
        <v>96</v>
      </c>
      <c r="N35" s="12" t="s">
        <v>96</v>
      </c>
      <c r="O35" s="12"/>
      <c r="P35" s="12" t="s">
        <v>263</v>
      </c>
      <c r="Q35" s="12"/>
      <c r="R35" s="12" t="s">
        <v>97</v>
      </c>
      <c r="S35" s="12" t="s">
        <v>97</v>
      </c>
      <c r="T35" s="12"/>
      <c r="U35" s="12" t="s">
        <v>99</v>
      </c>
      <c r="V35" s="12"/>
      <c r="W35" s="12" t="s">
        <v>100</v>
      </c>
      <c r="X35" s="12" t="s">
        <v>21</v>
      </c>
      <c r="Y35" s="12" t="s">
        <v>98</v>
      </c>
      <c r="Z35" s="12"/>
      <c r="AA35" s="12" t="s">
        <v>170</v>
      </c>
      <c r="AB35" s="12"/>
      <c r="AC35" s="12">
        <v>29</v>
      </c>
      <c r="AD35" s="12"/>
      <c r="AE35" s="12" t="s">
        <v>170</v>
      </c>
      <c r="AF35" s="12"/>
      <c r="AG35" s="11">
        <v>46185.515381944453</v>
      </c>
      <c r="AH35" s="12" t="s">
        <v>171</v>
      </c>
    </row>
    <row r="36" spans="1:34" ht="29" x14ac:dyDescent="0.35">
      <c r="A36" s="11">
        <v>46181.338217592587</v>
      </c>
      <c r="B36" s="11">
        <v>46188.556851851848</v>
      </c>
      <c r="C36" s="12" t="s">
        <v>87</v>
      </c>
      <c r="D36" s="12" t="s">
        <v>103</v>
      </c>
      <c r="E36" s="12" t="s">
        <v>421</v>
      </c>
      <c r="F36" s="12"/>
      <c r="G36" s="12" t="s">
        <v>422</v>
      </c>
      <c r="H36" s="12" t="s">
        <v>81</v>
      </c>
      <c r="I36" s="12"/>
      <c r="J36" s="12" t="s">
        <v>77</v>
      </c>
      <c r="K36" s="12" t="s">
        <v>77</v>
      </c>
      <c r="L36" s="12"/>
      <c r="M36" s="12" t="s">
        <v>96</v>
      </c>
      <c r="N36" s="12" t="s">
        <v>96</v>
      </c>
      <c r="O36" s="12"/>
      <c r="P36" s="12" t="s">
        <v>263</v>
      </c>
      <c r="Q36" s="12"/>
      <c r="R36" s="12" t="s">
        <v>79</v>
      </c>
      <c r="S36" s="12" t="s">
        <v>79</v>
      </c>
      <c r="T36" s="12"/>
      <c r="U36" s="12" t="s">
        <v>307</v>
      </c>
      <c r="V36" s="12"/>
      <c r="W36" s="12" t="s">
        <v>100</v>
      </c>
      <c r="X36" s="12" t="s">
        <v>21</v>
      </c>
      <c r="Y36" s="12" t="s">
        <v>98</v>
      </c>
      <c r="Z36" s="12"/>
      <c r="AA36" s="12" t="s">
        <v>423</v>
      </c>
      <c r="AB36" s="12"/>
      <c r="AC36" s="12">
        <v>39</v>
      </c>
      <c r="AD36" s="12"/>
      <c r="AE36" s="12" t="s">
        <v>423</v>
      </c>
      <c r="AF36" s="12"/>
      <c r="AG36" s="11">
        <v>46185.542002314818</v>
      </c>
      <c r="AH36" s="12" t="s">
        <v>424</v>
      </c>
    </row>
    <row r="37" spans="1:34" ht="29" x14ac:dyDescent="0.35">
      <c r="A37" s="11">
        <v>46181.338217592587</v>
      </c>
      <c r="B37" s="11">
        <v>46188.556851851848</v>
      </c>
      <c r="C37" s="12" t="s">
        <v>87</v>
      </c>
      <c r="D37" s="12" t="s">
        <v>103</v>
      </c>
      <c r="E37" s="12" t="s">
        <v>172</v>
      </c>
      <c r="F37" s="12"/>
      <c r="G37" s="12" t="s">
        <v>173</v>
      </c>
      <c r="H37" s="12" t="s">
        <v>81</v>
      </c>
      <c r="I37" s="12"/>
      <c r="J37" s="12"/>
      <c r="K37" s="12"/>
      <c r="L37" s="12"/>
      <c r="M37" s="12" t="s">
        <v>96</v>
      </c>
      <c r="N37" s="12" t="s">
        <v>96</v>
      </c>
      <c r="O37" s="12"/>
      <c r="P37" s="12" t="s">
        <v>263</v>
      </c>
      <c r="Q37" s="12"/>
      <c r="R37" s="12" t="s">
        <v>97</v>
      </c>
      <c r="S37" s="12" t="s">
        <v>97</v>
      </c>
      <c r="T37" s="12"/>
      <c r="U37" s="12" t="s">
        <v>99</v>
      </c>
      <c r="V37" s="12"/>
      <c r="W37" s="12" t="s">
        <v>100</v>
      </c>
      <c r="X37" s="12" t="s">
        <v>21</v>
      </c>
      <c r="Y37" s="12" t="s">
        <v>98</v>
      </c>
      <c r="Z37" s="12"/>
      <c r="AA37" s="12" t="s">
        <v>174</v>
      </c>
      <c r="AB37" s="12"/>
      <c r="AC37" s="12">
        <v>29</v>
      </c>
      <c r="AD37" s="12"/>
      <c r="AE37" s="12" t="s">
        <v>174</v>
      </c>
      <c r="AF37" s="12"/>
      <c r="AG37" s="11">
        <v>46185.587673611109</v>
      </c>
      <c r="AH37" s="12" t="s">
        <v>175</v>
      </c>
    </row>
    <row r="38" spans="1:34" ht="43.5" x14ac:dyDescent="0.35">
      <c r="A38" s="11">
        <v>46181.338217592587</v>
      </c>
      <c r="B38" s="11">
        <v>46188.556851851848</v>
      </c>
      <c r="C38" s="12" t="s">
        <v>87</v>
      </c>
      <c r="D38" s="12" t="s">
        <v>103</v>
      </c>
      <c r="E38" s="12" t="s">
        <v>254</v>
      </c>
      <c r="F38" s="12"/>
      <c r="G38" s="12" t="s">
        <v>255</v>
      </c>
      <c r="H38" s="12" t="s">
        <v>81</v>
      </c>
      <c r="I38" s="12"/>
      <c r="J38" s="12"/>
      <c r="K38" s="12"/>
      <c r="L38" s="12"/>
      <c r="M38" s="12" t="s">
        <v>194</v>
      </c>
      <c r="N38" s="12" t="s">
        <v>194</v>
      </c>
      <c r="O38" s="12"/>
      <c r="P38" s="12" t="s">
        <v>263</v>
      </c>
      <c r="Q38" s="12"/>
      <c r="R38" s="12" t="s">
        <v>228</v>
      </c>
      <c r="S38" s="12" t="s">
        <v>228</v>
      </c>
      <c r="T38" s="12"/>
      <c r="U38" s="12" t="s">
        <v>197</v>
      </c>
      <c r="V38" s="12"/>
      <c r="W38" s="12" t="s">
        <v>100</v>
      </c>
      <c r="X38" s="12" t="s">
        <v>21</v>
      </c>
      <c r="Y38" s="12" t="s">
        <v>98</v>
      </c>
      <c r="Z38" s="12"/>
      <c r="AA38" s="12" t="s">
        <v>256</v>
      </c>
      <c r="AB38" s="12"/>
      <c r="AC38" s="12">
        <v>111</v>
      </c>
      <c r="AD38" s="12"/>
      <c r="AE38" s="12" t="s">
        <v>256</v>
      </c>
      <c r="AF38" s="12"/>
      <c r="AG38" s="11">
        <v>46185.597314814811</v>
      </c>
      <c r="AH38" s="12" t="s">
        <v>257</v>
      </c>
    </row>
    <row r="39" spans="1:34" ht="29" x14ac:dyDescent="0.35">
      <c r="A39" s="11">
        <v>46181.338217592587</v>
      </c>
      <c r="B39" s="11">
        <v>46188.556851851848</v>
      </c>
      <c r="C39" s="12" t="s">
        <v>87</v>
      </c>
      <c r="D39" s="12" t="s">
        <v>103</v>
      </c>
      <c r="E39" s="12" t="s">
        <v>176</v>
      </c>
      <c r="F39" s="12"/>
      <c r="G39" s="12" t="s">
        <v>177</v>
      </c>
      <c r="H39" s="12" t="s">
        <v>81</v>
      </c>
      <c r="I39" s="12"/>
      <c r="J39" s="12"/>
      <c r="K39" s="12"/>
      <c r="L39" s="12"/>
      <c r="M39" s="12" t="s">
        <v>96</v>
      </c>
      <c r="N39" s="12" t="s">
        <v>96</v>
      </c>
      <c r="O39" s="12"/>
      <c r="P39" s="12" t="s">
        <v>263</v>
      </c>
      <c r="Q39" s="12"/>
      <c r="R39" s="12" t="s">
        <v>97</v>
      </c>
      <c r="S39" s="12" t="s">
        <v>97</v>
      </c>
      <c r="T39" s="12"/>
      <c r="U39" s="12" t="s">
        <v>99</v>
      </c>
      <c r="V39" s="12"/>
      <c r="W39" s="12" t="s">
        <v>100</v>
      </c>
      <c r="X39" s="12" t="s">
        <v>21</v>
      </c>
      <c r="Y39" s="12" t="s">
        <v>98</v>
      </c>
      <c r="Z39" s="12"/>
      <c r="AA39" s="12" t="s">
        <v>178</v>
      </c>
      <c r="AB39" s="12"/>
      <c r="AC39" s="12">
        <v>29</v>
      </c>
      <c r="AD39" s="12"/>
      <c r="AE39" s="12" t="s">
        <v>178</v>
      </c>
      <c r="AF39" s="12"/>
      <c r="AG39" s="11">
        <v>46185.595775462964</v>
      </c>
      <c r="AH39" s="12" t="s">
        <v>179</v>
      </c>
    </row>
    <row r="40" spans="1:34" ht="29" x14ac:dyDescent="0.35">
      <c r="A40" s="11">
        <v>46181.338217592587</v>
      </c>
      <c r="B40" s="11">
        <v>46188.556851851848</v>
      </c>
      <c r="C40" s="12" t="s">
        <v>87</v>
      </c>
      <c r="D40" s="12" t="s">
        <v>103</v>
      </c>
      <c r="E40" s="12" t="s">
        <v>180</v>
      </c>
      <c r="F40" s="12"/>
      <c r="G40" s="12" t="s">
        <v>181</v>
      </c>
      <c r="H40" s="12" t="s">
        <v>81</v>
      </c>
      <c r="I40" s="12"/>
      <c r="J40" s="12"/>
      <c r="K40" s="12"/>
      <c r="L40" s="12"/>
      <c r="M40" s="12" t="s">
        <v>96</v>
      </c>
      <c r="N40" s="12" t="s">
        <v>96</v>
      </c>
      <c r="O40" s="12"/>
      <c r="P40" s="12" t="s">
        <v>263</v>
      </c>
      <c r="Q40" s="12"/>
      <c r="R40" s="12" t="s">
        <v>97</v>
      </c>
      <c r="S40" s="12" t="s">
        <v>97</v>
      </c>
      <c r="T40" s="12"/>
      <c r="U40" s="12" t="s">
        <v>99</v>
      </c>
      <c r="V40" s="12"/>
      <c r="W40" s="12" t="s">
        <v>100</v>
      </c>
      <c r="X40" s="12" t="s">
        <v>21</v>
      </c>
      <c r="Y40" s="12" t="s">
        <v>98</v>
      </c>
      <c r="Z40" s="12"/>
      <c r="AA40" s="12" t="s">
        <v>182</v>
      </c>
      <c r="AB40" s="12"/>
      <c r="AC40" s="12">
        <v>29</v>
      </c>
      <c r="AD40" s="12"/>
      <c r="AE40" s="12" t="s">
        <v>182</v>
      </c>
      <c r="AF40" s="12"/>
      <c r="AG40" s="11">
        <v>46188.42732638889</v>
      </c>
      <c r="AH40" s="12" t="s">
        <v>183</v>
      </c>
    </row>
    <row r="41" spans="1:34" ht="29" x14ac:dyDescent="0.35">
      <c r="A41" s="11">
        <v>46181.338217592587</v>
      </c>
      <c r="B41" s="11">
        <v>46188.556851851848</v>
      </c>
      <c r="C41" s="12" t="s">
        <v>87</v>
      </c>
      <c r="D41" s="12" t="s">
        <v>103</v>
      </c>
      <c r="E41" s="12" t="s">
        <v>392</v>
      </c>
      <c r="F41" s="12"/>
      <c r="G41" s="12" t="s">
        <v>393</v>
      </c>
      <c r="H41" s="12" t="s">
        <v>81</v>
      </c>
      <c r="I41" s="12"/>
      <c r="J41" s="12" t="s">
        <v>347</v>
      </c>
      <c r="K41" s="12" t="s">
        <v>347</v>
      </c>
      <c r="L41" s="12"/>
      <c r="M41" s="12" t="s">
        <v>194</v>
      </c>
      <c r="N41" s="12" t="s">
        <v>194</v>
      </c>
      <c r="O41" s="12"/>
      <c r="P41" s="12" t="s">
        <v>263</v>
      </c>
      <c r="Q41" s="12"/>
      <c r="R41" s="12" t="s">
        <v>228</v>
      </c>
      <c r="S41" s="12" t="s">
        <v>228</v>
      </c>
      <c r="T41" s="12"/>
      <c r="U41" s="12" t="s">
        <v>99</v>
      </c>
      <c r="V41" s="12"/>
      <c r="W41" s="12" t="s">
        <v>100</v>
      </c>
      <c r="X41" s="12" t="s">
        <v>21</v>
      </c>
      <c r="Y41" s="12" t="s">
        <v>98</v>
      </c>
      <c r="Z41" s="12"/>
      <c r="AA41" s="12" t="s">
        <v>394</v>
      </c>
      <c r="AB41" s="12"/>
      <c r="AC41" s="12">
        <v>89</v>
      </c>
      <c r="AD41" s="12"/>
      <c r="AE41" s="12" t="s">
        <v>394</v>
      </c>
      <c r="AF41" s="12"/>
      <c r="AG41" s="11">
        <v>46188.429606481477</v>
      </c>
      <c r="AH41" s="12" t="s">
        <v>395</v>
      </c>
    </row>
    <row r="42" spans="1:34" ht="29" x14ac:dyDescent="0.35">
      <c r="A42" s="11">
        <v>46181.338217592587</v>
      </c>
      <c r="B42" s="11">
        <v>46188.556851851848</v>
      </c>
      <c r="C42" s="12" t="s">
        <v>87</v>
      </c>
      <c r="D42" s="12" t="s">
        <v>103</v>
      </c>
      <c r="E42" s="12" t="s">
        <v>184</v>
      </c>
      <c r="F42" s="12"/>
      <c r="G42" s="12" t="s">
        <v>185</v>
      </c>
      <c r="H42" s="12" t="s">
        <v>81</v>
      </c>
      <c r="I42" s="12"/>
      <c r="J42" s="12"/>
      <c r="K42" s="12"/>
      <c r="L42" s="12"/>
      <c r="M42" s="12" t="s">
        <v>96</v>
      </c>
      <c r="N42" s="12" t="s">
        <v>96</v>
      </c>
      <c r="O42" s="12"/>
      <c r="P42" s="12" t="s">
        <v>263</v>
      </c>
      <c r="Q42" s="12"/>
      <c r="R42" s="12" t="s">
        <v>97</v>
      </c>
      <c r="S42" s="12" t="s">
        <v>97</v>
      </c>
      <c r="T42" s="12"/>
      <c r="U42" s="12" t="s">
        <v>99</v>
      </c>
      <c r="V42" s="12"/>
      <c r="W42" s="12" t="s">
        <v>100</v>
      </c>
      <c r="X42" s="12" t="s">
        <v>21</v>
      </c>
      <c r="Y42" s="12" t="s">
        <v>98</v>
      </c>
      <c r="Z42" s="12"/>
      <c r="AA42" s="12" t="s">
        <v>186</v>
      </c>
      <c r="AB42" s="12"/>
      <c r="AC42" s="12">
        <v>29</v>
      </c>
      <c r="AD42" s="12"/>
      <c r="AE42" s="12" t="s">
        <v>186</v>
      </c>
      <c r="AF42" s="12"/>
      <c r="AG42" s="11">
        <v>46188.43236111111</v>
      </c>
      <c r="AH42" s="12" t="s">
        <v>187</v>
      </c>
    </row>
    <row r="43" spans="1:34" ht="29" x14ac:dyDescent="0.35">
      <c r="A43" s="11">
        <v>46181.338217592587</v>
      </c>
      <c r="B43" s="11">
        <v>46188.556851851848</v>
      </c>
      <c r="C43" s="12" t="s">
        <v>87</v>
      </c>
      <c r="D43" s="12" t="s">
        <v>103</v>
      </c>
      <c r="E43" s="12" t="s">
        <v>188</v>
      </c>
      <c r="F43" s="12"/>
      <c r="G43" s="12" t="s">
        <v>189</v>
      </c>
      <c r="H43" s="12" t="s">
        <v>81</v>
      </c>
      <c r="I43" s="12"/>
      <c r="J43" s="12"/>
      <c r="K43" s="12"/>
      <c r="L43" s="12"/>
      <c r="M43" s="12" t="s">
        <v>96</v>
      </c>
      <c r="N43" s="12" t="s">
        <v>96</v>
      </c>
      <c r="O43" s="12"/>
      <c r="P43" s="12" t="s">
        <v>263</v>
      </c>
      <c r="Q43" s="12"/>
      <c r="R43" s="12" t="s">
        <v>97</v>
      </c>
      <c r="S43" s="12" t="s">
        <v>97</v>
      </c>
      <c r="T43" s="12"/>
      <c r="U43" s="12" t="s">
        <v>110</v>
      </c>
      <c r="V43" s="12"/>
      <c r="W43" s="12" t="s">
        <v>100</v>
      </c>
      <c r="X43" s="12" t="s">
        <v>21</v>
      </c>
      <c r="Y43" s="12" t="s">
        <v>98</v>
      </c>
      <c r="Z43" s="12"/>
      <c r="AA43" s="12" t="s">
        <v>190</v>
      </c>
      <c r="AB43" s="12"/>
      <c r="AC43" s="12">
        <v>29</v>
      </c>
      <c r="AD43" s="12"/>
      <c r="AE43" s="12" t="s">
        <v>190</v>
      </c>
      <c r="AF43" s="12"/>
      <c r="AG43" s="11">
        <v>46188.53402777778</v>
      </c>
      <c r="AH43" s="12" t="s">
        <v>191</v>
      </c>
    </row>
    <row r="44" spans="1:34" ht="29" x14ac:dyDescent="0.35">
      <c r="A44" s="11">
        <v>46181.338217592587</v>
      </c>
      <c r="B44" s="11">
        <v>46188.556851851848</v>
      </c>
      <c r="C44" s="12" t="s">
        <v>87</v>
      </c>
      <c r="D44" s="12" t="s">
        <v>103</v>
      </c>
      <c r="E44" s="12" t="s">
        <v>396</v>
      </c>
      <c r="F44" s="12"/>
      <c r="G44" s="12" t="s">
        <v>397</v>
      </c>
      <c r="H44" s="12" t="s">
        <v>81</v>
      </c>
      <c r="I44" s="12"/>
      <c r="J44" s="12" t="s">
        <v>347</v>
      </c>
      <c r="K44" s="12" t="s">
        <v>347</v>
      </c>
      <c r="L44" s="12"/>
      <c r="M44" s="12" t="s">
        <v>194</v>
      </c>
      <c r="N44" s="12" t="s">
        <v>194</v>
      </c>
      <c r="O44" s="12"/>
      <c r="P44" s="12" t="s">
        <v>263</v>
      </c>
      <c r="Q44" s="12"/>
      <c r="R44" s="12" t="s">
        <v>228</v>
      </c>
      <c r="S44" s="12" t="s">
        <v>228</v>
      </c>
      <c r="T44" s="12"/>
      <c r="U44" s="12" t="s">
        <v>197</v>
      </c>
      <c r="V44" s="12"/>
      <c r="W44" s="12" t="s">
        <v>100</v>
      </c>
      <c r="X44" s="12" t="s">
        <v>21</v>
      </c>
      <c r="Y44" s="12" t="s">
        <v>98</v>
      </c>
      <c r="Z44" s="12"/>
      <c r="AA44" s="12" t="s">
        <v>398</v>
      </c>
      <c r="AB44" s="12"/>
      <c r="AC44" s="12">
        <v>71</v>
      </c>
      <c r="AD44" s="12"/>
      <c r="AE44" s="12" t="s">
        <v>398</v>
      </c>
      <c r="AF44" s="12"/>
      <c r="AG44" s="11">
        <v>46188.53402777778</v>
      </c>
      <c r="AH44" s="12" t="s">
        <v>399</v>
      </c>
    </row>
    <row r="45" spans="1:34" ht="29" x14ac:dyDescent="0.35">
      <c r="A45" s="11">
        <v>46181.338217592587</v>
      </c>
      <c r="B45" s="11">
        <v>46188.556851851848</v>
      </c>
      <c r="C45" s="12" t="s">
        <v>87</v>
      </c>
      <c r="D45" s="12" t="s">
        <v>103</v>
      </c>
      <c r="E45" s="12" t="s">
        <v>326</v>
      </c>
      <c r="F45" s="12" t="s">
        <v>327</v>
      </c>
      <c r="G45" s="12"/>
      <c r="H45" s="12" t="s">
        <v>81</v>
      </c>
      <c r="I45" s="12" t="s">
        <v>328</v>
      </c>
      <c r="J45" s="12"/>
      <c r="K45" s="12" t="s">
        <v>328</v>
      </c>
      <c r="L45" s="12" t="s">
        <v>329</v>
      </c>
      <c r="M45" s="12"/>
      <c r="N45" s="12" t="s">
        <v>329</v>
      </c>
      <c r="O45" s="12" t="s">
        <v>402</v>
      </c>
      <c r="P45" s="12"/>
      <c r="Q45" s="12" t="s">
        <v>79</v>
      </c>
      <c r="R45" s="12"/>
      <c r="S45" s="12" t="s">
        <v>79</v>
      </c>
      <c r="T45" s="12" t="s">
        <v>99</v>
      </c>
      <c r="U45" s="12"/>
      <c r="V45" s="12" t="s">
        <v>324</v>
      </c>
      <c r="W45" s="12"/>
      <c r="X45" s="12" t="s">
        <v>21</v>
      </c>
      <c r="Y45" s="12" t="s">
        <v>196</v>
      </c>
      <c r="Z45" s="12" t="s">
        <v>330</v>
      </c>
      <c r="AA45" s="12"/>
      <c r="AB45" s="12">
        <v>63</v>
      </c>
      <c r="AC45" s="12"/>
      <c r="AD45" s="12" t="s">
        <v>330</v>
      </c>
      <c r="AE45" s="12"/>
      <c r="AF45" s="11">
        <v>46178.417453703703</v>
      </c>
      <c r="AG45" s="12"/>
      <c r="AH45" s="12" t="s">
        <v>331</v>
      </c>
    </row>
    <row r="46" spans="1:34" ht="29" x14ac:dyDescent="0.35">
      <c r="A46" s="11">
        <v>46181.338217592587</v>
      </c>
      <c r="B46" s="11">
        <v>46188.556851851848</v>
      </c>
      <c r="C46" s="12" t="s">
        <v>87</v>
      </c>
      <c r="D46" s="12" t="s">
        <v>103</v>
      </c>
      <c r="E46" s="12" t="s">
        <v>351</v>
      </c>
      <c r="F46" s="12" t="s">
        <v>352</v>
      </c>
      <c r="G46" s="12"/>
      <c r="H46" s="12" t="s">
        <v>81</v>
      </c>
      <c r="I46" s="12" t="s">
        <v>347</v>
      </c>
      <c r="J46" s="12"/>
      <c r="K46" s="12" t="s">
        <v>347</v>
      </c>
      <c r="L46" s="12" t="s">
        <v>310</v>
      </c>
      <c r="M46" s="12"/>
      <c r="N46" s="12" t="s">
        <v>310</v>
      </c>
      <c r="O46" s="12" t="s">
        <v>402</v>
      </c>
      <c r="P46" s="12"/>
      <c r="Q46" s="12" t="s">
        <v>305</v>
      </c>
      <c r="R46" s="12"/>
      <c r="S46" s="12" t="s">
        <v>305</v>
      </c>
      <c r="T46" s="12" t="s">
        <v>99</v>
      </c>
      <c r="U46" s="12"/>
      <c r="V46" s="12" t="s">
        <v>100</v>
      </c>
      <c r="W46" s="12"/>
      <c r="X46" s="12" t="s">
        <v>21</v>
      </c>
      <c r="Y46" s="12" t="s">
        <v>196</v>
      </c>
      <c r="Z46" s="12" t="s">
        <v>353</v>
      </c>
      <c r="AA46" s="12"/>
      <c r="AB46" s="12">
        <v>57</v>
      </c>
      <c r="AC46" s="12"/>
      <c r="AD46" s="12" t="s">
        <v>353</v>
      </c>
      <c r="AE46" s="12"/>
      <c r="AF46" s="11">
        <v>46175.307106481479</v>
      </c>
      <c r="AG46" s="12"/>
      <c r="AH46" s="12" t="s">
        <v>354</v>
      </c>
    </row>
    <row r="47" spans="1:34" ht="29" x14ac:dyDescent="0.35">
      <c r="A47" s="11">
        <v>46181.338217592587</v>
      </c>
      <c r="B47" s="11">
        <v>46188.556851851848</v>
      </c>
      <c r="C47" s="12" t="s">
        <v>87</v>
      </c>
      <c r="D47" s="12" t="s">
        <v>103</v>
      </c>
      <c r="E47" s="12" t="s">
        <v>192</v>
      </c>
      <c r="F47" s="12" t="s">
        <v>193</v>
      </c>
      <c r="G47" s="12"/>
      <c r="H47" s="12" t="s">
        <v>81</v>
      </c>
      <c r="I47" s="12"/>
      <c r="J47" s="12"/>
      <c r="K47" s="12"/>
      <c r="L47" s="12" t="s">
        <v>194</v>
      </c>
      <c r="M47" s="12"/>
      <c r="N47" s="12" t="s">
        <v>194</v>
      </c>
      <c r="O47" s="12" t="s">
        <v>263</v>
      </c>
      <c r="P47" s="12"/>
      <c r="Q47" s="12" t="s">
        <v>195</v>
      </c>
      <c r="R47" s="12"/>
      <c r="S47" s="12" t="s">
        <v>195</v>
      </c>
      <c r="T47" s="12" t="s">
        <v>197</v>
      </c>
      <c r="U47" s="12"/>
      <c r="V47" s="12" t="s">
        <v>100</v>
      </c>
      <c r="W47" s="12"/>
      <c r="X47" s="12" t="s">
        <v>21</v>
      </c>
      <c r="Y47" s="12" t="s">
        <v>196</v>
      </c>
      <c r="Z47" s="12" t="s">
        <v>198</v>
      </c>
      <c r="AA47" s="12"/>
      <c r="AB47" s="12">
        <v>6</v>
      </c>
      <c r="AC47" s="12"/>
      <c r="AD47" s="12" t="s">
        <v>198</v>
      </c>
      <c r="AE47" s="12"/>
      <c r="AF47" s="11">
        <v>46135.542187500003</v>
      </c>
      <c r="AG47" s="12"/>
      <c r="AH47" s="12" t="s">
        <v>199</v>
      </c>
    </row>
    <row r="48" spans="1:34" ht="29" x14ac:dyDescent="0.35">
      <c r="A48" s="11">
        <v>46181.338217592587</v>
      </c>
      <c r="B48" s="11">
        <v>46188.556851851848</v>
      </c>
      <c r="C48" s="12" t="s">
        <v>87</v>
      </c>
      <c r="D48" s="12" t="s">
        <v>103</v>
      </c>
      <c r="E48" s="12" t="s">
        <v>355</v>
      </c>
      <c r="F48" s="12" t="s">
        <v>356</v>
      </c>
      <c r="G48" s="12"/>
      <c r="H48" s="12" t="s">
        <v>81</v>
      </c>
      <c r="I48" s="12" t="s">
        <v>347</v>
      </c>
      <c r="J48" s="12"/>
      <c r="K48" s="12" t="s">
        <v>347</v>
      </c>
      <c r="L48" s="12" t="s">
        <v>310</v>
      </c>
      <c r="M48" s="12"/>
      <c r="N48" s="12" t="s">
        <v>310</v>
      </c>
      <c r="O48" s="12" t="s">
        <v>402</v>
      </c>
      <c r="P48" s="12"/>
      <c r="Q48" s="12" t="s">
        <v>305</v>
      </c>
      <c r="R48" s="12"/>
      <c r="S48" s="12" t="s">
        <v>305</v>
      </c>
      <c r="T48" s="12" t="s">
        <v>99</v>
      </c>
      <c r="U48" s="12"/>
      <c r="V48" s="12" t="s">
        <v>100</v>
      </c>
      <c r="W48" s="12"/>
      <c r="X48" s="12" t="s">
        <v>21</v>
      </c>
      <c r="Y48" s="12" t="s">
        <v>196</v>
      </c>
      <c r="Z48" s="12" t="s">
        <v>357</v>
      </c>
      <c r="AA48" s="12"/>
      <c r="AB48" s="12">
        <v>54</v>
      </c>
      <c r="AC48" s="12"/>
      <c r="AD48" s="12" t="s">
        <v>357</v>
      </c>
      <c r="AE48" s="12"/>
      <c r="AF48" s="11">
        <v>46175.309444444443</v>
      </c>
      <c r="AG48" s="12"/>
      <c r="AH48" s="12" t="s">
        <v>358</v>
      </c>
    </row>
    <row r="49" spans="1:34" ht="29" x14ac:dyDescent="0.35">
      <c r="A49" s="11">
        <v>46181.338217592587</v>
      </c>
      <c r="B49" s="11">
        <v>46188.556851851848</v>
      </c>
      <c r="C49" s="12" t="s">
        <v>87</v>
      </c>
      <c r="D49" s="12" t="s">
        <v>103</v>
      </c>
      <c r="E49" s="12" t="s">
        <v>359</v>
      </c>
      <c r="F49" s="12" t="s">
        <v>360</v>
      </c>
      <c r="G49" s="12"/>
      <c r="H49" s="12" t="s">
        <v>81</v>
      </c>
      <c r="I49" s="12" t="s">
        <v>347</v>
      </c>
      <c r="J49" s="12"/>
      <c r="K49" s="12" t="s">
        <v>347</v>
      </c>
      <c r="L49" s="12" t="s">
        <v>310</v>
      </c>
      <c r="M49" s="12"/>
      <c r="N49" s="12" t="s">
        <v>310</v>
      </c>
      <c r="O49" s="12" t="s">
        <v>402</v>
      </c>
      <c r="P49" s="12"/>
      <c r="Q49" s="12" t="s">
        <v>305</v>
      </c>
      <c r="R49" s="12"/>
      <c r="S49" s="12" t="s">
        <v>305</v>
      </c>
      <c r="T49" s="12" t="s">
        <v>99</v>
      </c>
      <c r="U49" s="12"/>
      <c r="V49" s="12" t="s">
        <v>100</v>
      </c>
      <c r="W49" s="12"/>
      <c r="X49" s="12" t="s">
        <v>21</v>
      </c>
      <c r="Y49" s="12" t="s">
        <v>196</v>
      </c>
      <c r="Z49" s="12" t="s">
        <v>361</v>
      </c>
      <c r="AA49" s="12"/>
      <c r="AB49" s="12">
        <v>73</v>
      </c>
      <c r="AC49" s="12"/>
      <c r="AD49" s="12" t="s">
        <v>361</v>
      </c>
      <c r="AE49" s="12"/>
      <c r="AF49" s="11">
        <v>46154.349733796298</v>
      </c>
      <c r="AG49" s="12"/>
      <c r="AH49" s="12" t="s">
        <v>362</v>
      </c>
    </row>
    <row r="50" spans="1:34" ht="29" x14ac:dyDescent="0.35">
      <c r="A50" s="11">
        <v>46181.338217592587</v>
      </c>
      <c r="B50" s="11">
        <v>46188.556851851848</v>
      </c>
      <c r="C50" s="12" t="s">
        <v>87</v>
      </c>
      <c r="D50" s="12" t="s">
        <v>103</v>
      </c>
      <c r="E50" s="12" t="s">
        <v>200</v>
      </c>
      <c r="F50" s="12" t="s">
        <v>201</v>
      </c>
      <c r="G50" s="12"/>
      <c r="H50" s="12" t="s">
        <v>81</v>
      </c>
      <c r="I50" s="12"/>
      <c r="J50" s="12"/>
      <c r="K50" s="12"/>
      <c r="L50" s="12" t="s">
        <v>194</v>
      </c>
      <c r="M50" s="12"/>
      <c r="N50" s="12" t="s">
        <v>194</v>
      </c>
      <c r="O50" s="12" t="s">
        <v>263</v>
      </c>
      <c r="P50" s="12"/>
      <c r="Q50" s="12" t="s">
        <v>195</v>
      </c>
      <c r="R50" s="12"/>
      <c r="S50" s="12" t="s">
        <v>195</v>
      </c>
      <c r="T50" s="12" t="s">
        <v>197</v>
      </c>
      <c r="U50" s="12"/>
      <c r="V50" s="12" t="s">
        <v>100</v>
      </c>
      <c r="W50" s="12"/>
      <c r="X50" s="12" t="s">
        <v>21</v>
      </c>
      <c r="Y50" s="12" t="s">
        <v>196</v>
      </c>
      <c r="Z50" s="12" t="s">
        <v>202</v>
      </c>
      <c r="AA50" s="12"/>
      <c r="AB50" s="12">
        <v>33</v>
      </c>
      <c r="AC50" s="12"/>
      <c r="AD50" s="12" t="s">
        <v>202</v>
      </c>
      <c r="AE50" s="12"/>
      <c r="AF50" s="11">
        <v>46154.580949074072</v>
      </c>
      <c r="AG50" s="12"/>
      <c r="AH50" s="12" t="s">
        <v>203</v>
      </c>
    </row>
    <row r="51" spans="1:34" ht="29" x14ac:dyDescent="0.35">
      <c r="A51" s="11">
        <v>46181.338217592587</v>
      </c>
      <c r="B51" s="11">
        <v>46188.556851851848</v>
      </c>
      <c r="C51" s="12" t="s">
        <v>87</v>
      </c>
      <c r="D51" s="12" t="s">
        <v>103</v>
      </c>
      <c r="E51" s="12" t="s">
        <v>412</v>
      </c>
      <c r="F51" s="12" t="s">
        <v>413</v>
      </c>
      <c r="G51" s="12" t="s">
        <v>413</v>
      </c>
      <c r="H51" s="12" t="s">
        <v>81</v>
      </c>
      <c r="I51" s="12" t="s">
        <v>328</v>
      </c>
      <c r="J51" s="12" t="s">
        <v>77</v>
      </c>
      <c r="K51" s="12" t="s">
        <v>77</v>
      </c>
      <c r="L51" s="12" t="s">
        <v>96</v>
      </c>
      <c r="M51" s="12" t="s">
        <v>96</v>
      </c>
      <c r="N51" s="12" t="s">
        <v>96</v>
      </c>
      <c r="O51" s="12" t="s">
        <v>263</v>
      </c>
      <c r="P51" s="12" t="s">
        <v>263</v>
      </c>
      <c r="Q51" s="12" t="s">
        <v>305</v>
      </c>
      <c r="R51" s="12" t="s">
        <v>305</v>
      </c>
      <c r="S51" s="12" t="s">
        <v>305</v>
      </c>
      <c r="T51" s="12" t="s">
        <v>307</v>
      </c>
      <c r="U51" s="12" t="s">
        <v>307</v>
      </c>
      <c r="V51" s="12" t="s">
        <v>324</v>
      </c>
      <c r="W51" s="12" t="s">
        <v>324</v>
      </c>
      <c r="X51" s="12" t="s">
        <v>22</v>
      </c>
      <c r="Y51" s="12" t="s">
        <v>306</v>
      </c>
      <c r="Z51" s="12" t="s">
        <v>328</v>
      </c>
      <c r="AA51" s="12" t="s">
        <v>77</v>
      </c>
      <c r="AB51" s="12">
        <v>14</v>
      </c>
      <c r="AC51" s="12">
        <v>14</v>
      </c>
      <c r="AD51" s="12" t="s">
        <v>328</v>
      </c>
      <c r="AE51" s="12" t="s">
        <v>77</v>
      </c>
      <c r="AF51" s="11">
        <v>46113.509629629632</v>
      </c>
      <c r="AG51" s="11">
        <v>46182.372557870367</v>
      </c>
      <c r="AH51" s="12" t="s">
        <v>414</v>
      </c>
    </row>
    <row r="52" spans="1:34" ht="29" x14ac:dyDescent="0.35">
      <c r="A52" s="11">
        <v>46181.338217592587</v>
      </c>
      <c r="B52" s="11">
        <v>46188.556851851848</v>
      </c>
      <c r="C52" s="12" t="s">
        <v>87</v>
      </c>
      <c r="D52" s="12" t="s">
        <v>103</v>
      </c>
      <c r="E52" s="12" t="s">
        <v>445</v>
      </c>
      <c r="F52" s="12" t="s">
        <v>446</v>
      </c>
      <c r="G52" s="12" t="s">
        <v>446</v>
      </c>
      <c r="H52" s="12" t="s">
        <v>81</v>
      </c>
      <c r="I52" s="12" t="s">
        <v>328</v>
      </c>
      <c r="J52" s="12" t="s">
        <v>77</v>
      </c>
      <c r="K52" s="12" t="s">
        <v>77</v>
      </c>
      <c r="L52" s="12" t="s">
        <v>447</v>
      </c>
      <c r="M52" s="12" t="s">
        <v>447</v>
      </c>
      <c r="N52" s="12" t="s">
        <v>447</v>
      </c>
      <c r="O52" s="12" t="s">
        <v>263</v>
      </c>
      <c r="P52" s="12" t="s">
        <v>263</v>
      </c>
      <c r="Q52" s="12" t="s">
        <v>314</v>
      </c>
      <c r="R52" s="12" t="s">
        <v>314</v>
      </c>
      <c r="S52" s="12" t="s">
        <v>314</v>
      </c>
      <c r="T52" s="12" t="s">
        <v>82</v>
      </c>
      <c r="U52" s="12" t="s">
        <v>82</v>
      </c>
      <c r="V52" s="12" t="s">
        <v>83</v>
      </c>
      <c r="W52" s="12" t="s">
        <v>83</v>
      </c>
      <c r="X52" s="12" t="s">
        <v>22</v>
      </c>
      <c r="Y52" s="12" t="s">
        <v>306</v>
      </c>
      <c r="Z52" s="12" t="s">
        <v>328</v>
      </c>
      <c r="AA52" s="12" t="s">
        <v>77</v>
      </c>
      <c r="AB52" s="12">
        <v>14</v>
      </c>
      <c r="AC52" s="12">
        <v>14</v>
      </c>
      <c r="AD52" s="12" t="s">
        <v>328</v>
      </c>
      <c r="AE52" s="12" t="s">
        <v>77</v>
      </c>
      <c r="AF52" s="11">
        <v>46113.507592592592</v>
      </c>
      <c r="AG52" s="11">
        <v>46182.372233796297</v>
      </c>
      <c r="AH52" s="12" t="s">
        <v>448</v>
      </c>
    </row>
    <row r="53" spans="1:34" ht="29" x14ac:dyDescent="0.35">
      <c r="A53" s="11">
        <v>46181.338217592587</v>
      </c>
      <c r="B53" s="11">
        <v>46188.556851851848</v>
      </c>
      <c r="C53" s="12" t="s">
        <v>87</v>
      </c>
      <c r="D53" s="12" t="s">
        <v>103</v>
      </c>
      <c r="E53" s="12" t="s">
        <v>345</v>
      </c>
      <c r="F53" s="12" t="s">
        <v>346</v>
      </c>
      <c r="G53" s="12" t="s">
        <v>346</v>
      </c>
      <c r="H53" s="12" t="s">
        <v>81</v>
      </c>
      <c r="I53" s="12" t="s">
        <v>328</v>
      </c>
      <c r="J53" s="12" t="s">
        <v>347</v>
      </c>
      <c r="K53" s="12" t="s">
        <v>347</v>
      </c>
      <c r="L53" s="12" t="s">
        <v>348</v>
      </c>
      <c r="M53" s="12" t="s">
        <v>348</v>
      </c>
      <c r="N53" s="12" t="s">
        <v>348</v>
      </c>
      <c r="O53" s="12" t="s">
        <v>402</v>
      </c>
      <c r="P53" s="12" t="s">
        <v>402</v>
      </c>
      <c r="Q53" s="12" t="s">
        <v>79</v>
      </c>
      <c r="R53" s="12" t="s">
        <v>79</v>
      </c>
      <c r="S53" s="12" t="s">
        <v>79</v>
      </c>
      <c r="T53" s="12" t="s">
        <v>349</v>
      </c>
      <c r="U53" s="12" t="s">
        <v>349</v>
      </c>
      <c r="V53" s="12" t="s">
        <v>324</v>
      </c>
      <c r="W53" s="12" t="s">
        <v>324</v>
      </c>
      <c r="X53" s="12" t="s">
        <v>22</v>
      </c>
      <c r="Y53" s="12" t="s">
        <v>306</v>
      </c>
      <c r="Z53" s="12" t="s">
        <v>328</v>
      </c>
      <c r="AA53" s="12" t="s">
        <v>347</v>
      </c>
      <c r="AB53" s="12">
        <v>14</v>
      </c>
      <c r="AC53" s="12">
        <v>14</v>
      </c>
      <c r="AD53" s="12" t="s">
        <v>328</v>
      </c>
      <c r="AE53" s="12" t="s">
        <v>347</v>
      </c>
      <c r="AF53" s="11">
        <v>46162.321539351848</v>
      </c>
      <c r="AG53" s="11">
        <v>46182.37090277778</v>
      </c>
      <c r="AH53" s="12" t="s">
        <v>350</v>
      </c>
    </row>
    <row r="54" spans="1:34" ht="29" x14ac:dyDescent="0.35">
      <c r="A54" s="11">
        <v>46181.338217592587</v>
      </c>
      <c r="B54" s="11">
        <v>46188.556851851848</v>
      </c>
      <c r="C54" s="12" t="s">
        <v>87</v>
      </c>
      <c r="D54" s="12" t="s">
        <v>103</v>
      </c>
      <c r="E54" s="12" t="s">
        <v>301</v>
      </c>
      <c r="F54" s="12" t="s">
        <v>302</v>
      </c>
      <c r="G54" s="12" t="s">
        <v>302</v>
      </c>
      <c r="H54" s="12" t="s">
        <v>81</v>
      </c>
      <c r="I54" s="12" t="s">
        <v>308</v>
      </c>
      <c r="J54" s="12" t="s">
        <v>303</v>
      </c>
      <c r="K54" s="12" t="s">
        <v>303</v>
      </c>
      <c r="L54" s="12" t="s">
        <v>310</v>
      </c>
      <c r="M54" s="12" t="s">
        <v>304</v>
      </c>
      <c r="N54" s="12" t="s">
        <v>304</v>
      </c>
      <c r="O54" s="12" t="s">
        <v>402</v>
      </c>
      <c r="P54" s="12" t="s">
        <v>402</v>
      </c>
      <c r="Q54" s="12" t="s">
        <v>305</v>
      </c>
      <c r="R54" s="12" t="s">
        <v>305</v>
      </c>
      <c r="S54" s="12" t="s">
        <v>305</v>
      </c>
      <c r="T54" s="12" t="s">
        <v>307</v>
      </c>
      <c r="U54" s="12" t="s">
        <v>307</v>
      </c>
      <c r="V54" s="12" t="s">
        <v>100</v>
      </c>
      <c r="W54" s="12" t="s">
        <v>100</v>
      </c>
      <c r="X54" s="12" t="s">
        <v>24</v>
      </c>
      <c r="Y54" s="12" t="s">
        <v>92</v>
      </c>
      <c r="Z54" s="12" t="s">
        <v>310</v>
      </c>
      <c r="AA54" s="12" t="s">
        <v>304</v>
      </c>
      <c r="AB54" s="12">
        <v>8</v>
      </c>
      <c r="AC54" s="12">
        <v>7</v>
      </c>
      <c r="AD54" s="12" t="s">
        <v>310</v>
      </c>
      <c r="AE54" s="12" t="s">
        <v>304</v>
      </c>
      <c r="AF54" s="11">
        <v>46126.623460648138</v>
      </c>
      <c r="AG54" s="11">
        <v>46182.384837962964</v>
      </c>
      <c r="AH54" s="12" t="s">
        <v>309</v>
      </c>
    </row>
    <row r="55" spans="1:34" ht="29" x14ac:dyDescent="0.35">
      <c r="A55" s="11">
        <v>46181.338217592587</v>
      </c>
      <c r="B55" s="11">
        <v>46188.556851851848</v>
      </c>
      <c r="C55" s="12" t="s">
        <v>87</v>
      </c>
      <c r="D55" s="12" t="s">
        <v>103</v>
      </c>
      <c r="E55" s="12" t="s">
        <v>301</v>
      </c>
      <c r="F55" s="12" t="s">
        <v>302</v>
      </c>
      <c r="G55" s="12" t="s">
        <v>302</v>
      </c>
      <c r="H55" s="12" t="s">
        <v>81</v>
      </c>
      <c r="I55" s="12" t="s">
        <v>308</v>
      </c>
      <c r="J55" s="12" t="s">
        <v>303</v>
      </c>
      <c r="K55" s="12" t="s">
        <v>303</v>
      </c>
      <c r="L55" s="12" t="s">
        <v>310</v>
      </c>
      <c r="M55" s="12" t="s">
        <v>304</v>
      </c>
      <c r="N55" s="12" t="s">
        <v>304</v>
      </c>
      <c r="O55" s="12" t="s">
        <v>402</v>
      </c>
      <c r="P55" s="12" t="s">
        <v>402</v>
      </c>
      <c r="Q55" s="12" t="s">
        <v>305</v>
      </c>
      <c r="R55" s="12" t="s">
        <v>305</v>
      </c>
      <c r="S55" s="12" t="s">
        <v>305</v>
      </c>
      <c r="T55" s="12" t="s">
        <v>307</v>
      </c>
      <c r="U55" s="12" t="s">
        <v>307</v>
      </c>
      <c r="V55" s="12" t="s">
        <v>100</v>
      </c>
      <c r="W55" s="12" t="s">
        <v>100</v>
      </c>
      <c r="X55" s="12" t="s">
        <v>22</v>
      </c>
      <c r="Y55" s="12" t="s">
        <v>306</v>
      </c>
      <c r="Z55" s="12" t="s">
        <v>308</v>
      </c>
      <c r="AA55" s="12" t="s">
        <v>303</v>
      </c>
      <c r="AB55" s="12">
        <v>46</v>
      </c>
      <c r="AC55" s="12">
        <v>46</v>
      </c>
      <c r="AD55" s="12" t="s">
        <v>308</v>
      </c>
      <c r="AE55" s="12" t="s">
        <v>303</v>
      </c>
      <c r="AF55" s="11">
        <v>46126.623460648138</v>
      </c>
      <c r="AG55" s="11">
        <v>46182.384837962964</v>
      </c>
      <c r="AH55" s="12" t="s">
        <v>309</v>
      </c>
    </row>
    <row r="56" spans="1:34" ht="29" x14ac:dyDescent="0.35">
      <c r="A56" s="11">
        <v>46181.338217592587</v>
      </c>
      <c r="B56" s="11">
        <v>46188.556851851848</v>
      </c>
      <c r="C56" s="12" t="s">
        <v>87</v>
      </c>
      <c r="D56" s="12" t="s">
        <v>103</v>
      </c>
      <c r="E56" s="12" t="s">
        <v>311</v>
      </c>
      <c r="F56" s="12" t="s">
        <v>312</v>
      </c>
      <c r="G56" s="12" t="s">
        <v>312</v>
      </c>
      <c r="H56" s="12" t="s">
        <v>81</v>
      </c>
      <c r="I56" s="12" t="s">
        <v>316</v>
      </c>
      <c r="J56" s="12" t="s">
        <v>313</v>
      </c>
      <c r="K56" s="12" t="s">
        <v>313</v>
      </c>
      <c r="L56" s="12" t="s">
        <v>93</v>
      </c>
      <c r="M56" s="12" t="s">
        <v>93</v>
      </c>
      <c r="N56" s="12" t="s">
        <v>93</v>
      </c>
      <c r="O56" s="12" t="s">
        <v>402</v>
      </c>
      <c r="P56" s="12" t="s">
        <v>402</v>
      </c>
      <c r="Q56" s="12" t="s">
        <v>314</v>
      </c>
      <c r="R56" s="12" t="s">
        <v>314</v>
      </c>
      <c r="S56" s="12" t="s">
        <v>314</v>
      </c>
      <c r="T56" s="12" t="s">
        <v>315</v>
      </c>
      <c r="U56" s="12" t="s">
        <v>315</v>
      </c>
      <c r="V56" s="12" t="s">
        <v>83</v>
      </c>
      <c r="W56" s="12" t="s">
        <v>83</v>
      </c>
      <c r="X56" s="12" t="s">
        <v>22</v>
      </c>
      <c r="Y56" s="12" t="s">
        <v>306</v>
      </c>
      <c r="Z56" s="12" t="s">
        <v>316</v>
      </c>
      <c r="AA56" s="12" t="s">
        <v>313</v>
      </c>
      <c r="AB56" s="12">
        <v>30</v>
      </c>
      <c r="AC56" s="12">
        <v>46</v>
      </c>
      <c r="AD56" s="12" t="s">
        <v>316</v>
      </c>
      <c r="AE56" s="12" t="s">
        <v>313</v>
      </c>
      <c r="AF56" s="11">
        <v>46126.623449074083</v>
      </c>
      <c r="AG56" s="11">
        <v>46182.374085648153</v>
      </c>
      <c r="AH56" s="12" t="s">
        <v>317</v>
      </c>
    </row>
    <row r="57" spans="1:34" ht="29" x14ac:dyDescent="0.35">
      <c r="A57" s="11">
        <v>46181.338217592587</v>
      </c>
      <c r="B57" s="11">
        <v>46188.556851851848</v>
      </c>
      <c r="C57" s="12" t="s">
        <v>87</v>
      </c>
      <c r="D57" s="12" t="s">
        <v>103</v>
      </c>
      <c r="E57" s="12" t="s">
        <v>318</v>
      </c>
      <c r="F57" s="12" t="s">
        <v>319</v>
      </c>
      <c r="G57" s="12" t="s">
        <v>319</v>
      </c>
      <c r="H57" s="12" t="s">
        <v>81</v>
      </c>
      <c r="I57" s="12" t="s">
        <v>316</v>
      </c>
      <c r="J57" s="12" t="s">
        <v>313</v>
      </c>
      <c r="K57" s="12" t="s">
        <v>313</v>
      </c>
      <c r="L57" s="12" t="s">
        <v>93</v>
      </c>
      <c r="M57" s="12" t="s">
        <v>93</v>
      </c>
      <c r="N57" s="12" t="s">
        <v>93</v>
      </c>
      <c r="O57" s="12" t="s">
        <v>402</v>
      </c>
      <c r="P57" s="12" t="s">
        <v>402</v>
      </c>
      <c r="Q57" s="12" t="s">
        <v>79</v>
      </c>
      <c r="R57" s="12" t="s">
        <v>79</v>
      </c>
      <c r="S57" s="12" t="s">
        <v>79</v>
      </c>
      <c r="T57" s="12" t="s">
        <v>84</v>
      </c>
      <c r="U57" s="12" t="s">
        <v>84</v>
      </c>
      <c r="V57" s="12" t="s">
        <v>100</v>
      </c>
      <c r="W57" s="12" t="s">
        <v>100</v>
      </c>
      <c r="X57" s="12" t="s">
        <v>22</v>
      </c>
      <c r="Y57" s="12" t="s">
        <v>306</v>
      </c>
      <c r="Z57" s="12" t="s">
        <v>316</v>
      </c>
      <c r="AA57" s="12" t="s">
        <v>313</v>
      </c>
      <c r="AB57" s="12">
        <v>30</v>
      </c>
      <c r="AC57" s="12">
        <v>46</v>
      </c>
      <c r="AD57" s="12" t="s">
        <v>316</v>
      </c>
      <c r="AE57" s="12" t="s">
        <v>313</v>
      </c>
      <c r="AF57" s="11">
        <v>46153.432199074072</v>
      </c>
      <c r="AG57" s="11">
        <v>46182.374097222222</v>
      </c>
      <c r="AH57" s="12" t="s">
        <v>320</v>
      </c>
    </row>
    <row r="58" spans="1:34" ht="29" x14ac:dyDescent="0.35">
      <c r="A58" s="11">
        <v>46181.338217592587</v>
      </c>
      <c r="B58" s="11">
        <v>46188.556851851848</v>
      </c>
      <c r="C58" s="12" t="s">
        <v>87</v>
      </c>
      <c r="D58" s="12" t="s">
        <v>103</v>
      </c>
      <c r="E58" s="12" t="s">
        <v>336</v>
      </c>
      <c r="F58" s="12" t="s">
        <v>337</v>
      </c>
      <c r="G58" s="12" t="s">
        <v>337</v>
      </c>
      <c r="H58" s="12" t="s">
        <v>81</v>
      </c>
      <c r="I58" s="12" t="s">
        <v>328</v>
      </c>
      <c r="J58" s="12" t="s">
        <v>334</v>
      </c>
      <c r="K58" s="12" t="s">
        <v>334</v>
      </c>
      <c r="L58" s="12" t="s">
        <v>338</v>
      </c>
      <c r="M58" s="12" t="s">
        <v>338</v>
      </c>
      <c r="N58" s="12" t="s">
        <v>338</v>
      </c>
      <c r="O58" s="12" t="s">
        <v>263</v>
      </c>
      <c r="P58" s="12" t="s">
        <v>263</v>
      </c>
      <c r="Q58" s="12" t="s">
        <v>314</v>
      </c>
      <c r="R58" s="12" t="s">
        <v>314</v>
      </c>
      <c r="S58" s="12" t="s">
        <v>314</v>
      </c>
      <c r="T58" s="12" t="s">
        <v>307</v>
      </c>
      <c r="U58" s="12" t="s">
        <v>307</v>
      </c>
      <c r="V58" s="12" t="s">
        <v>83</v>
      </c>
      <c r="W58" s="12" t="s">
        <v>83</v>
      </c>
      <c r="X58" s="12" t="s">
        <v>22</v>
      </c>
      <c r="Y58" s="12" t="s">
        <v>306</v>
      </c>
      <c r="Z58" s="12" t="s">
        <v>328</v>
      </c>
      <c r="AA58" s="12" t="s">
        <v>334</v>
      </c>
      <c r="AB58" s="12">
        <v>14</v>
      </c>
      <c r="AC58" s="12">
        <v>30</v>
      </c>
      <c r="AD58" s="12" t="s">
        <v>328</v>
      </c>
      <c r="AE58" s="12" t="s">
        <v>334</v>
      </c>
      <c r="AF58" s="11">
        <v>46113.350370370368</v>
      </c>
      <c r="AG58" s="11">
        <v>46182.374108796299</v>
      </c>
      <c r="AH58" s="12" t="s">
        <v>339</v>
      </c>
    </row>
    <row r="59" spans="1:34" ht="29" x14ac:dyDescent="0.35">
      <c r="A59" s="11">
        <v>46181.338217592587</v>
      </c>
      <c r="B59" s="11">
        <v>46188.556851851848</v>
      </c>
      <c r="C59" s="12" t="s">
        <v>87</v>
      </c>
      <c r="D59" s="12" t="s">
        <v>103</v>
      </c>
      <c r="E59" s="12" t="s">
        <v>425</v>
      </c>
      <c r="F59" s="12" t="s">
        <v>426</v>
      </c>
      <c r="G59" s="12" t="s">
        <v>426</v>
      </c>
      <c r="H59" s="12" t="s">
        <v>81</v>
      </c>
      <c r="I59" s="12" t="s">
        <v>347</v>
      </c>
      <c r="J59" s="12" t="s">
        <v>77</v>
      </c>
      <c r="K59" s="12" t="s">
        <v>77</v>
      </c>
      <c r="L59" s="12" t="s">
        <v>310</v>
      </c>
      <c r="M59" s="12" t="s">
        <v>310</v>
      </c>
      <c r="N59" s="12" t="s">
        <v>310</v>
      </c>
      <c r="O59" s="12" t="s">
        <v>402</v>
      </c>
      <c r="P59" s="12" t="s">
        <v>402</v>
      </c>
      <c r="Q59" s="12" t="s">
        <v>228</v>
      </c>
      <c r="R59" s="12" t="s">
        <v>228</v>
      </c>
      <c r="S59" s="12" t="s">
        <v>228</v>
      </c>
      <c r="T59" s="12" t="s">
        <v>99</v>
      </c>
      <c r="U59" s="12" t="s">
        <v>84</v>
      </c>
      <c r="V59" s="12" t="s">
        <v>324</v>
      </c>
      <c r="W59" s="12" t="s">
        <v>324</v>
      </c>
      <c r="X59" s="12" t="s">
        <v>23</v>
      </c>
      <c r="Y59" s="12" t="s">
        <v>80</v>
      </c>
      <c r="Z59" s="12" t="s">
        <v>99</v>
      </c>
      <c r="AA59" s="12" t="s">
        <v>84</v>
      </c>
      <c r="AB59" s="12">
        <v>14</v>
      </c>
      <c r="AC59" s="12">
        <v>11</v>
      </c>
      <c r="AD59" s="12" t="s">
        <v>99</v>
      </c>
      <c r="AE59" s="12" t="s">
        <v>84</v>
      </c>
      <c r="AF59" s="11">
        <v>46178.54074074074</v>
      </c>
      <c r="AG59" s="11">
        <v>46182.376087962963</v>
      </c>
      <c r="AH59" s="12" t="s">
        <v>427</v>
      </c>
    </row>
    <row r="60" spans="1:34" ht="29" x14ac:dyDescent="0.35">
      <c r="A60" s="11">
        <v>46181.338217592587</v>
      </c>
      <c r="B60" s="11">
        <v>46188.556851851848</v>
      </c>
      <c r="C60" s="12" t="s">
        <v>87</v>
      </c>
      <c r="D60" s="12" t="s">
        <v>103</v>
      </c>
      <c r="E60" s="12" t="s">
        <v>425</v>
      </c>
      <c r="F60" s="12" t="s">
        <v>426</v>
      </c>
      <c r="G60" s="12" t="s">
        <v>426</v>
      </c>
      <c r="H60" s="12" t="s">
        <v>81</v>
      </c>
      <c r="I60" s="12" t="s">
        <v>347</v>
      </c>
      <c r="J60" s="12" t="s">
        <v>77</v>
      </c>
      <c r="K60" s="12" t="s">
        <v>77</v>
      </c>
      <c r="L60" s="12" t="s">
        <v>310</v>
      </c>
      <c r="M60" s="12" t="s">
        <v>310</v>
      </c>
      <c r="N60" s="12" t="s">
        <v>310</v>
      </c>
      <c r="O60" s="12" t="s">
        <v>402</v>
      </c>
      <c r="P60" s="12" t="s">
        <v>402</v>
      </c>
      <c r="Q60" s="12" t="s">
        <v>228</v>
      </c>
      <c r="R60" s="12" t="s">
        <v>228</v>
      </c>
      <c r="S60" s="12" t="s">
        <v>228</v>
      </c>
      <c r="T60" s="12" t="s">
        <v>99</v>
      </c>
      <c r="U60" s="12" t="s">
        <v>84</v>
      </c>
      <c r="V60" s="12" t="s">
        <v>324</v>
      </c>
      <c r="W60" s="12" t="s">
        <v>324</v>
      </c>
      <c r="X60" s="12" t="s">
        <v>22</v>
      </c>
      <c r="Y60" s="12" t="s">
        <v>306</v>
      </c>
      <c r="Z60" s="12" t="s">
        <v>347</v>
      </c>
      <c r="AA60" s="12" t="s">
        <v>77</v>
      </c>
      <c r="AB60" s="12">
        <v>14</v>
      </c>
      <c r="AC60" s="12">
        <v>14</v>
      </c>
      <c r="AD60" s="12" t="s">
        <v>347</v>
      </c>
      <c r="AE60" s="12" t="s">
        <v>77</v>
      </c>
      <c r="AF60" s="11">
        <v>46178.54074074074</v>
      </c>
      <c r="AG60" s="11">
        <v>46182.376087962963</v>
      </c>
      <c r="AH60" s="12" t="s">
        <v>427</v>
      </c>
    </row>
    <row r="61" spans="1:34" ht="29" x14ac:dyDescent="0.35">
      <c r="A61" s="11">
        <v>46181.338217592587</v>
      </c>
      <c r="B61" s="11">
        <v>46188.556851851848</v>
      </c>
      <c r="C61" s="12" t="s">
        <v>87</v>
      </c>
      <c r="D61" s="12" t="s">
        <v>103</v>
      </c>
      <c r="E61" s="12" t="s">
        <v>425</v>
      </c>
      <c r="F61" s="12" t="s">
        <v>426</v>
      </c>
      <c r="G61" s="12" t="s">
        <v>426</v>
      </c>
      <c r="H61" s="12" t="s">
        <v>81</v>
      </c>
      <c r="I61" s="12" t="s">
        <v>347</v>
      </c>
      <c r="J61" s="12" t="s">
        <v>77</v>
      </c>
      <c r="K61" s="12" t="s">
        <v>77</v>
      </c>
      <c r="L61" s="12" t="s">
        <v>310</v>
      </c>
      <c r="M61" s="12" t="s">
        <v>310</v>
      </c>
      <c r="N61" s="12" t="s">
        <v>310</v>
      </c>
      <c r="O61" s="12" t="s">
        <v>402</v>
      </c>
      <c r="P61" s="12" t="s">
        <v>402</v>
      </c>
      <c r="Q61" s="12" t="s">
        <v>228</v>
      </c>
      <c r="R61" s="12" t="s">
        <v>228</v>
      </c>
      <c r="S61" s="12" t="s">
        <v>228</v>
      </c>
      <c r="T61" s="12" t="s">
        <v>99</v>
      </c>
      <c r="U61" s="12" t="s">
        <v>84</v>
      </c>
      <c r="V61" s="12" t="s">
        <v>324</v>
      </c>
      <c r="W61" s="12" t="s">
        <v>324</v>
      </c>
      <c r="X61" s="12" t="s">
        <v>28</v>
      </c>
      <c r="Y61" s="12" t="s">
        <v>365</v>
      </c>
      <c r="Z61" s="12" t="s">
        <v>428</v>
      </c>
      <c r="AA61" s="12" t="s">
        <v>429</v>
      </c>
      <c r="AB61" s="12">
        <v>6</v>
      </c>
      <c r="AC61" s="12">
        <v>7</v>
      </c>
      <c r="AD61" s="12" t="s">
        <v>428</v>
      </c>
      <c r="AE61" s="12" t="s">
        <v>429</v>
      </c>
      <c r="AF61" s="11">
        <v>46178.54074074074</v>
      </c>
      <c r="AG61" s="11">
        <v>46182.376087962963</v>
      </c>
      <c r="AH61" s="12" t="s">
        <v>427</v>
      </c>
    </row>
    <row r="62" spans="1:34" ht="29" x14ac:dyDescent="0.35">
      <c r="A62" s="11">
        <v>46181.338217592587</v>
      </c>
      <c r="B62" s="11">
        <v>46188.556851851848</v>
      </c>
      <c r="C62" s="12" t="s">
        <v>87</v>
      </c>
      <c r="D62" s="12" t="s">
        <v>103</v>
      </c>
      <c r="E62" s="12" t="s">
        <v>449</v>
      </c>
      <c r="F62" s="12" t="s">
        <v>450</v>
      </c>
      <c r="G62" s="12" t="s">
        <v>450</v>
      </c>
      <c r="H62" s="12" t="s">
        <v>81</v>
      </c>
      <c r="I62" s="12" t="s">
        <v>316</v>
      </c>
      <c r="J62" s="12" t="s">
        <v>451</v>
      </c>
      <c r="K62" s="12" t="s">
        <v>451</v>
      </c>
      <c r="L62" s="12" t="s">
        <v>96</v>
      </c>
      <c r="M62" s="12" t="s">
        <v>96</v>
      </c>
      <c r="N62" s="12" t="s">
        <v>96</v>
      </c>
      <c r="O62" s="12" t="s">
        <v>263</v>
      </c>
      <c r="P62" s="12" t="s">
        <v>263</v>
      </c>
      <c r="Q62" s="12" t="s">
        <v>79</v>
      </c>
      <c r="R62" s="12" t="s">
        <v>79</v>
      </c>
      <c r="S62" s="12" t="s">
        <v>79</v>
      </c>
      <c r="T62" s="12" t="s">
        <v>307</v>
      </c>
      <c r="U62" s="12" t="s">
        <v>307</v>
      </c>
      <c r="V62" s="12" t="s">
        <v>100</v>
      </c>
      <c r="W62" s="12" t="s">
        <v>100</v>
      </c>
      <c r="X62" s="12" t="s">
        <v>22</v>
      </c>
      <c r="Y62" s="12" t="s">
        <v>306</v>
      </c>
      <c r="Z62" s="12" t="s">
        <v>316</v>
      </c>
      <c r="AA62" s="12" t="s">
        <v>451</v>
      </c>
      <c r="AB62" s="12">
        <v>30</v>
      </c>
      <c r="AC62" s="12">
        <v>30</v>
      </c>
      <c r="AD62" s="12" t="s">
        <v>316</v>
      </c>
      <c r="AE62" s="12" t="s">
        <v>451</v>
      </c>
      <c r="AF62" s="11">
        <v>46126.623437499999</v>
      </c>
      <c r="AG62" s="11">
        <v>46182.372754629629</v>
      </c>
      <c r="AH62" s="12" t="s">
        <v>452</v>
      </c>
    </row>
    <row r="63" spans="1:34" ht="29" x14ac:dyDescent="0.35">
      <c r="A63" s="11">
        <v>46181.338217592587</v>
      </c>
      <c r="B63" s="11">
        <v>46188.556851851848</v>
      </c>
      <c r="C63" s="12" t="s">
        <v>87</v>
      </c>
      <c r="D63" s="12" t="s">
        <v>103</v>
      </c>
      <c r="E63" s="12" t="s">
        <v>321</v>
      </c>
      <c r="F63" s="12" t="s">
        <v>322</v>
      </c>
      <c r="G63" s="12" t="s">
        <v>322</v>
      </c>
      <c r="H63" s="12" t="s">
        <v>81</v>
      </c>
      <c r="I63" s="12" t="s">
        <v>316</v>
      </c>
      <c r="J63" s="12" t="s">
        <v>323</v>
      </c>
      <c r="K63" s="12" t="s">
        <v>323</v>
      </c>
      <c r="L63" s="12" t="s">
        <v>96</v>
      </c>
      <c r="M63" s="12" t="s">
        <v>96</v>
      </c>
      <c r="N63" s="12" t="s">
        <v>96</v>
      </c>
      <c r="O63" s="12" t="s">
        <v>263</v>
      </c>
      <c r="P63" s="12" t="s">
        <v>263</v>
      </c>
      <c r="Q63" s="12" t="s">
        <v>79</v>
      </c>
      <c r="R63" s="12" t="s">
        <v>79</v>
      </c>
      <c r="S63" s="12" t="s">
        <v>79</v>
      </c>
      <c r="T63" s="12" t="s">
        <v>307</v>
      </c>
      <c r="U63" s="12" t="s">
        <v>307</v>
      </c>
      <c r="V63" s="12" t="s">
        <v>324</v>
      </c>
      <c r="W63" s="12" t="s">
        <v>324</v>
      </c>
      <c r="X63" s="12" t="s">
        <v>22</v>
      </c>
      <c r="Y63" s="12" t="s">
        <v>306</v>
      </c>
      <c r="Z63" s="12" t="s">
        <v>316</v>
      </c>
      <c r="AA63" s="12" t="s">
        <v>323</v>
      </c>
      <c r="AB63" s="12">
        <v>30</v>
      </c>
      <c r="AC63" s="12">
        <v>30</v>
      </c>
      <c r="AD63" s="12" t="s">
        <v>316</v>
      </c>
      <c r="AE63" s="12" t="s">
        <v>323</v>
      </c>
      <c r="AF63" s="11">
        <v>46126.623437499999</v>
      </c>
      <c r="AG63" s="11">
        <v>46182.372395833343</v>
      </c>
      <c r="AH63" s="12" t="s">
        <v>325</v>
      </c>
    </row>
    <row r="64" spans="1:34" ht="29" x14ac:dyDescent="0.35">
      <c r="A64" s="11">
        <v>46181.338217592587</v>
      </c>
      <c r="B64" s="11">
        <v>46188.556851851848</v>
      </c>
      <c r="C64" s="12" t="s">
        <v>87</v>
      </c>
      <c r="D64" s="12" t="s">
        <v>103</v>
      </c>
      <c r="E64" s="12" t="s">
        <v>332</v>
      </c>
      <c r="F64" s="12" t="s">
        <v>333</v>
      </c>
      <c r="G64" s="12" t="s">
        <v>333</v>
      </c>
      <c r="H64" s="12" t="s">
        <v>81</v>
      </c>
      <c r="I64" s="12" t="s">
        <v>328</v>
      </c>
      <c r="J64" s="12" t="s">
        <v>334</v>
      </c>
      <c r="K64" s="12" t="s">
        <v>334</v>
      </c>
      <c r="L64" s="12" t="s">
        <v>93</v>
      </c>
      <c r="M64" s="12" t="s">
        <v>93</v>
      </c>
      <c r="N64" s="12" t="s">
        <v>93</v>
      </c>
      <c r="O64" s="12" t="s">
        <v>402</v>
      </c>
      <c r="P64" s="12" t="s">
        <v>402</v>
      </c>
      <c r="Q64" s="12" t="s">
        <v>79</v>
      </c>
      <c r="R64" s="12" t="s">
        <v>79</v>
      </c>
      <c r="S64" s="12" t="s">
        <v>79</v>
      </c>
      <c r="T64" s="12" t="s">
        <v>197</v>
      </c>
      <c r="U64" s="12" t="s">
        <v>197</v>
      </c>
      <c r="V64" s="12" t="s">
        <v>324</v>
      </c>
      <c r="W64" s="12" t="s">
        <v>324</v>
      </c>
      <c r="X64" s="12" t="s">
        <v>22</v>
      </c>
      <c r="Y64" s="12" t="s">
        <v>306</v>
      </c>
      <c r="Z64" s="12" t="s">
        <v>328</v>
      </c>
      <c r="AA64" s="12" t="s">
        <v>334</v>
      </c>
      <c r="AB64" s="12">
        <v>14</v>
      </c>
      <c r="AC64" s="12">
        <v>30</v>
      </c>
      <c r="AD64" s="12" t="s">
        <v>328</v>
      </c>
      <c r="AE64" s="12" t="s">
        <v>334</v>
      </c>
      <c r="AF64" s="11">
        <v>46108.636631944442</v>
      </c>
      <c r="AG64" s="11">
        <v>46182.374120370368</v>
      </c>
      <c r="AH64" s="12" t="s">
        <v>335</v>
      </c>
    </row>
    <row r="65" spans="1:34" ht="29" x14ac:dyDescent="0.35">
      <c r="A65" s="11">
        <v>46181.338217592587</v>
      </c>
      <c r="B65" s="11">
        <v>46188.556851851848</v>
      </c>
      <c r="C65" s="12" t="s">
        <v>87</v>
      </c>
      <c r="D65" s="12" t="s">
        <v>103</v>
      </c>
      <c r="E65" s="12" t="s">
        <v>415</v>
      </c>
      <c r="F65" s="12" t="s">
        <v>416</v>
      </c>
      <c r="G65" s="12" t="s">
        <v>416</v>
      </c>
      <c r="H65" s="12" t="s">
        <v>81</v>
      </c>
      <c r="I65" s="12" t="s">
        <v>328</v>
      </c>
      <c r="J65" s="12" t="s">
        <v>77</v>
      </c>
      <c r="K65" s="12" t="s">
        <v>77</v>
      </c>
      <c r="L65" s="12" t="s">
        <v>96</v>
      </c>
      <c r="M65" s="12" t="s">
        <v>96</v>
      </c>
      <c r="N65" s="12" t="s">
        <v>96</v>
      </c>
      <c r="O65" s="12" t="s">
        <v>263</v>
      </c>
      <c r="P65" s="12" t="s">
        <v>263</v>
      </c>
      <c r="Q65" s="12" t="s">
        <v>79</v>
      </c>
      <c r="R65" s="12" t="s">
        <v>79</v>
      </c>
      <c r="S65" s="12" t="s">
        <v>79</v>
      </c>
      <c r="T65" s="12" t="s">
        <v>315</v>
      </c>
      <c r="U65" s="12" t="s">
        <v>315</v>
      </c>
      <c r="V65" s="12" t="s">
        <v>100</v>
      </c>
      <c r="W65" s="12" t="s">
        <v>100</v>
      </c>
      <c r="X65" s="12" t="s">
        <v>22</v>
      </c>
      <c r="Y65" s="12" t="s">
        <v>306</v>
      </c>
      <c r="Z65" s="12" t="s">
        <v>328</v>
      </c>
      <c r="AA65" s="12" t="s">
        <v>77</v>
      </c>
      <c r="AB65" s="12">
        <v>14</v>
      </c>
      <c r="AC65" s="12">
        <v>14</v>
      </c>
      <c r="AD65" s="12" t="s">
        <v>328</v>
      </c>
      <c r="AE65" s="12" t="s">
        <v>77</v>
      </c>
      <c r="AF65" s="11">
        <v>46155.424085648148</v>
      </c>
      <c r="AG65" s="11">
        <v>46183.414282407408</v>
      </c>
      <c r="AH65" s="12" t="s">
        <v>417</v>
      </c>
    </row>
    <row r="66" spans="1:34" ht="29" x14ac:dyDescent="0.35">
      <c r="A66" s="11">
        <v>46181.338217592587</v>
      </c>
      <c r="B66" s="11">
        <v>46188.556851851848</v>
      </c>
      <c r="C66" s="12" t="s">
        <v>87</v>
      </c>
      <c r="D66" s="12" t="s">
        <v>103</v>
      </c>
      <c r="E66" s="12" t="s">
        <v>436</v>
      </c>
      <c r="F66" s="12" t="s">
        <v>437</v>
      </c>
      <c r="G66" s="12" t="s">
        <v>437</v>
      </c>
      <c r="H66" s="12" t="s">
        <v>81</v>
      </c>
      <c r="I66" s="12" t="s">
        <v>328</v>
      </c>
      <c r="J66" s="12" t="s">
        <v>77</v>
      </c>
      <c r="K66" s="12" t="s">
        <v>77</v>
      </c>
      <c r="L66" s="12" t="s">
        <v>194</v>
      </c>
      <c r="M66" s="12" t="s">
        <v>194</v>
      </c>
      <c r="N66" s="12" t="s">
        <v>194</v>
      </c>
      <c r="O66" s="12" t="s">
        <v>263</v>
      </c>
      <c r="P66" s="12" t="s">
        <v>263</v>
      </c>
      <c r="Q66" s="12" t="s">
        <v>228</v>
      </c>
      <c r="R66" s="12" t="s">
        <v>228</v>
      </c>
      <c r="S66" s="12" t="s">
        <v>228</v>
      </c>
      <c r="T66" s="12" t="s">
        <v>110</v>
      </c>
      <c r="U66" s="12" t="s">
        <v>110</v>
      </c>
      <c r="V66" s="12" t="s">
        <v>83</v>
      </c>
      <c r="W66" s="12" t="s">
        <v>83</v>
      </c>
      <c r="X66" s="12" t="s">
        <v>22</v>
      </c>
      <c r="Y66" s="12" t="s">
        <v>306</v>
      </c>
      <c r="Z66" s="12" t="s">
        <v>328</v>
      </c>
      <c r="AA66" s="12" t="s">
        <v>77</v>
      </c>
      <c r="AB66" s="12">
        <v>14</v>
      </c>
      <c r="AC66" s="12">
        <v>14</v>
      </c>
      <c r="AD66" s="12" t="s">
        <v>328</v>
      </c>
      <c r="AE66" s="12" t="s">
        <v>77</v>
      </c>
      <c r="AF66" s="11">
        <v>46140.415717592587</v>
      </c>
      <c r="AG66" s="11">
        <v>46183.528483796297</v>
      </c>
      <c r="AH66" s="12" t="s">
        <v>438</v>
      </c>
    </row>
    <row r="67" spans="1:34" ht="29" x14ac:dyDescent="0.35">
      <c r="A67" s="11">
        <v>46181.338217592587</v>
      </c>
      <c r="B67" s="11">
        <v>46188.556851851848</v>
      </c>
      <c r="C67" s="12" t="s">
        <v>87</v>
      </c>
      <c r="D67" s="12" t="s">
        <v>103</v>
      </c>
      <c r="E67" s="12" t="s">
        <v>436</v>
      </c>
      <c r="F67" s="12" t="s">
        <v>437</v>
      </c>
      <c r="G67" s="12" t="s">
        <v>437</v>
      </c>
      <c r="H67" s="12" t="s">
        <v>81</v>
      </c>
      <c r="I67" s="12" t="s">
        <v>328</v>
      </c>
      <c r="J67" s="12" t="s">
        <v>77</v>
      </c>
      <c r="K67" s="12" t="s">
        <v>77</v>
      </c>
      <c r="L67" s="12" t="s">
        <v>194</v>
      </c>
      <c r="M67" s="12" t="s">
        <v>194</v>
      </c>
      <c r="N67" s="12" t="s">
        <v>194</v>
      </c>
      <c r="O67" s="12" t="s">
        <v>263</v>
      </c>
      <c r="P67" s="12" t="s">
        <v>263</v>
      </c>
      <c r="Q67" s="12" t="s">
        <v>228</v>
      </c>
      <c r="R67" s="12" t="s">
        <v>228</v>
      </c>
      <c r="S67" s="12" t="s">
        <v>228</v>
      </c>
      <c r="T67" s="12" t="s">
        <v>110</v>
      </c>
      <c r="U67" s="12" t="s">
        <v>110</v>
      </c>
      <c r="V67" s="12" t="s">
        <v>83</v>
      </c>
      <c r="W67" s="12" t="s">
        <v>83</v>
      </c>
      <c r="X67" s="12" t="s">
        <v>27</v>
      </c>
      <c r="Y67" s="12" t="s">
        <v>206</v>
      </c>
      <c r="Z67" s="12" t="s">
        <v>207</v>
      </c>
      <c r="AA67" s="12" t="s">
        <v>215</v>
      </c>
      <c r="AB67" s="12">
        <v>0</v>
      </c>
      <c r="AC67" s="12">
        <v>2</v>
      </c>
      <c r="AD67" s="12" t="s">
        <v>207</v>
      </c>
      <c r="AE67" s="12" t="s">
        <v>215</v>
      </c>
      <c r="AF67" s="11">
        <v>46140.415717592587</v>
      </c>
      <c r="AG67" s="11">
        <v>46183.528483796297</v>
      </c>
      <c r="AH67" s="12" t="s">
        <v>438</v>
      </c>
    </row>
    <row r="68" spans="1:34" ht="29" x14ac:dyDescent="0.35">
      <c r="A68" s="11">
        <v>46181.338217592587</v>
      </c>
      <c r="B68" s="11">
        <v>46188.556851851848</v>
      </c>
      <c r="C68" s="12" t="s">
        <v>87</v>
      </c>
      <c r="D68" s="12" t="s">
        <v>103</v>
      </c>
      <c r="E68" s="12" t="s">
        <v>418</v>
      </c>
      <c r="F68" s="12" t="s">
        <v>419</v>
      </c>
      <c r="G68" s="12" t="s">
        <v>419</v>
      </c>
      <c r="H68" s="12" t="s">
        <v>81</v>
      </c>
      <c r="I68" s="12" t="s">
        <v>328</v>
      </c>
      <c r="J68" s="12" t="s">
        <v>77</v>
      </c>
      <c r="K68" s="12" t="s">
        <v>77</v>
      </c>
      <c r="L68" s="12" t="s">
        <v>96</v>
      </c>
      <c r="M68" s="12" t="s">
        <v>96</v>
      </c>
      <c r="N68" s="12" t="s">
        <v>96</v>
      </c>
      <c r="O68" s="12" t="s">
        <v>263</v>
      </c>
      <c r="P68" s="12" t="s">
        <v>263</v>
      </c>
      <c r="Q68" s="12" t="s">
        <v>79</v>
      </c>
      <c r="R68" s="12" t="s">
        <v>79</v>
      </c>
      <c r="S68" s="12" t="s">
        <v>79</v>
      </c>
      <c r="T68" s="12" t="s">
        <v>307</v>
      </c>
      <c r="U68" s="12" t="s">
        <v>307</v>
      </c>
      <c r="V68" s="12" t="s">
        <v>324</v>
      </c>
      <c r="W68" s="12" t="s">
        <v>324</v>
      </c>
      <c r="X68" s="12" t="s">
        <v>22</v>
      </c>
      <c r="Y68" s="12" t="s">
        <v>306</v>
      </c>
      <c r="Z68" s="12" t="s">
        <v>328</v>
      </c>
      <c r="AA68" s="12" t="s">
        <v>77</v>
      </c>
      <c r="AB68" s="12">
        <v>14</v>
      </c>
      <c r="AC68" s="12">
        <v>14</v>
      </c>
      <c r="AD68" s="12" t="s">
        <v>328</v>
      </c>
      <c r="AE68" s="12" t="s">
        <v>77</v>
      </c>
      <c r="AF68" s="11">
        <v>46113.515613425923</v>
      </c>
      <c r="AG68" s="11">
        <v>46182.373379629629</v>
      </c>
      <c r="AH68" s="12" t="s">
        <v>420</v>
      </c>
    </row>
    <row r="69" spans="1:34" ht="29" x14ac:dyDescent="0.35">
      <c r="A69" s="11">
        <v>46181.338217592587</v>
      </c>
      <c r="B69" s="11">
        <v>46188.556851851848</v>
      </c>
      <c r="C69" s="12" t="s">
        <v>87</v>
      </c>
      <c r="D69" s="12" t="s">
        <v>103</v>
      </c>
      <c r="E69" s="12" t="s">
        <v>439</v>
      </c>
      <c r="F69" s="12" t="s">
        <v>440</v>
      </c>
      <c r="G69" s="12" t="s">
        <v>440</v>
      </c>
      <c r="H69" s="12" t="s">
        <v>81</v>
      </c>
      <c r="I69" s="12" t="s">
        <v>328</v>
      </c>
      <c r="J69" s="12" t="s">
        <v>77</v>
      </c>
      <c r="K69" s="12" t="s">
        <v>77</v>
      </c>
      <c r="L69" s="12" t="s">
        <v>194</v>
      </c>
      <c r="M69" s="12" t="s">
        <v>194</v>
      </c>
      <c r="N69" s="12" t="s">
        <v>194</v>
      </c>
      <c r="O69" s="12" t="s">
        <v>263</v>
      </c>
      <c r="P69" s="12" t="s">
        <v>263</v>
      </c>
      <c r="Q69" s="12" t="s">
        <v>228</v>
      </c>
      <c r="R69" s="12" t="s">
        <v>228</v>
      </c>
      <c r="S69" s="12" t="s">
        <v>228</v>
      </c>
      <c r="T69" s="12" t="s">
        <v>110</v>
      </c>
      <c r="U69" s="12" t="s">
        <v>110</v>
      </c>
      <c r="V69" s="12" t="s">
        <v>324</v>
      </c>
      <c r="W69" s="12" t="s">
        <v>324</v>
      </c>
      <c r="X69" s="12" t="s">
        <v>22</v>
      </c>
      <c r="Y69" s="12" t="s">
        <v>306</v>
      </c>
      <c r="Z69" s="12" t="s">
        <v>328</v>
      </c>
      <c r="AA69" s="12" t="s">
        <v>77</v>
      </c>
      <c r="AB69" s="12">
        <v>14</v>
      </c>
      <c r="AC69" s="12">
        <v>14</v>
      </c>
      <c r="AD69" s="12" t="s">
        <v>328</v>
      </c>
      <c r="AE69" s="12" t="s">
        <v>77</v>
      </c>
      <c r="AF69" s="11">
        <v>46149.615219907413</v>
      </c>
      <c r="AG69" s="11">
        <v>46185.51326388889</v>
      </c>
      <c r="AH69" s="12" t="s">
        <v>441</v>
      </c>
    </row>
    <row r="70" spans="1:34" ht="29" x14ac:dyDescent="0.35">
      <c r="A70" s="11">
        <v>46181.338217592587</v>
      </c>
      <c r="B70" s="11">
        <v>46188.556851851848</v>
      </c>
      <c r="C70" s="12" t="s">
        <v>87</v>
      </c>
      <c r="D70" s="12" t="s">
        <v>103</v>
      </c>
      <c r="E70" s="12" t="s">
        <v>430</v>
      </c>
      <c r="F70" s="12" t="s">
        <v>431</v>
      </c>
      <c r="G70" s="12" t="s">
        <v>431</v>
      </c>
      <c r="H70" s="12" t="s">
        <v>81</v>
      </c>
      <c r="I70" s="12" t="s">
        <v>328</v>
      </c>
      <c r="J70" s="12" t="s">
        <v>77</v>
      </c>
      <c r="K70" s="12" t="s">
        <v>77</v>
      </c>
      <c r="L70" s="12" t="s">
        <v>310</v>
      </c>
      <c r="M70" s="12" t="s">
        <v>310</v>
      </c>
      <c r="N70" s="12" t="s">
        <v>310</v>
      </c>
      <c r="O70" s="12" t="s">
        <v>402</v>
      </c>
      <c r="P70" s="12" t="s">
        <v>402</v>
      </c>
      <c r="Q70" s="12" t="s">
        <v>228</v>
      </c>
      <c r="R70" s="12" t="s">
        <v>228</v>
      </c>
      <c r="S70" s="12" t="s">
        <v>228</v>
      </c>
      <c r="T70" s="12" t="s">
        <v>110</v>
      </c>
      <c r="U70" s="12" t="s">
        <v>110</v>
      </c>
      <c r="V70" s="12" t="s">
        <v>324</v>
      </c>
      <c r="W70" s="12" t="s">
        <v>324</v>
      </c>
      <c r="X70" s="12" t="s">
        <v>22</v>
      </c>
      <c r="Y70" s="12" t="s">
        <v>306</v>
      </c>
      <c r="Z70" s="12" t="s">
        <v>328</v>
      </c>
      <c r="AA70" s="12" t="s">
        <v>77</v>
      </c>
      <c r="AB70" s="12">
        <v>14</v>
      </c>
      <c r="AC70" s="12">
        <v>14</v>
      </c>
      <c r="AD70" s="12" t="s">
        <v>328</v>
      </c>
      <c r="AE70" s="12" t="s">
        <v>77</v>
      </c>
      <c r="AF70" s="11">
        <v>46155.316643518519</v>
      </c>
      <c r="AG70" s="11">
        <v>46182.375844907408</v>
      </c>
      <c r="AH70" s="12" t="s">
        <v>432</v>
      </c>
    </row>
    <row r="71" spans="1:34" ht="29" x14ac:dyDescent="0.35">
      <c r="A71" s="11">
        <v>46181.338217592587</v>
      </c>
      <c r="B71" s="11">
        <v>46188.556851851848</v>
      </c>
      <c r="C71" s="12" t="s">
        <v>87</v>
      </c>
      <c r="D71" s="12" t="s">
        <v>103</v>
      </c>
      <c r="E71" s="12" t="s">
        <v>75</v>
      </c>
      <c r="F71" s="12" t="s">
        <v>76</v>
      </c>
      <c r="G71" s="12" t="s">
        <v>76</v>
      </c>
      <c r="H71" s="12" t="s">
        <v>81</v>
      </c>
      <c r="I71" s="12" t="s">
        <v>77</v>
      </c>
      <c r="J71" s="12" t="s">
        <v>77</v>
      </c>
      <c r="K71" s="12" t="s">
        <v>77</v>
      </c>
      <c r="L71" s="12" t="s">
        <v>78</v>
      </c>
      <c r="M71" s="12" t="s">
        <v>93</v>
      </c>
      <c r="N71" s="12" t="s">
        <v>93</v>
      </c>
      <c r="O71" s="12" t="s">
        <v>402</v>
      </c>
      <c r="P71" s="12" t="s">
        <v>402</v>
      </c>
      <c r="Q71" s="12" t="s">
        <v>79</v>
      </c>
      <c r="R71" s="12" t="s">
        <v>79</v>
      </c>
      <c r="S71" s="12" t="s">
        <v>79</v>
      </c>
      <c r="T71" s="12" t="s">
        <v>82</v>
      </c>
      <c r="U71" s="12" t="s">
        <v>82</v>
      </c>
      <c r="V71" s="12" t="s">
        <v>83</v>
      </c>
      <c r="W71" s="12" t="s">
        <v>83</v>
      </c>
      <c r="X71" s="12" t="s">
        <v>24</v>
      </c>
      <c r="Y71" s="12" t="s">
        <v>92</v>
      </c>
      <c r="Z71" s="12" t="s">
        <v>78</v>
      </c>
      <c r="AA71" s="12" t="s">
        <v>93</v>
      </c>
      <c r="AB71" s="12">
        <v>13</v>
      </c>
      <c r="AC71" s="12">
        <v>7</v>
      </c>
      <c r="AD71" s="12" t="s">
        <v>78</v>
      </c>
      <c r="AE71" s="12" t="s">
        <v>93</v>
      </c>
      <c r="AF71" s="11">
        <v>46178.661608796298</v>
      </c>
      <c r="AG71" s="11">
        <v>46182.384594907409</v>
      </c>
      <c r="AH71" s="12" t="s">
        <v>85</v>
      </c>
    </row>
    <row r="72" spans="1:34" ht="29" x14ac:dyDescent="0.35">
      <c r="A72" s="11">
        <v>46181.338217592587</v>
      </c>
      <c r="B72" s="11">
        <v>46188.556851851848</v>
      </c>
      <c r="C72" s="12" t="s">
        <v>87</v>
      </c>
      <c r="D72" s="12" t="s">
        <v>103</v>
      </c>
      <c r="E72" s="12" t="s">
        <v>442</v>
      </c>
      <c r="F72" s="12" t="s">
        <v>443</v>
      </c>
      <c r="G72" s="12" t="s">
        <v>443</v>
      </c>
      <c r="H72" s="12" t="s">
        <v>81</v>
      </c>
      <c r="I72" s="12" t="s">
        <v>328</v>
      </c>
      <c r="J72" s="12" t="s">
        <v>77</v>
      </c>
      <c r="K72" s="12" t="s">
        <v>77</v>
      </c>
      <c r="L72" s="12" t="s">
        <v>194</v>
      </c>
      <c r="M72" s="12" t="s">
        <v>194</v>
      </c>
      <c r="N72" s="12" t="s">
        <v>194</v>
      </c>
      <c r="O72" s="12" t="s">
        <v>263</v>
      </c>
      <c r="P72" s="12" t="s">
        <v>263</v>
      </c>
      <c r="Q72" s="12" t="s">
        <v>228</v>
      </c>
      <c r="R72" s="12" t="s">
        <v>228</v>
      </c>
      <c r="S72" s="12" t="s">
        <v>228</v>
      </c>
      <c r="T72" s="12" t="s">
        <v>307</v>
      </c>
      <c r="U72" s="12" t="s">
        <v>307</v>
      </c>
      <c r="V72" s="12" t="s">
        <v>100</v>
      </c>
      <c r="W72" s="12" t="s">
        <v>100</v>
      </c>
      <c r="X72" s="12" t="s">
        <v>22</v>
      </c>
      <c r="Y72" s="12" t="s">
        <v>306</v>
      </c>
      <c r="Z72" s="12" t="s">
        <v>328</v>
      </c>
      <c r="AA72" s="12" t="s">
        <v>77</v>
      </c>
      <c r="AB72" s="12">
        <v>14</v>
      </c>
      <c r="AC72" s="12">
        <v>14</v>
      </c>
      <c r="AD72" s="12" t="s">
        <v>328</v>
      </c>
      <c r="AE72" s="12" t="s">
        <v>77</v>
      </c>
      <c r="AF72" s="11">
        <v>46177.609895833331</v>
      </c>
      <c r="AG72" s="11">
        <v>46182.373796296299</v>
      </c>
      <c r="AH72" s="12" t="s">
        <v>444</v>
      </c>
    </row>
    <row r="73" spans="1:34" ht="29" x14ac:dyDescent="0.35">
      <c r="A73" s="11">
        <v>46181.338217592587</v>
      </c>
      <c r="B73" s="11">
        <v>46188.556851851848</v>
      </c>
      <c r="C73" s="12" t="s">
        <v>87</v>
      </c>
      <c r="D73" s="12" t="s">
        <v>103</v>
      </c>
      <c r="E73" s="12" t="s">
        <v>340</v>
      </c>
      <c r="F73" s="12" t="s">
        <v>341</v>
      </c>
      <c r="G73" s="12" t="s">
        <v>341</v>
      </c>
      <c r="H73" s="12" t="s">
        <v>81</v>
      </c>
      <c r="I73" s="12" t="s">
        <v>328</v>
      </c>
      <c r="J73" s="12" t="s">
        <v>334</v>
      </c>
      <c r="K73" s="12" t="s">
        <v>334</v>
      </c>
      <c r="L73" s="12" t="s">
        <v>342</v>
      </c>
      <c r="M73" s="12" t="s">
        <v>342</v>
      </c>
      <c r="N73" s="12" t="s">
        <v>342</v>
      </c>
      <c r="O73" s="12" t="s">
        <v>402</v>
      </c>
      <c r="P73" s="12" t="s">
        <v>402</v>
      </c>
      <c r="Q73" s="12" t="s">
        <v>228</v>
      </c>
      <c r="R73" s="12" t="s">
        <v>228</v>
      </c>
      <c r="S73" s="12" t="s">
        <v>228</v>
      </c>
      <c r="T73" s="12" t="s">
        <v>343</v>
      </c>
      <c r="U73" s="12" t="s">
        <v>343</v>
      </c>
      <c r="V73" s="12" t="s">
        <v>100</v>
      </c>
      <c r="W73" s="12" t="s">
        <v>100</v>
      </c>
      <c r="X73" s="12" t="s">
        <v>22</v>
      </c>
      <c r="Y73" s="12" t="s">
        <v>306</v>
      </c>
      <c r="Z73" s="12" t="s">
        <v>328</v>
      </c>
      <c r="AA73" s="12" t="s">
        <v>334</v>
      </c>
      <c r="AB73" s="12">
        <v>14</v>
      </c>
      <c r="AC73" s="12">
        <v>30</v>
      </c>
      <c r="AD73" s="12" t="s">
        <v>328</v>
      </c>
      <c r="AE73" s="12" t="s">
        <v>334</v>
      </c>
      <c r="AF73" s="11">
        <v>46163.440266203703</v>
      </c>
      <c r="AG73" s="11">
        <v>46182.374097222222</v>
      </c>
      <c r="AH73" s="12" t="s">
        <v>344</v>
      </c>
    </row>
    <row r="74" spans="1:34" ht="29" x14ac:dyDescent="0.35">
      <c r="A74" s="11">
        <v>46181.338217592587</v>
      </c>
      <c r="B74" s="11">
        <v>46188.556851851848</v>
      </c>
      <c r="C74" s="12" t="s">
        <v>87</v>
      </c>
      <c r="D74" s="12" t="s">
        <v>103</v>
      </c>
      <c r="E74" s="12" t="s">
        <v>433</v>
      </c>
      <c r="F74" s="12" t="s">
        <v>434</v>
      </c>
      <c r="G74" s="12" t="s">
        <v>434</v>
      </c>
      <c r="H74" s="12" t="s">
        <v>81</v>
      </c>
      <c r="I74" s="12" t="s">
        <v>328</v>
      </c>
      <c r="J74" s="12" t="s">
        <v>77</v>
      </c>
      <c r="K74" s="12" t="s">
        <v>77</v>
      </c>
      <c r="L74" s="12" t="s">
        <v>310</v>
      </c>
      <c r="M74" s="12" t="s">
        <v>310</v>
      </c>
      <c r="N74" s="12" t="s">
        <v>310</v>
      </c>
      <c r="O74" s="12" t="s">
        <v>402</v>
      </c>
      <c r="P74" s="12" t="s">
        <v>402</v>
      </c>
      <c r="Q74" s="12" t="s">
        <v>228</v>
      </c>
      <c r="R74" s="12" t="s">
        <v>228</v>
      </c>
      <c r="S74" s="12" t="s">
        <v>228</v>
      </c>
      <c r="T74" s="12" t="s">
        <v>110</v>
      </c>
      <c r="U74" s="12" t="s">
        <v>110</v>
      </c>
      <c r="V74" s="12" t="s">
        <v>324</v>
      </c>
      <c r="W74" s="12" t="s">
        <v>324</v>
      </c>
      <c r="X74" s="12" t="s">
        <v>22</v>
      </c>
      <c r="Y74" s="12" t="s">
        <v>306</v>
      </c>
      <c r="Z74" s="12" t="s">
        <v>328</v>
      </c>
      <c r="AA74" s="12" t="s">
        <v>77</v>
      </c>
      <c r="AB74" s="12">
        <v>14</v>
      </c>
      <c r="AC74" s="12">
        <v>14</v>
      </c>
      <c r="AD74" s="12" t="s">
        <v>328</v>
      </c>
      <c r="AE74" s="12" t="s">
        <v>77</v>
      </c>
      <c r="AF74" s="11">
        <v>46169.533229166656</v>
      </c>
      <c r="AG74" s="11">
        <v>46182.37568287037</v>
      </c>
      <c r="AH74" s="12" t="s">
        <v>435</v>
      </c>
    </row>
    <row r="75" spans="1:34" ht="29" x14ac:dyDescent="0.35">
      <c r="A75" s="11">
        <v>46181.338217592587</v>
      </c>
      <c r="B75" s="11">
        <v>46188.556851851848</v>
      </c>
      <c r="C75" s="12" t="s">
        <v>87</v>
      </c>
      <c r="D75" s="12" t="s">
        <v>103</v>
      </c>
      <c r="E75" s="12" t="s">
        <v>258</v>
      </c>
      <c r="F75" s="12" t="s">
        <v>259</v>
      </c>
      <c r="G75" s="12" t="s">
        <v>259</v>
      </c>
      <c r="H75" s="12" t="s">
        <v>81</v>
      </c>
      <c r="I75" s="12"/>
      <c r="J75" s="12"/>
      <c r="K75" s="12"/>
      <c r="L75" s="12" t="s">
        <v>194</v>
      </c>
      <c r="M75" s="12" t="s">
        <v>260</v>
      </c>
      <c r="N75" s="12" t="s">
        <v>260</v>
      </c>
      <c r="O75" s="12" t="s">
        <v>263</v>
      </c>
      <c r="P75" s="12" t="s">
        <v>264</v>
      </c>
      <c r="Q75" s="12" t="s">
        <v>195</v>
      </c>
      <c r="R75" s="12" t="s">
        <v>195</v>
      </c>
      <c r="S75" s="12" t="s">
        <v>195</v>
      </c>
      <c r="T75" s="12" t="s">
        <v>197</v>
      </c>
      <c r="U75" s="12" t="s">
        <v>99</v>
      </c>
      <c r="V75" s="12" t="s">
        <v>100</v>
      </c>
      <c r="W75" s="12" t="s">
        <v>100</v>
      </c>
      <c r="X75" s="12" t="s">
        <v>24</v>
      </c>
      <c r="Y75" s="12" t="s">
        <v>92</v>
      </c>
      <c r="Z75" s="12" t="s">
        <v>194</v>
      </c>
      <c r="AA75" s="12" t="s">
        <v>260</v>
      </c>
      <c r="AB75" s="12">
        <v>6</v>
      </c>
      <c r="AC75" s="12">
        <v>6</v>
      </c>
      <c r="AD75" s="12" t="s">
        <v>194</v>
      </c>
      <c r="AE75" s="12" t="s">
        <v>260</v>
      </c>
      <c r="AF75" s="11">
        <v>46168.408171296287</v>
      </c>
      <c r="AG75" s="11">
        <v>46181.547129629631</v>
      </c>
      <c r="AH75" s="12" t="s">
        <v>261</v>
      </c>
    </row>
    <row r="76" spans="1:34" ht="29" x14ac:dyDescent="0.35">
      <c r="A76" s="11">
        <v>46181.338217592587</v>
      </c>
      <c r="B76" s="11">
        <v>46188.556851851848</v>
      </c>
      <c r="C76" s="12" t="s">
        <v>87</v>
      </c>
      <c r="D76" s="12" t="s">
        <v>103</v>
      </c>
      <c r="E76" s="12" t="s">
        <v>258</v>
      </c>
      <c r="F76" s="12" t="s">
        <v>259</v>
      </c>
      <c r="G76" s="12" t="s">
        <v>259</v>
      </c>
      <c r="H76" s="12" t="s">
        <v>81</v>
      </c>
      <c r="I76" s="12"/>
      <c r="J76" s="12"/>
      <c r="K76" s="12"/>
      <c r="L76" s="12" t="s">
        <v>194</v>
      </c>
      <c r="M76" s="12" t="s">
        <v>260</v>
      </c>
      <c r="N76" s="12" t="s">
        <v>260</v>
      </c>
      <c r="O76" s="12" t="s">
        <v>263</v>
      </c>
      <c r="P76" s="12" t="s">
        <v>264</v>
      </c>
      <c r="Q76" s="12" t="s">
        <v>195</v>
      </c>
      <c r="R76" s="12" t="s">
        <v>195</v>
      </c>
      <c r="S76" s="12" t="s">
        <v>195</v>
      </c>
      <c r="T76" s="12" t="s">
        <v>197</v>
      </c>
      <c r="U76" s="12" t="s">
        <v>99</v>
      </c>
      <c r="V76" s="12" t="s">
        <v>100</v>
      </c>
      <c r="W76" s="12" t="s">
        <v>100</v>
      </c>
      <c r="X76" s="12" t="s">
        <v>25</v>
      </c>
      <c r="Y76" s="12" t="s">
        <v>262</v>
      </c>
      <c r="Z76" s="12" t="s">
        <v>263</v>
      </c>
      <c r="AA76" s="12" t="s">
        <v>264</v>
      </c>
      <c r="AB76" s="12">
        <v>3</v>
      </c>
      <c r="AC76" s="12">
        <v>4</v>
      </c>
      <c r="AD76" s="12" t="s">
        <v>263</v>
      </c>
      <c r="AE76" s="12" t="s">
        <v>264</v>
      </c>
      <c r="AF76" s="11">
        <v>46168.408171296287</v>
      </c>
      <c r="AG76" s="11">
        <v>46181.547129629631</v>
      </c>
      <c r="AH76" s="12" t="s">
        <v>261</v>
      </c>
    </row>
    <row r="77" spans="1:34" ht="29" x14ac:dyDescent="0.35">
      <c r="A77" s="11">
        <v>46181.338217592587</v>
      </c>
      <c r="B77" s="11">
        <v>46188.556851851848</v>
      </c>
      <c r="C77" s="12" t="s">
        <v>87</v>
      </c>
      <c r="D77" s="12" t="s">
        <v>103</v>
      </c>
      <c r="E77" s="12" t="s">
        <v>258</v>
      </c>
      <c r="F77" s="12" t="s">
        <v>259</v>
      </c>
      <c r="G77" s="12" t="s">
        <v>259</v>
      </c>
      <c r="H77" s="12" t="s">
        <v>81</v>
      </c>
      <c r="I77" s="12"/>
      <c r="J77" s="12"/>
      <c r="K77" s="12"/>
      <c r="L77" s="12" t="s">
        <v>194</v>
      </c>
      <c r="M77" s="12" t="s">
        <v>260</v>
      </c>
      <c r="N77" s="12" t="s">
        <v>260</v>
      </c>
      <c r="O77" s="12" t="s">
        <v>263</v>
      </c>
      <c r="P77" s="12" t="s">
        <v>264</v>
      </c>
      <c r="Q77" s="12" t="s">
        <v>195</v>
      </c>
      <c r="R77" s="12" t="s">
        <v>195</v>
      </c>
      <c r="S77" s="12" t="s">
        <v>195</v>
      </c>
      <c r="T77" s="12" t="s">
        <v>197</v>
      </c>
      <c r="U77" s="12" t="s">
        <v>99</v>
      </c>
      <c r="V77" s="12" t="s">
        <v>100</v>
      </c>
      <c r="W77" s="12" t="s">
        <v>100</v>
      </c>
      <c r="X77" s="12" t="s">
        <v>23</v>
      </c>
      <c r="Y77" s="12" t="s">
        <v>80</v>
      </c>
      <c r="Z77" s="12" t="s">
        <v>197</v>
      </c>
      <c r="AA77" s="12" t="s">
        <v>99</v>
      </c>
      <c r="AB77" s="12">
        <v>11</v>
      </c>
      <c r="AC77" s="12">
        <v>14</v>
      </c>
      <c r="AD77" s="12" t="s">
        <v>197</v>
      </c>
      <c r="AE77" s="12" t="s">
        <v>99</v>
      </c>
      <c r="AF77" s="11">
        <v>46168.408171296287</v>
      </c>
      <c r="AG77" s="11">
        <v>46181.547129629631</v>
      </c>
      <c r="AH77" s="12" t="s">
        <v>261</v>
      </c>
    </row>
    <row r="78" spans="1:34" ht="29" x14ac:dyDescent="0.35">
      <c r="A78" s="11">
        <v>46181.338217592587</v>
      </c>
      <c r="B78" s="11">
        <v>46188.556851851848</v>
      </c>
      <c r="C78" s="12" t="s">
        <v>87</v>
      </c>
      <c r="D78" s="12" t="s">
        <v>103</v>
      </c>
      <c r="E78" s="12" t="s">
        <v>258</v>
      </c>
      <c r="F78" s="12" t="s">
        <v>259</v>
      </c>
      <c r="G78" s="12" t="s">
        <v>259</v>
      </c>
      <c r="H78" s="12" t="s">
        <v>81</v>
      </c>
      <c r="I78" s="12"/>
      <c r="J78" s="12"/>
      <c r="K78" s="12"/>
      <c r="L78" s="12" t="s">
        <v>194</v>
      </c>
      <c r="M78" s="12" t="s">
        <v>260</v>
      </c>
      <c r="N78" s="12" t="s">
        <v>260</v>
      </c>
      <c r="O78" s="12" t="s">
        <v>263</v>
      </c>
      <c r="P78" s="12" t="s">
        <v>264</v>
      </c>
      <c r="Q78" s="12" t="s">
        <v>195</v>
      </c>
      <c r="R78" s="12" t="s">
        <v>195</v>
      </c>
      <c r="S78" s="12" t="s">
        <v>195</v>
      </c>
      <c r="T78" s="12" t="s">
        <v>197</v>
      </c>
      <c r="U78" s="12" t="s">
        <v>99</v>
      </c>
      <c r="V78" s="12" t="s">
        <v>100</v>
      </c>
      <c r="W78" s="12" t="s">
        <v>100</v>
      </c>
      <c r="X78" s="12" t="s">
        <v>26</v>
      </c>
      <c r="Y78" s="12" t="s">
        <v>265</v>
      </c>
      <c r="Z78" s="12" t="s">
        <v>266</v>
      </c>
      <c r="AA78" s="12" t="s">
        <v>267</v>
      </c>
      <c r="AB78" s="12">
        <v>10</v>
      </c>
      <c r="AC78" s="12">
        <v>7</v>
      </c>
      <c r="AD78" s="12" t="s">
        <v>266</v>
      </c>
      <c r="AE78" s="12" t="s">
        <v>267</v>
      </c>
      <c r="AF78" s="11">
        <v>46168.408171296287</v>
      </c>
      <c r="AG78" s="11">
        <v>46181.547129629631</v>
      </c>
      <c r="AH78" s="12" t="s">
        <v>261</v>
      </c>
    </row>
    <row r="79" spans="1:34" ht="29" x14ac:dyDescent="0.35">
      <c r="A79" s="11">
        <v>46181.338217592587</v>
      </c>
      <c r="B79" s="11">
        <v>46188.556851851848</v>
      </c>
      <c r="C79" s="12" t="s">
        <v>87</v>
      </c>
      <c r="D79" s="12" t="s">
        <v>103</v>
      </c>
      <c r="E79" s="12" t="s">
        <v>268</v>
      </c>
      <c r="F79" s="12" t="s">
        <v>269</v>
      </c>
      <c r="G79" s="12" t="s">
        <v>269</v>
      </c>
      <c r="H79" s="12" t="s">
        <v>81</v>
      </c>
      <c r="I79" s="12"/>
      <c r="J79" s="12"/>
      <c r="K79" s="12"/>
      <c r="L79" s="12" t="s">
        <v>194</v>
      </c>
      <c r="M79" s="12" t="s">
        <v>260</v>
      </c>
      <c r="N79" s="12" t="s">
        <v>260</v>
      </c>
      <c r="O79" s="12" t="s">
        <v>263</v>
      </c>
      <c r="P79" s="12" t="s">
        <v>264</v>
      </c>
      <c r="Q79" s="12" t="s">
        <v>195</v>
      </c>
      <c r="R79" s="12" t="s">
        <v>195</v>
      </c>
      <c r="S79" s="12" t="s">
        <v>195</v>
      </c>
      <c r="T79" s="12" t="s">
        <v>197</v>
      </c>
      <c r="U79" s="12" t="s">
        <v>99</v>
      </c>
      <c r="V79" s="12" t="s">
        <v>100</v>
      </c>
      <c r="W79" s="12" t="s">
        <v>100</v>
      </c>
      <c r="X79" s="12" t="s">
        <v>24</v>
      </c>
      <c r="Y79" s="12" t="s">
        <v>92</v>
      </c>
      <c r="Z79" s="12" t="s">
        <v>194</v>
      </c>
      <c r="AA79" s="12" t="s">
        <v>260</v>
      </c>
      <c r="AB79" s="12">
        <v>6</v>
      </c>
      <c r="AC79" s="12">
        <v>6</v>
      </c>
      <c r="AD79" s="12" t="s">
        <v>194</v>
      </c>
      <c r="AE79" s="12" t="s">
        <v>260</v>
      </c>
      <c r="AF79" s="11">
        <v>46168.590578703697</v>
      </c>
      <c r="AG79" s="11">
        <v>46181.648101851853</v>
      </c>
      <c r="AH79" s="12" t="s">
        <v>270</v>
      </c>
    </row>
    <row r="80" spans="1:34" ht="29" x14ac:dyDescent="0.35">
      <c r="A80" s="11">
        <v>46181.338217592587</v>
      </c>
      <c r="B80" s="11">
        <v>46188.556851851848</v>
      </c>
      <c r="C80" s="12" t="s">
        <v>87</v>
      </c>
      <c r="D80" s="12" t="s">
        <v>103</v>
      </c>
      <c r="E80" s="12" t="s">
        <v>268</v>
      </c>
      <c r="F80" s="12" t="s">
        <v>269</v>
      </c>
      <c r="G80" s="12" t="s">
        <v>269</v>
      </c>
      <c r="H80" s="12" t="s">
        <v>81</v>
      </c>
      <c r="I80" s="12"/>
      <c r="J80" s="12"/>
      <c r="K80" s="12"/>
      <c r="L80" s="12" t="s">
        <v>194</v>
      </c>
      <c r="M80" s="12" t="s">
        <v>260</v>
      </c>
      <c r="N80" s="12" t="s">
        <v>260</v>
      </c>
      <c r="O80" s="12" t="s">
        <v>263</v>
      </c>
      <c r="P80" s="12" t="s">
        <v>264</v>
      </c>
      <c r="Q80" s="12" t="s">
        <v>195</v>
      </c>
      <c r="R80" s="12" t="s">
        <v>195</v>
      </c>
      <c r="S80" s="12" t="s">
        <v>195</v>
      </c>
      <c r="T80" s="12" t="s">
        <v>197</v>
      </c>
      <c r="U80" s="12" t="s">
        <v>99</v>
      </c>
      <c r="V80" s="12" t="s">
        <v>100</v>
      </c>
      <c r="W80" s="12" t="s">
        <v>100</v>
      </c>
      <c r="X80" s="12" t="s">
        <v>25</v>
      </c>
      <c r="Y80" s="12" t="s">
        <v>262</v>
      </c>
      <c r="Z80" s="12" t="s">
        <v>263</v>
      </c>
      <c r="AA80" s="12" t="s">
        <v>264</v>
      </c>
      <c r="AB80" s="12">
        <v>3</v>
      </c>
      <c r="AC80" s="12">
        <v>4</v>
      </c>
      <c r="AD80" s="12" t="s">
        <v>263</v>
      </c>
      <c r="AE80" s="12" t="s">
        <v>264</v>
      </c>
      <c r="AF80" s="11">
        <v>46168.590578703697</v>
      </c>
      <c r="AG80" s="11">
        <v>46181.648101851853</v>
      </c>
      <c r="AH80" s="12" t="s">
        <v>270</v>
      </c>
    </row>
    <row r="81" spans="1:34" ht="29" x14ac:dyDescent="0.35">
      <c r="A81" s="11">
        <v>46181.338217592587</v>
      </c>
      <c r="B81" s="11">
        <v>46188.556851851848</v>
      </c>
      <c r="C81" s="12" t="s">
        <v>87</v>
      </c>
      <c r="D81" s="12" t="s">
        <v>103</v>
      </c>
      <c r="E81" s="12" t="s">
        <v>268</v>
      </c>
      <c r="F81" s="12" t="s">
        <v>269</v>
      </c>
      <c r="G81" s="12" t="s">
        <v>269</v>
      </c>
      <c r="H81" s="12" t="s">
        <v>81</v>
      </c>
      <c r="I81" s="12"/>
      <c r="J81" s="12"/>
      <c r="K81" s="12"/>
      <c r="L81" s="12" t="s">
        <v>194</v>
      </c>
      <c r="M81" s="12" t="s">
        <v>260</v>
      </c>
      <c r="N81" s="12" t="s">
        <v>260</v>
      </c>
      <c r="O81" s="12" t="s">
        <v>263</v>
      </c>
      <c r="P81" s="12" t="s">
        <v>264</v>
      </c>
      <c r="Q81" s="12" t="s">
        <v>195</v>
      </c>
      <c r="R81" s="12" t="s">
        <v>195</v>
      </c>
      <c r="S81" s="12" t="s">
        <v>195</v>
      </c>
      <c r="T81" s="12" t="s">
        <v>197</v>
      </c>
      <c r="U81" s="12" t="s">
        <v>99</v>
      </c>
      <c r="V81" s="12" t="s">
        <v>100</v>
      </c>
      <c r="W81" s="12" t="s">
        <v>100</v>
      </c>
      <c r="X81" s="12" t="s">
        <v>23</v>
      </c>
      <c r="Y81" s="12" t="s">
        <v>80</v>
      </c>
      <c r="Z81" s="12" t="s">
        <v>197</v>
      </c>
      <c r="AA81" s="12" t="s">
        <v>99</v>
      </c>
      <c r="AB81" s="12">
        <v>11</v>
      </c>
      <c r="AC81" s="12">
        <v>14</v>
      </c>
      <c r="AD81" s="12" t="s">
        <v>197</v>
      </c>
      <c r="AE81" s="12" t="s">
        <v>99</v>
      </c>
      <c r="AF81" s="11">
        <v>46168.590578703697</v>
      </c>
      <c r="AG81" s="11">
        <v>46181.648101851853</v>
      </c>
      <c r="AH81" s="12" t="s">
        <v>270</v>
      </c>
    </row>
    <row r="82" spans="1:34" ht="29" x14ac:dyDescent="0.35">
      <c r="A82" s="11">
        <v>46181.338217592587</v>
      </c>
      <c r="B82" s="11">
        <v>46188.556851851848</v>
      </c>
      <c r="C82" s="12" t="s">
        <v>87</v>
      </c>
      <c r="D82" s="12" t="s">
        <v>103</v>
      </c>
      <c r="E82" s="12" t="s">
        <v>268</v>
      </c>
      <c r="F82" s="12" t="s">
        <v>269</v>
      </c>
      <c r="G82" s="12" t="s">
        <v>269</v>
      </c>
      <c r="H82" s="12" t="s">
        <v>81</v>
      </c>
      <c r="I82" s="12"/>
      <c r="J82" s="12"/>
      <c r="K82" s="12"/>
      <c r="L82" s="12" t="s">
        <v>194</v>
      </c>
      <c r="M82" s="12" t="s">
        <v>260</v>
      </c>
      <c r="N82" s="12" t="s">
        <v>260</v>
      </c>
      <c r="O82" s="12" t="s">
        <v>263</v>
      </c>
      <c r="P82" s="12" t="s">
        <v>264</v>
      </c>
      <c r="Q82" s="12" t="s">
        <v>195</v>
      </c>
      <c r="R82" s="12" t="s">
        <v>195</v>
      </c>
      <c r="S82" s="12" t="s">
        <v>195</v>
      </c>
      <c r="T82" s="12" t="s">
        <v>197</v>
      </c>
      <c r="U82" s="12" t="s">
        <v>99</v>
      </c>
      <c r="V82" s="12" t="s">
        <v>100</v>
      </c>
      <c r="W82" s="12" t="s">
        <v>100</v>
      </c>
      <c r="X82" s="12" t="s">
        <v>26</v>
      </c>
      <c r="Y82" s="12" t="s">
        <v>265</v>
      </c>
      <c r="Z82" s="12" t="s">
        <v>266</v>
      </c>
      <c r="AA82" s="12" t="s">
        <v>267</v>
      </c>
      <c r="AB82" s="12">
        <v>10</v>
      </c>
      <c r="AC82" s="12">
        <v>7</v>
      </c>
      <c r="AD82" s="12" t="s">
        <v>266</v>
      </c>
      <c r="AE82" s="12" t="s">
        <v>267</v>
      </c>
      <c r="AF82" s="11">
        <v>46168.590578703697</v>
      </c>
      <c r="AG82" s="11">
        <v>46181.648101851853</v>
      </c>
      <c r="AH82" s="12" t="s">
        <v>270</v>
      </c>
    </row>
    <row r="83" spans="1:34" ht="29" x14ac:dyDescent="0.35">
      <c r="A83" s="11">
        <v>46181.338217592587</v>
      </c>
      <c r="B83" s="11">
        <v>46188.556851851848</v>
      </c>
      <c r="C83" s="12" t="s">
        <v>87</v>
      </c>
      <c r="D83" s="12" t="s">
        <v>103</v>
      </c>
      <c r="E83" s="12" t="s">
        <v>271</v>
      </c>
      <c r="F83" s="12" t="s">
        <v>272</v>
      </c>
      <c r="G83" s="12" t="s">
        <v>272</v>
      </c>
      <c r="H83" s="12" t="s">
        <v>81</v>
      </c>
      <c r="I83" s="12"/>
      <c r="J83" s="12"/>
      <c r="K83" s="12"/>
      <c r="L83" s="12" t="s">
        <v>194</v>
      </c>
      <c r="M83" s="12" t="s">
        <v>260</v>
      </c>
      <c r="N83" s="12" t="s">
        <v>260</v>
      </c>
      <c r="O83" s="12" t="s">
        <v>263</v>
      </c>
      <c r="P83" s="12" t="s">
        <v>264</v>
      </c>
      <c r="Q83" s="12" t="s">
        <v>195</v>
      </c>
      <c r="R83" s="12" t="s">
        <v>195</v>
      </c>
      <c r="S83" s="12" t="s">
        <v>195</v>
      </c>
      <c r="T83" s="12" t="s">
        <v>197</v>
      </c>
      <c r="U83" s="12" t="s">
        <v>99</v>
      </c>
      <c r="V83" s="12" t="s">
        <v>100</v>
      </c>
      <c r="W83" s="12" t="s">
        <v>100</v>
      </c>
      <c r="X83" s="12" t="s">
        <v>24</v>
      </c>
      <c r="Y83" s="12" t="s">
        <v>92</v>
      </c>
      <c r="Z83" s="12" t="s">
        <v>194</v>
      </c>
      <c r="AA83" s="12" t="s">
        <v>260</v>
      </c>
      <c r="AB83" s="12">
        <v>6</v>
      </c>
      <c r="AC83" s="12">
        <v>6</v>
      </c>
      <c r="AD83" s="12" t="s">
        <v>194</v>
      </c>
      <c r="AE83" s="12" t="s">
        <v>260</v>
      </c>
      <c r="AF83" s="11">
        <v>46168.592812499999</v>
      </c>
      <c r="AG83" s="11">
        <v>46182.650821759264</v>
      </c>
      <c r="AH83" s="12" t="s">
        <v>273</v>
      </c>
    </row>
    <row r="84" spans="1:34" ht="29" x14ac:dyDescent="0.35">
      <c r="A84" s="11">
        <v>46181.338217592587</v>
      </c>
      <c r="B84" s="11">
        <v>46188.556851851848</v>
      </c>
      <c r="C84" s="12" t="s">
        <v>87</v>
      </c>
      <c r="D84" s="12" t="s">
        <v>103</v>
      </c>
      <c r="E84" s="12" t="s">
        <v>271</v>
      </c>
      <c r="F84" s="12" t="s">
        <v>272</v>
      </c>
      <c r="G84" s="12" t="s">
        <v>272</v>
      </c>
      <c r="H84" s="12" t="s">
        <v>81</v>
      </c>
      <c r="I84" s="12"/>
      <c r="J84" s="12"/>
      <c r="K84" s="12"/>
      <c r="L84" s="12" t="s">
        <v>194</v>
      </c>
      <c r="M84" s="12" t="s">
        <v>260</v>
      </c>
      <c r="N84" s="12" t="s">
        <v>260</v>
      </c>
      <c r="O84" s="12" t="s">
        <v>263</v>
      </c>
      <c r="P84" s="12" t="s">
        <v>264</v>
      </c>
      <c r="Q84" s="12" t="s">
        <v>195</v>
      </c>
      <c r="R84" s="12" t="s">
        <v>195</v>
      </c>
      <c r="S84" s="12" t="s">
        <v>195</v>
      </c>
      <c r="T84" s="12" t="s">
        <v>197</v>
      </c>
      <c r="U84" s="12" t="s">
        <v>99</v>
      </c>
      <c r="V84" s="12" t="s">
        <v>100</v>
      </c>
      <c r="W84" s="12" t="s">
        <v>100</v>
      </c>
      <c r="X84" s="12" t="s">
        <v>25</v>
      </c>
      <c r="Y84" s="12" t="s">
        <v>262</v>
      </c>
      <c r="Z84" s="12" t="s">
        <v>263</v>
      </c>
      <c r="AA84" s="12" t="s">
        <v>264</v>
      </c>
      <c r="AB84" s="12">
        <v>3</v>
      </c>
      <c r="AC84" s="12">
        <v>4</v>
      </c>
      <c r="AD84" s="12" t="s">
        <v>263</v>
      </c>
      <c r="AE84" s="12" t="s">
        <v>264</v>
      </c>
      <c r="AF84" s="11">
        <v>46168.592812499999</v>
      </c>
      <c r="AG84" s="11">
        <v>46182.650821759264</v>
      </c>
      <c r="AH84" s="12" t="s">
        <v>273</v>
      </c>
    </row>
    <row r="85" spans="1:34" ht="29" x14ac:dyDescent="0.35">
      <c r="A85" s="11">
        <v>46181.338217592587</v>
      </c>
      <c r="B85" s="11">
        <v>46188.556851851848</v>
      </c>
      <c r="C85" s="12" t="s">
        <v>87</v>
      </c>
      <c r="D85" s="12" t="s">
        <v>103</v>
      </c>
      <c r="E85" s="12" t="s">
        <v>271</v>
      </c>
      <c r="F85" s="12" t="s">
        <v>272</v>
      </c>
      <c r="G85" s="12" t="s">
        <v>272</v>
      </c>
      <c r="H85" s="12" t="s">
        <v>81</v>
      </c>
      <c r="I85" s="12"/>
      <c r="J85" s="12"/>
      <c r="K85" s="12"/>
      <c r="L85" s="12" t="s">
        <v>194</v>
      </c>
      <c r="M85" s="12" t="s">
        <v>260</v>
      </c>
      <c r="N85" s="12" t="s">
        <v>260</v>
      </c>
      <c r="O85" s="12" t="s">
        <v>263</v>
      </c>
      <c r="P85" s="12" t="s">
        <v>264</v>
      </c>
      <c r="Q85" s="12" t="s">
        <v>195</v>
      </c>
      <c r="R85" s="12" t="s">
        <v>195</v>
      </c>
      <c r="S85" s="12" t="s">
        <v>195</v>
      </c>
      <c r="T85" s="12" t="s">
        <v>197</v>
      </c>
      <c r="U85" s="12" t="s">
        <v>99</v>
      </c>
      <c r="V85" s="12" t="s">
        <v>100</v>
      </c>
      <c r="W85" s="12" t="s">
        <v>100</v>
      </c>
      <c r="X85" s="12" t="s">
        <v>23</v>
      </c>
      <c r="Y85" s="12" t="s">
        <v>80</v>
      </c>
      <c r="Z85" s="12" t="s">
        <v>197</v>
      </c>
      <c r="AA85" s="12" t="s">
        <v>99</v>
      </c>
      <c r="AB85" s="12">
        <v>11</v>
      </c>
      <c r="AC85" s="12">
        <v>14</v>
      </c>
      <c r="AD85" s="12" t="s">
        <v>197</v>
      </c>
      <c r="AE85" s="12" t="s">
        <v>99</v>
      </c>
      <c r="AF85" s="11">
        <v>46168.592812499999</v>
      </c>
      <c r="AG85" s="11">
        <v>46182.650821759264</v>
      </c>
      <c r="AH85" s="12" t="s">
        <v>273</v>
      </c>
    </row>
    <row r="86" spans="1:34" ht="29" x14ac:dyDescent="0.35">
      <c r="A86" s="11">
        <v>46181.338217592587</v>
      </c>
      <c r="B86" s="11">
        <v>46188.556851851848</v>
      </c>
      <c r="C86" s="12" t="s">
        <v>87</v>
      </c>
      <c r="D86" s="12" t="s">
        <v>103</v>
      </c>
      <c r="E86" s="12" t="s">
        <v>271</v>
      </c>
      <c r="F86" s="12" t="s">
        <v>272</v>
      </c>
      <c r="G86" s="12" t="s">
        <v>272</v>
      </c>
      <c r="H86" s="12" t="s">
        <v>81</v>
      </c>
      <c r="I86" s="12"/>
      <c r="J86" s="12"/>
      <c r="K86" s="12"/>
      <c r="L86" s="12" t="s">
        <v>194</v>
      </c>
      <c r="M86" s="12" t="s">
        <v>260</v>
      </c>
      <c r="N86" s="12" t="s">
        <v>260</v>
      </c>
      <c r="O86" s="12" t="s">
        <v>263</v>
      </c>
      <c r="P86" s="12" t="s">
        <v>264</v>
      </c>
      <c r="Q86" s="12" t="s">
        <v>195</v>
      </c>
      <c r="R86" s="12" t="s">
        <v>195</v>
      </c>
      <c r="S86" s="12" t="s">
        <v>195</v>
      </c>
      <c r="T86" s="12" t="s">
        <v>197</v>
      </c>
      <c r="U86" s="12" t="s">
        <v>99</v>
      </c>
      <c r="V86" s="12" t="s">
        <v>100</v>
      </c>
      <c r="W86" s="12" t="s">
        <v>100</v>
      </c>
      <c r="X86" s="12" t="s">
        <v>26</v>
      </c>
      <c r="Y86" s="12" t="s">
        <v>265</v>
      </c>
      <c r="Z86" s="12" t="s">
        <v>266</v>
      </c>
      <c r="AA86" s="12" t="s">
        <v>267</v>
      </c>
      <c r="AB86" s="12">
        <v>10</v>
      </c>
      <c r="AC86" s="12">
        <v>7</v>
      </c>
      <c r="AD86" s="12" t="s">
        <v>266</v>
      </c>
      <c r="AE86" s="12" t="s">
        <v>267</v>
      </c>
      <c r="AF86" s="11">
        <v>46168.592812499999</v>
      </c>
      <c r="AG86" s="11">
        <v>46182.650821759264</v>
      </c>
      <c r="AH86" s="12" t="s">
        <v>273</v>
      </c>
    </row>
    <row r="87" spans="1:34" ht="29" x14ac:dyDescent="0.35">
      <c r="A87" s="11">
        <v>46181.338217592587</v>
      </c>
      <c r="B87" s="11">
        <v>46188.556851851848</v>
      </c>
      <c r="C87" s="12" t="s">
        <v>87</v>
      </c>
      <c r="D87" s="12" t="s">
        <v>103</v>
      </c>
      <c r="E87" s="12" t="s">
        <v>271</v>
      </c>
      <c r="F87" s="12" t="s">
        <v>272</v>
      </c>
      <c r="G87" s="12" t="s">
        <v>272</v>
      </c>
      <c r="H87" s="12" t="s">
        <v>81</v>
      </c>
      <c r="I87" s="12"/>
      <c r="J87" s="12"/>
      <c r="K87" s="12"/>
      <c r="L87" s="12" t="s">
        <v>194</v>
      </c>
      <c r="M87" s="12" t="s">
        <v>260</v>
      </c>
      <c r="N87" s="12" t="s">
        <v>260</v>
      </c>
      <c r="O87" s="12" t="s">
        <v>263</v>
      </c>
      <c r="P87" s="12" t="s">
        <v>264</v>
      </c>
      <c r="Q87" s="12" t="s">
        <v>195</v>
      </c>
      <c r="R87" s="12" t="s">
        <v>195</v>
      </c>
      <c r="S87" s="12" t="s">
        <v>195</v>
      </c>
      <c r="T87" s="12" t="s">
        <v>197</v>
      </c>
      <c r="U87" s="12" t="s">
        <v>99</v>
      </c>
      <c r="V87" s="12" t="s">
        <v>100</v>
      </c>
      <c r="W87" s="12" t="s">
        <v>100</v>
      </c>
      <c r="X87" s="12" t="s">
        <v>27</v>
      </c>
      <c r="Y87" s="12" t="s">
        <v>206</v>
      </c>
      <c r="Z87" s="12" t="s">
        <v>207</v>
      </c>
      <c r="AA87" s="12" t="s">
        <v>208</v>
      </c>
      <c r="AB87" s="12">
        <v>0</v>
      </c>
      <c r="AC87" s="12">
        <v>1</v>
      </c>
      <c r="AD87" s="12" t="s">
        <v>207</v>
      </c>
      <c r="AE87" s="12" t="s">
        <v>208</v>
      </c>
      <c r="AF87" s="11">
        <v>46168.592812499999</v>
      </c>
      <c r="AG87" s="11">
        <v>46182.650821759264</v>
      </c>
      <c r="AH87" s="12" t="s">
        <v>273</v>
      </c>
    </row>
    <row r="88" spans="1:34" ht="29" x14ac:dyDescent="0.35">
      <c r="A88" s="11">
        <v>46181.338217592587</v>
      </c>
      <c r="B88" s="11">
        <v>46188.556851851848</v>
      </c>
      <c r="C88" s="12" t="s">
        <v>87</v>
      </c>
      <c r="D88" s="12" t="s">
        <v>103</v>
      </c>
      <c r="E88" s="12" t="s">
        <v>274</v>
      </c>
      <c r="F88" s="12" t="s">
        <v>275</v>
      </c>
      <c r="G88" s="12" t="s">
        <v>275</v>
      </c>
      <c r="H88" s="12" t="s">
        <v>81</v>
      </c>
      <c r="I88" s="12"/>
      <c r="J88" s="12"/>
      <c r="K88" s="12"/>
      <c r="L88" s="12" t="s">
        <v>194</v>
      </c>
      <c r="M88" s="12" t="s">
        <v>260</v>
      </c>
      <c r="N88" s="12" t="s">
        <v>260</v>
      </c>
      <c r="O88" s="12" t="s">
        <v>263</v>
      </c>
      <c r="P88" s="12" t="s">
        <v>264</v>
      </c>
      <c r="Q88" s="12" t="s">
        <v>195</v>
      </c>
      <c r="R88" s="12" t="s">
        <v>195</v>
      </c>
      <c r="S88" s="12" t="s">
        <v>195</v>
      </c>
      <c r="T88" s="12" t="s">
        <v>197</v>
      </c>
      <c r="U88" s="12" t="s">
        <v>99</v>
      </c>
      <c r="V88" s="12" t="s">
        <v>100</v>
      </c>
      <c r="W88" s="12" t="s">
        <v>100</v>
      </c>
      <c r="X88" s="12" t="s">
        <v>24</v>
      </c>
      <c r="Y88" s="12" t="s">
        <v>92</v>
      </c>
      <c r="Z88" s="12" t="s">
        <v>194</v>
      </c>
      <c r="AA88" s="12" t="s">
        <v>260</v>
      </c>
      <c r="AB88" s="12">
        <v>6</v>
      </c>
      <c r="AC88" s="12">
        <v>6</v>
      </c>
      <c r="AD88" s="12" t="s">
        <v>194</v>
      </c>
      <c r="AE88" s="12" t="s">
        <v>260</v>
      </c>
      <c r="AF88" s="11">
        <v>46168.596678240741</v>
      </c>
      <c r="AG88" s="11">
        <v>46185.594050925924</v>
      </c>
      <c r="AH88" s="12" t="s">
        <v>276</v>
      </c>
    </row>
    <row r="89" spans="1:34" ht="29" x14ac:dyDescent="0.35">
      <c r="A89" s="11">
        <v>46181.338217592587</v>
      </c>
      <c r="B89" s="11">
        <v>46188.556851851848</v>
      </c>
      <c r="C89" s="12" t="s">
        <v>87</v>
      </c>
      <c r="D89" s="12" t="s">
        <v>103</v>
      </c>
      <c r="E89" s="12" t="s">
        <v>274</v>
      </c>
      <c r="F89" s="12" t="s">
        <v>275</v>
      </c>
      <c r="G89" s="12" t="s">
        <v>275</v>
      </c>
      <c r="H89" s="12" t="s">
        <v>81</v>
      </c>
      <c r="I89" s="12"/>
      <c r="J89" s="12"/>
      <c r="K89" s="12"/>
      <c r="L89" s="12" t="s">
        <v>194</v>
      </c>
      <c r="M89" s="12" t="s">
        <v>260</v>
      </c>
      <c r="N89" s="12" t="s">
        <v>260</v>
      </c>
      <c r="O89" s="12" t="s">
        <v>263</v>
      </c>
      <c r="P89" s="12" t="s">
        <v>264</v>
      </c>
      <c r="Q89" s="12" t="s">
        <v>195</v>
      </c>
      <c r="R89" s="12" t="s">
        <v>195</v>
      </c>
      <c r="S89" s="12" t="s">
        <v>195</v>
      </c>
      <c r="T89" s="12" t="s">
        <v>197</v>
      </c>
      <c r="U89" s="12" t="s">
        <v>99</v>
      </c>
      <c r="V89" s="12" t="s">
        <v>100</v>
      </c>
      <c r="W89" s="12" t="s">
        <v>100</v>
      </c>
      <c r="X89" s="12" t="s">
        <v>25</v>
      </c>
      <c r="Y89" s="12" t="s">
        <v>262</v>
      </c>
      <c r="Z89" s="12" t="s">
        <v>263</v>
      </c>
      <c r="AA89" s="12" t="s">
        <v>264</v>
      </c>
      <c r="AB89" s="12">
        <v>3</v>
      </c>
      <c r="AC89" s="12">
        <v>4</v>
      </c>
      <c r="AD89" s="12" t="s">
        <v>263</v>
      </c>
      <c r="AE89" s="12" t="s">
        <v>264</v>
      </c>
      <c r="AF89" s="11">
        <v>46168.596678240741</v>
      </c>
      <c r="AG89" s="11">
        <v>46185.594050925924</v>
      </c>
      <c r="AH89" s="12" t="s">
        <v>276</v>
      </c>
    </row>
    <row r="90" spans="1:34" ht="29" x14ac:dyDescent="0.35">
      <c r="A90" s="11">
        <v>46181.338217592587</v>
      </c>
      <c r="B90" s="11">
        <v>46188.556851851848</v>
      </c>
      <c r="C90" s="12" t="s">
        <v>87</v>
      </c>
      <c r="D90" s="12" t="s">
        <v>103</v>
      </c>
      <c r="E90" s="12" t="s">
        <v>274</v>
      </c>
      <c r="F90" s="12" t="s">
        <v>275</v>
      </c>
      <c r="G90" s="12" t="s">
        <v>275</v>
      </c>
      <c r="H90" s="12" t="s">
        <v>81</v>
      </c>
      <c r="I90" s="12"/>
      <c r="J90" s="12"/>
      <c r="K90" s="12"/>
      <c r="L90" s="12" t="s">
        <v>194</v>
      </c>
      <c r="M90" s="12" t="s">
        <v>260</v>
      </c>
      <c r="N90" s="12" t="s">
        <v>260</v>
      </c>
      <c r="O90" s="12" t="s">
        <v>263</v>
      </c>
      <c r="P90" s="12" t="s">
        <v>264</v>
      </c>
      <c r="Q90" s="12" t="s">
        <v>195</v>
      </c>
      <c r="R90" s="12" t="s">
        <v>195</v>
      </c>
      <c r="S90" s="12" t="s">
        <v>195</v>
      </c>
      <c r="T90" s="12" t="s">
        <v>197</v>
      </c>
      <c r="U90" s="12" t="s">
        <v>99</v>
      </c>
      <c r="V90" s="12" t="s">
        <v>100</v>
      </c>
      <c r="W90" s="12" t="s">
        <v>100</v>
      </c>
      <c r="X90" s="12" t="s">
        <v>23</v>
      </c>
      <c r="Y90" s="12" t="s">
        <v>80</v>
      </c>
      <c r="Z90" s="12" t="s">
        <v>197</v>
      </c>
      <c r="AA90" s="12" t="s">
        <v>99</v>
      </c>
      <c r="AB90" s="12">
        <v>11</v>
      </c>
      <c r="AC90" s="12">
        <v>14</v>
      </c>
      <c r="AD90" s="12" t="s">
        <v>197</v>
      </c>
      <c r="AE90" s="12" t="s">
        <v>99</v>
      </c>
      <c r="AF90" s="11">
        <v>46168.596678240741</v>
      </c>
      <c r="AG90" s="11">
        <v>46185.594050925924</v>
      </c>
      <c r="AH90" s="12" t="s">
        <v>276</v>
      </c>
    </row>
    <row r="91" spans="1:34" ht="29" x14ac:dyDescent="0.35">
      <c r="A91" s="11">
        <v>46181.338217592587</v>
      </c>
      <c r="B91" s="11">
        <v>46188.556851851848</v>
      </c>
      <c r="C91" s="12" t="s">
        <v>87</v>
      </c>
      <c r="D91" s="12" t="s">
        <v>103</v>
      </c>
      <c r="E91" s="12" t="s">
        <v>274</v>
      </c>
      <c r="F91" s="12" t="s">
        <v>275</v>
      </c>
      <c r="G91" s="12" t="s">
        <v>275</v>
      </c>
      <c r="H91" s="12" t="s">
        <v>81</v>
      </c>
      <c r="I91" s="12"/>
      <c r="J91" s="12"/>
      <c r="K91" s="12"/>
      <c r="L91" s="12" t="s">
        <v>194</v>
      </c>
      <c r="M91" s="12" t="s">
        <v>260</v>
      </c>
      <c r="N91" s="12" t="s">
        <v>260</v>
      </c>
      <c r="O91" s="12" t="s">
        <v>263</v>
      </c>
      <c r="P91" s="12" t="s">
        <v>264</v>
      </c>
      <c r="Q91" s="12" t="s">
        <v>195</v>
      </c>
      <c r="R91" s="12" t="s">
        <v>195</v>
      </c>
      <c r="S91" s="12" t="s">
        <v>195</v>
      </c>
      <c r="T91" s="12" t="s">
        <v>197</v>
      </c>
      <c r="U91" s="12" t="s">
        <v>99</v>
      </c>
      <c r="V91" s="12" t="s">
        <v>100</v>
      </c>
      <c r="W91" s="12" t="s">
        <v>100</v>
      </c>
      <c r="X91" s="12" t="s">
        <v>26</v>
      </c>
      <c r="Y91" s="12" t="s">
        <v>265</v>
      </c>
      <c r="Z91" s="12" t="s">
        <v>266</v>
      </c>
      <c r="AA91" s="12" t="s">
        <v>267</v>
      </c>
      <c r="AB91" s="12">
        <v>10</v>
      </c>
      <c r="AC91" s="12">
        <v>7</v>
      </c>
      <c r="AD91" s="12" t="s">
        <v>266</v>
      </c>
      <c r="AE91" s="12" t="s">
        <v>267</v>
      </c>
      <c r="AF91" s="11">
        <v>46168.596678240741</v>
      </c>
      <c r="AG91" s="11">
        <v>46185.594050925924</v>
      </c>
      <c r="AH91" s="12" t="s">
        <v>276</v>
      </c>
    </row>
    <row r="92" spans="1:34" ht="29" x14ac:dyDescent="0.35">
      <c r="A92" s="11">
        <v>46181.338217592587</v>
      </c>
      <c r="B92" s="11">
        <v>46188.556851851848</v>
      </c>
      <c r="C92" s="12" t="s">
        <v>87</v>
      </c>
      <c r="D92" s="12" t="s">
        <v>103</v>
      </c>
      <c r="E92" s="12" t="s">
        <v>274</v>
      </c>
      <c r="F92" s="12" t="s">
        <v>275</v>
      </c>
      <c r="G92" s="12" t="s">
        <v>275</v>
      </c>
      <c r="H92" s="12" t="s">
        <v>81</v>
      </c>
      <c r="I92" s="12"/>
      <c r="J92" s="12"/>
      <c r="K92" s="12"/>
      <c r="L92" s="12" t="s">
        <v>194</v>
      </c>
      <c r="M92" s="12" t="s">
        <v>260</v>
      </c>
      <c r="N92" s="12" t="s">
        <v>260</v>
      </c>
      <c r="O92" s="12" t="s">
        <v>263</v>
      </c>
      <c r="P92" s="12" t="s">
        <v>264</v>
      </c>
      <c r="Q92" s="12" t="s">
        <v>195</v>
      </c>
      <c r="R92" s="12" t="s">
        <v>195</v>
      </c>
      <c r="S92" s="12" t="s">
        <v>195</v>
      </c>
      <c r="T92" s="12" t="s">
        <v>197</v>
      </c>
      <c r="U92" s="12" t="s">
        <v>99</v>
      </c>
      <c r="V92" s="12" t="s">
        <v>100</v>
      </c>
      <c r="W92" s="12" t="s">
        <v>100</v>
      </c>
      <c r="X92" s="12" t="s">
        <v>27</v>
      </c>
      <c r="Y92" s="12" t="s">
        <v>206</v>
      </c>
      <c r="Z92" s="12" t="s">
        <v>207</v>
      </c>
      <c r="AA92" s="12" t="s">
        <v>208</v>
      </c>
      <c r="AB92" s="12">
        <v>0</v>
      </c>
      <c r="AC92" s="12">
        <v>1</v>
      </c>
      <c r="AD92" s="12" t="s">
        <v>207</v>
      </c>
      <c r="AE92" s="12" t="s">
        <v>208</v>
      </c>
      <c r="AF92" s="11">
        <v>46168.596678240741</v>
      </c>
      <c r="AG92" s="11">
        <v>46185.594050925924</v>
      </c>
      <c r="AH92" s="12" t="s">
        <v>276</v>
      </c>
    </row>
    <row r="93" spans="1:34" ht="29" x14ac:dyDescent="0.35">
      <c r="A93" s="11">
        <v>46181.338217592587</v>
      </c>
      <c r="B93" s="11">
        <v>46188.556851851848</v>
      </c>
      <c r="C93" s="12" t="s">
        <v>87</v>
      </c>
      <c r="D93" s="12" t="s">
        <v>103</v>
      </c>
      <c r="E93" s="12" t="s">
        <v>277</v>
      </c>
      <c r="F93" s="12" t="s">
        <v>278</v>
      </c>
      <c r="G93" s="12" t="s">
        <v>278</v>
      </c>
      <c r="H93" s="12" t="s">
        <v>81</v>
      </c>
      <c r="I93" s="12"/>
      <c r="J93" s="12"/>
      <c r="K93" s="12"/>
      <c r="L93" s="12" t="s">
        <v>194</v>
      </c>
      <c r="M93" s="12" t="s">
        <v>260</v>
      </c>
      <c r="N93" s="12" t="s">
        <v>260</v>
      </c>
      <c r="O93" s="12" t="s">
        <v>263</v>
      </c>
      <c r="P93" s="12" t="s">
        <v>264</v>
      </c>
      <c r="Q93" s="12" t="s">
        <v>195</v>
      </c>
      <c r="R93" s="12" t="s">
        <v>195</v>
      </c>
      <c r="S93" s="12" t="s">
        <v>195</v>
      </c>
      <c r="T93" s="12" t="s">
        <v>197</v>
      </c>
      <c r="U93" s="12" t="s">
        <v>99</v>
      </c>
      <c r="V93" s="12" t="s">
        <v>100</v>
      </c>
      <c r="W93" s="12" t="s">
        <v>100</v>
      </c>
      <c r="X93" s="12" t="s">
        <v>24</v>
      </c>
      <c r="Y93" s="12" t="s">
        <v>92</v>
      </c>
      <c r="Z93" s="12" t="s">
        <v>194</v>
      </c>
      <c r="AA93" s="12" t="s">
        <v>260</v>
      </c>
      <c r="AB93" s="12">
        <v>6</v>
      </c>
      <c r="AC93" s="12">
        <v>6</v>
      </c>
      <c r="AD93" s="12" t="s">
        <v>194</v>
      </c>
      <c r="AE93" s="12" t="s">
        <v>260</v>
      </c>
      <c r="AF93" s="11">
        <v>46168.597546296303</v>
      </c>
      <c r="AG93" s="11">
        <v>46185.604259259257</v>
      </c>
      <c r="AH93" s="12" t="s">
        <v>279</v>
      </c>
    </row>
    <row r="94" spans="1:34" ht="29" x14ac:dyDescent="0.35">
      <c r="A94" s="11">
        <v>46181.338217592587</v>
      </c>
      <c r="B94" s="11">
        <v>46188.556851851848</v>
      </c>
      <c r="C94" s="12" t="s">
        <v>87</v>
      </c>
      <c r="D94" s="12" t="s">
        <v>103</v>
      </c>
      <c r="E94" s="12" t="s">
        <v>277</v>
      </c>
      <c r="F94" s="12" t="s">
        <v>278</v>
      </c>
      <c r="G94" s="12" t="s">
        <v>278</v>
      </c>
      <c r="H94" s="12" t="s">
        <v>81</v>
      </c>
      <c r="I94" s="12"/>
      <c r="J94" s="12"/>
      <c r="K94" s="12"/>
      <c r="L94" s="12" t="s">
        <v>194</v>
      </c>
      <c r="M94" s="12" t="s">
        <v>260</v>
      </c>
      <c r="N94" s="12" t="s">
        <v>260</v>
      </c>
      <c r="O94" s="12" t="s">
        <v>263</v>
      </c>
      <c r="P94" s="12" t="s">
        <v>264</v>
      </c>
      <c r="Q94" s="12" t="s">
        <v>195</v>
      </c>
      <c r="R94" s="12" t="s">
        <v>195</v>
      </c>
      <c r="S94" s="12" t="s">
        <v>195</v>
      </c>
      <c r="T94" s="12" t="s">
        <v>197</v>
      </c>
      <c r="U94" s="12" t="s">
        <v>99</v>
      </c>
      <c r="V94" s="12" t="s">
        <v>100</v>
      </c>
      <c r="W94" s="12" t="s">
        <v>100</v>
      </c>
      <c r="X94" s="12" t="s">
        <v>25</v>
      </c>
      <c r="Y94" s="12" t="s">
        <v>262</v>
      </c>
      <c r="Z94" s="12" t="s">
        <v>263</v>
      </c>
      <c r="AA94" s="12" t="s">
        <v>264</v>
      </c>
      <c r="AB94" s="12">
        <v>3</v>
      </c>
      <c r="AC94" s="12">
        <v>4</v>
      </c>
      <c r="AD94" s="12" t="s">
        <v>263</v>
      </c>
      <c r="AE94" s="12" t="s">
        <v>264</v>
      </c>
      <c r="AF94" s="11">
        <v>46168.597546296303</v>
      </c>
      <c r="AG94" s="11">
        <v>46185.604259259257</v>
      </c>
      <c r="AH94" s="12" t="s">
        <v>279</v>
      </c>
    </row>
    <row r="95" spans="1:34" ht="29" x14ac:dyDescent="0.35">
      <c r="A95" s="11">
        <v>46181.338217592587</v>
      </c>
      <c r="B95" s="11">
        <v>46188.556851851848</v>
      </c>
      <c r="C95" s="12" t="s">
        <v>87</v>
      </c>
      <c r="D95" s="12" t="s">
        <v>103</v>
      </c>
      <c r="E95" s="12" t="s">
        <v>277</v>
      </c>
      <c r="F95" s="12" t="s">
        <v>278</v>
      </c>
      <c r="G95" s="12" t="s">
        <v>278</v>
      </c>
      <c r="H95" s="12" t="s">
        <v>81</v>
      </c>
      <c r="I95" s="12"/>
      <c r="J95" s="12"/>
      <c r="K95" s="12"/>
      <c r="L95" s="12" t="s">
        <v>194</v>
      </c>
      <c r="M95" s="12" t="s">
        <v>260</v>
      </c>
      <c r="N95" s="12" t="s">
        <v>260</v>
      </c>
      <c r="O95" s="12" t="s">
        <v>263</v>
      </c>
      <c r="P95" s="12" t="s">
        <v>264</v>
      </c>
      <c r="Q95" s="12" t="s">
        <v>195</v>
      </c>
      <c r="R95" s="12" t="s">
        <v>195</v>
      </c>
      <c r="S95" s="12" t="s">
        <v>195</v>
      </c>
      <c r="T95" s="12" t="s">
        <v>197</v>
      </c>
      <c r="U95" s="12" t="s">
        <v>99</v>
      </c>
      <c r="V95" s="12" t="s">
        <v>100</v>
      </c>
      <c r="W95" s="12" t="s">
        <v>100</v>
      </c>
      <c r="X95" s="12" t="s">
        <v>23</v>
      </c>
      <c r="Y95" s="12" t="s">
        <v>80</v>
      </c>
      <c r="Z95" s="12" t="s">
        <v>197</v>
      </c>
      <c r="AA95" s="12" t="s">
        <v>99</v>
      </c>
      <c r="AB95" s="12">
        <v>11</v>
      </c>
      <c r="AC95" s="12">
        <v>14</v>
      </c>
      <c r="AD95" s="12" t="s">
        <v>197</v>
      </c>
      <c r="AE95" s="12" t="s">
        <v>99</v>
      </c>
      <c r="AF95" s="11">
        <v>46168.597546296303</v>
      </c>
      <c r="AG95" s="11">
        <v>46185.604259259257</v>
      </c>
      <c r="AH95" s="12" t="s">
        <v>279</v>
      </c>
    </row>
    <row r="96" spans="1:34" ht="29" x14ac:dyDescent="0.35">
      <c r="A96" s="11">
        <v>46181.338217592587</v>
      </c>
      <c r="B96" s="11">
        <v>46188.556851851848</v>
      </c>
      <c r="C96" s="12" t="s">
        <v>87</v>
      </c>
      <c r="D96" s="12" t="s">
        <v>103</v>
      </c>
      <c r="E96" s="12" t="s">
        <v>277</v>
      </c>
      <c r="F96" s="12" t="s">
        <v>278</v>
      </c>
      <c r="G96" s="12" t="s">
        <v>278</v>
      </c>
      <c r="H96" s="12" t="s">
        <v>81</v>
      </c>
      <c r="I96" s="12"/>
      <c r="J96" s="12"/>
      <c r="K96" s="12"/>
      <c r="L96" s="12" t="s">
        <v>194</v>
      </c>
      <c r="M96" s="12" t="s">
        <v>260</v>
      </c>
      <c r="N96" s="12" t="s">
        <v>260</v>
      </c>
      <c r="O96" s="12" t="s">
        <v>263</v>
      </c>
      <c r="P96" s="12" t="s">
        <v>264</v>
      </c>
      <c r="Q96" s="12" t="s">
        <v>195</v>
      </c>
      <c r="R96" s="12" t="s">
        <v>195</v>
      </c>
      <c r="S96" s="12" t="s">
        <v>195</v>
      </c>
      <c r="T96" s="12" t="s">
        <v>197</v>
      </c>
      <c r="U96" s="12" t="s">
        <v>99</v>
      </c>
      <c r="V96" s="12" t="s">
        <v>100</v>
      </c>
      <c r="W96" s="12" t="s">
        <v>100</v>
      </c>
      <c r="X96" s="12" t="s">
        <v>26</v>
      </c>
      <c r="Y96" s="12" t="s">
        <v>265</v>
      </c>
      <c r="Z96" s="12" t="s">
        <v>266</v>
      </c>
      <c r="AA96" s="12" t="s">
        <v>267</v>
      </c>
      <c r="AB96" s="12">
        <v>10</v>
      </c>
      <c r="AC96" s="12">
        <v>7</v>
      </c>
      <c r="AD96" s="12" t="s">
        <v>266</v>
      </c>
      <c r="AE96" s="12" t="s">
        <v>267</v>
      </c>
      <c r="AF96" s="11">
        <v>46168.597546296303</v>
      </c>
      <c r="AG96" s="11">
        <v>46185.604259259257</v>
      </c>
      <c r="AH96" s="12" t="s">
        <v>279</v>
      </c>
    </row>
    <row r="97" spans="1:34" ht="29" x14ac:dyDescent="0.35">
      <c r="A97" s="11">
        <v>46181.338217592587</v>
      </c>
      <c r="B97" s="11">
        <v>46188.556851851848</v>
      </c>
      <c r="C97" s="12" t="s">
        <v>87</v>
      </c>
      <c r="D97" s="12" t="s">
        <v>103</v>
      </c>
      <c r="E97" s="12" t="s">
        <v>204</v>
      </c>
      <c r="F97" s="12" t="s">
        <v>205</v>
      </c>
      <c r="G97" s="12" t="s">
        <v>205</v>
      </c>
      <c r="H97" s="12" t="s">
        <v>81</v>
      </c>
      <c r="I97" s="12"/>
      <c r="J97" s="12"/>
      <c r="K97" s="12"/>
      <c r="L97" s="12" t="s">
        <v>194</v>
      </c>
      <c r="M97" s="12" t="s">
        <v>194</v>
      </c>
      <c r="N97" s="12" t="s">
        <v>194</v>
      </c>
      <c r="O97" s="12" t="s">
        <v>263</v>
      </c>
      <c r="P97" s="12" t="s">
        <v>263</v>
      </c>
      <c r="Q97" s="12" t="s">
        <v>195</v>
      </c>
      <c r="R97" s="12" t="s">
        <v>195</v>
      </c>
      <c r="S97" s="12" t="s">
        <v>195</v>
      </c>
      <c r="T97" s="12" t="s">
        <v>197</v>
      </c>
      <c r="U97" s="12" t="s">
        <v>197</v>
      </c>
      <c r="V97" s="12" t="s">
        <v>100</v>
      </c>
      <c r="W97" s="12" t="s">
        <v>100</v>
      </c>
      <c r="X97" s="12" t="s">
        <v>27</v>
      </c>
      <c r="Y97" s="12" t="s">
        <v>206</v>
      </c>
      <c r="Z97" s="12" t="s">
        <v>207</v>
      </c>
      <c r="AA97" s="12" t="s">
        <v>208</v>
      </c>
      <c r="AB97" s="12">
        <v>0</v>
      </c>
      <c r="AC97" s="12">
        <v>1</v>
      </c>
      <c r="AD97" s="12" t="s">
        <v>207</v>
      </c>
      <c r="AE97" s="12" t="s">
        <v>208</v>
      </c>
      <c r="AF97" s="11">
        <v>46168.599722222221</v>
      </c>
      <c r="AG97" s="11">
        <v>46183.528483796297</v>
      </c>
      <c r="AH97" s="12" t="s">
        <v>209</v>
      </c>
    </row>
    <row r="98" spans="1:34" ht="29" x14ac:dyDescent="0.35">
      <c r="A98" s="11">
        <v>46181.338217592587</v>
      </c>
      <c r="B98" s="11">
        <v>46188.556851851848</v>
      </c>
      <c r="C98" s="12" t="s">
        <v>87</v>
      </c>
      <c r="D98" s="12" t="s">
        <v>103</v>
      </c>
      <c r="E98" s="12" t="s">
        <v>280</v>
      </c>
      <c r="F98" s="12" t="s">
        <v>281</v>
      </c>
      <c r="G98" s="12" t="s">
        <v>281</v>
      </c>
      <c r="H98" s="12" t="s">
        <v>81</v>
      </c>
      <c r="I98" s="12"/>
      <c r="J98" s="12"/>
      <c r="K98" s="12"/>
      <c r="L98" s="12" t="s">
        <v>194</v>
      </c>
      <c r="M98" s="12" t="s">
        <v>260</v>
      </c>
      <c r="N98" s="12" t="s">
        <v>260</v>
      </c>
      <c r="O98" s="12" t="s">
        <v>263</v>
      </c>
      <c r="P98" s="12" t="s">
        <v>264</v>
      </c>
      <c r="Q98" s="12" t="s">
        <v>195</v>
      </c>
      <c r="R98" s="12" t="s">
        <v>195</v>
      </c>
      <c r="S98" s="12" t="s">
        <v>195</v>
      </c>
      <c r="T98" s="12" t="s">
        <v>197</v>
      </c>
      <c r="U98" s="12" t="s">
        <v>99</v>
      </c>
      <c r="V98" s="12" t="s">
        <v>100</v>
      </c>
      <c r="W98" s="12" t="s">
        <v>100</v>
      </c>
      <c r="X98" s="12" t="s">
        <v>24</v>
      </c>
      <c r="Y98" s="12" t="s">
        <v>92</v>
      </c>
      <c r="Z98" s="12" t="s">
        <v>194</v>
      </c>
      <c r="AA98" s="12" t="s">
        <v>260</v>
      </c>
      <c r="AB98" s="12">
        <v>6</v>
      </c>
      <c r="AC98" s="12">
        <v>6</v>
      </c>
      <c r="AD98" s="12" t="s">
        <v>194</v>
      </c>
      <c r="AE98" s="12" t="s">
        <v>260</v>
      </c>
      <c r="AF98" s="11">
        <v>46168.611851851849</v>
      </c>
      <c r="AG98" s="11">
        <v>46188.431388888886</v>
      </c>
      <c r="AH98" s="12" t="s">
        <v>282</v>
      </c>
    </row>
    <row r="99" spans="1:34" ht="29" x14ac:dyDescent="0.35">
      <c r="A99" s="11">
        <v>46181.338217592587</v>
      </c>
      <c r="B99" s="11">
        <v>46188.556851851848</v>
      </c>
      <c r="C99" s="12" t="s">
        <v>87</v>
      </c>
      <c r="D99" s="12" t="s">
        <v>103</v>
      </c>
      <c r="E99" s="12" t="s">
        <v>280</v>
      </c>
      <c r="F99" s="12" t="s">
        <v>281</v>
      </c>
      <c r="G99" s="12" t="s">
        <v>281</v>
      </c>
      <c r="H99" s="12" t="s">
        <v>81</v>
      </c>
      <c r="I99" s="12"/>
      <c r="J99" s="12"/>
      <c r="K99" s="12"/>
      <c r="L99" s="12" t="s">
        <v>194</v>
      </c>
      <c r="M99" s="12" t="s">
        <v>260</v>
      </c>
      <c r="N99" s="12" t="s">
        <v>260</v>
      </c>
      <c r="O99" s="12" t="s">
        <v>263</v>
      </c>
      <c r="P99" s="12" t="s">
        <v>264</v>
      </c>
      <c r="Q99" s="12" t="s">
        <v>195</v>
      </c>
      <c r="R99" s="12" t="s">
        <v>195</v>
      </c>
      <c r="S99" s="12" t="s">
        <v>195</v>
      </c>
      <c r="T99" s="12" t="s">
        <v>197</v>
      </c>
      <c r="U99" s="12" t="s">
        <v>99</v>
      </c>
      <c r="V99" s="12" t="s">
        <v>100</v>
      </c>
      <c r="W99" s="12" t="s">
        <v>100</v>
      </c>
      <c r="X99" s="12" t="s">
        <v>25</v>
      </c>
      <c r="Y99" s="12" t="s">
        <v>262</v>
      </c>
      <c r="Z99" s="12" t="s">
        <v>263</v>
      </c>
      <c r="AA99" s="12" t="s">
        <v>264</v>
      </c>
      <c r="AB99" s="12">
        <v>3</v>
      </c>
      <c r="AC99" s="12">
        <v>4</v>
      </c>
      <c r="AD99" s="12" t="s">
        <v>263</v>
      </c>
      <c r="AE99" s="12" t="s">
        <v>264</v>
      </c>
      <c r="AF99" s="11">
        <v>46168.611851851849</v>
      </c>
      <c r="AG99" s="11">
        <v>46188.431388888886</v>
      </c>
      <c r="AH99" s="12" t="s">
        <v>282</v>
      </c>
    </row>
    <row r="100" spans="1:34" ht="29" x14ac:dyDescent="0.35">
      <c r="A100" s="11">
        <v>46181.338217592587</v>
      </c>
      <c r="B100" s="11">
        <v>46188.556851851848</v>
      </c>
      <c r="C100" s="12" t="s">
        <v>87</v>
      </c>
      <c r="D100" s="12" t="s">
        <v>103</v>
      </c>
      <c r="E100" s="12" t="s">
        <v>280</v>
      </c>
      <c r="F100" s="12" t="s">
        <v>281</v>
      </c>
      <c r="G100" s="12" t="s">
        <v>281</v>
      </c>
      <c r="H100" s="12" t="s">
        <v>81</v>
      </c>
      <c r="I100" s="12"/>
      <c r="J100" s="12"/>
      <c r="K100" s="12"/>
      <c r="L100" s="12" t="s">
        <v>194</v>
      </c>
      <c r="M100" s="12" t="s">
        <v>260</v>
      </c>
      <c r="N100" s="12" t="s">
        <v>260</v>
      </c>
      <c r="O100" s="12" t="s">
        <v>263</v>
      </c>
      <c r="P100" s="12" t="s">
        <v>264</v>
      </c>
      <c r="Q100" s="12" t="s">
        <v>195</v>
      </c>
      <c r="R100" s="12" t="s">
        <v>195</v>
      </c>
      <c r="S100" s="12" t="s">
        <v>195</v>
      </c>
      <c r="T100" s="12" t="s">
        <v>197</v>
      </c>
      <c r="U100" s="12" t="s">
        <v>99</v>
      </c>
      <c r="V100" s="12" t="s">
        <v>100</v>
      </c>
      <c r="W100" s="12" t="s">
        <v>100</v>
      </c>
      <c r="X100" s="12" t="s">
        <v>23</v>
      </c>
      <c r="Y100" s="12" t="s">
        <v>80</v>
      </c>
      <c r="Z100" s="12" t="s">
        <v>197</v>
      </c>
      <c r="AA100" s="12" t="s">
        <v>99</v>
      </c>
      <c r="AB100" s="12">
        <v>11</v>
      </c>
      <c r="AC100" s="12">
        <v>14</v>
      </c>
      <c r="AD100" s="12" t="s">
        <v>197</v>
      </c>
      <c r="AE100" s="12" t="s">
        <v>99</v>
      </c>
      <c r="AF100" s="11">
        <v>46168.611851851849</v>
      </c>
      <c r="AG100" s="11">
        <v>46188.431388888886</v>
      </c>
      <c r="AH100" s="12" t="s">
        <v>282</v>
      </c>
    </row>
    <row r="101" spans="1:34" ht="29" x14ac:dyDescent="0.35">
      <c r="A101" s="11">
        <v>46181.338217592587</v>
      </c>
      <c r="B101" s="11">
        <v>46188.556851851848</v>
      </c>
      <c r="C101" s="12" t="s">
        <v>87</v>
      </c>
      <c r="D101" s="12" t="s">
        <v>103</v>
      </c>
      <c r="E101" s="12" t="s">
        <v>280</v>
      </c>
      <c r="F101" s="12" t="s">
        <v>281</v>
      </c>
      <c r="G101" s="12" t="s">
        <v>281</v>
      </c>
      <c r="H101" s="12" t="s">
        <v>81</v>
      </c>
      <c r="I101" s="12"/>
      <c r="J101" s="12"/>
      <c r="K101" s="12"/>
      <c r="L101" s="12" t="s">
        <v>194</v>
      </c>
      <c r="M101" s="12" t="s">
        <v>260</v>
      </c>
      <c r="N101" s="12" t="s">
        <v>260</v>
      </c>
      <c r="O101" s="12" t="s">
        <v>263</v>
      </c>
      <c r="P101" s="12" t="s">
        <v>264</v>
      </c>
      <c r="Q101" s="12" t="s">
        <v>195</v>
      </c>
      <c r="R101" s="12" t="s">
        <v>195</v>
      </c>
      <c r="S101" s="12" t="s">
        <v>195</v>
      </c>
      <c r="T101" s="12" t="s">
        <v>197</v>
      </c>
      <c r="U101" s="12" t="s">
        <v>99</v>
      </c>
      <c r="V101" s="12" t="s">
        <v>100</v>
      </c>
      <c r="W101" s="12" t="s">
        <v>100</v>
      </c>
      <c r="X101" s="12" t="s">
        <v>26</v>
      </c>
      <c r="Y101" s="12" t="s">
        <v>265</v>
      </c>
      <c r="Z101" s="12" t="s">
        <v>266</v>
      </c>
      <c r="AA101" s="12" t="s">
        <v>267</v>
      </c>
      <c r="AB101" s="12">
        <v>10</v>
      </c>
      <c r="AC101" s="12">
        <v>7</v>
      </c>
      <c r="AD101" s="12" t="s">
        <v>266</v>
      </c>
      <c r="AE101" s="12" t="s">
        <v>267</v>
      </c>
      <c r="AF101" s="11">
        <v>46168.611851851849</v>
      </c>
      <c r="AG101" s="11">
        <v>46188.431388888886</v>
      </c>
      <c r="AH101" s="12" t="s">
        <v>282</v>
      </c>
    </row>
    <row r="102" spans="1:34" ht="29" x14ac:dyDescent="0.35">
      <c r="A102" s="11">
        <v>46181.338217592587</v>
      </c>
      <c r="B102" s="11">
        <v>46188.556851851848</v>
      </c>
      <c r="C102" s="12" t="s">
        <v>87</v>
      </c>
      <c r="D102" s="12" t="s">
        <v>103</v>
      </c>
      <c r="E102" s="12" t="s">
        <v>280</v>
      </c>
      <c r="F102" s="12" t="s">
        <v>281</v>
      </c>
      <c r="G102" s="12" t="s">
        <v>281</v>
      </c>
      <c r="H102" s="12" t="s">
        <v>81</v>
      </c>
      <c r="I102" s="12"/>
      <c r="J102" s="12"/>
      <c r="K102" s="12"/>
      <c r="L102" s="12" t="s">
        <v>194</v>
      </c>
      <c r="M102" s="12" t="s">
        <v>260</v>
      </c>
      <c r="N102" s="12" t="s">
        <v>260</v>
      </c>
      <c r="O102" s="12" t="s">
        <v>263</v>
      </c>
      <c r="P102" s="12" t="s">
        <v>264</v>
      </c>
      <c r="Q102" s="12" t="s">
        <v>195</v>
      </c>
      <c r="R102" s="12" t="s">
        <v>195</v>
      </c>
      <c r="S102" s="12" t="s">
        <v>195</v>
      </c>
      <c r="T102" s="12" t="s">
        <v>197</v>
      </c>
      <c r="U102" s="12" t="s">
        <v>99</v>
      </c>
      <c r="V102" s="12" t="s">
        <v>100</v>
      </c>
      <c r="W102" s="12" t="s">
        <v>100</v>
      </c>
      <c r="X102" s="12" t="s">
        <v>27</v>
      </c>
      <c r="Y102" s="12" t="s">
        <v>206</v>
      </c>
      <c r="Z102" s="12" t="s">
        <v>207</v>
      </c>
      <c r="AA102" s="12" t="s">
        <v>208</v>
      </c>
      <c r="AB102" s="12">
        <v>0</v>
      </c>
      <c r="AC102" s="12">
        <v>1</v>
      </c>
      <c r="AD102" s="12" t="s">
        <v>207</v>
      </c>
      <c r="AE102" s="12" t="s">
        <v>208</v>
      </c>
      <c r="AF102" s="11">
        <v>46168.611851851849</v>
      </c>
      <c r="AG102" s="11">
        <v>46188.431388888886</v>
      </c>
      <c r="AH102" s="12" t="s">
        <v>282</v>
      </c>
    </row>
    <row r="103" spans="1:34" ht="29" x14ac:dyDescent="0.35">
      <c r="A103" s="11">
        <v>46181.338217592587</v>
      </c>
      <c r="B103" s="11">
        <v>46188.556851851848</v>
      </c>
      <c r="C103" s="12" t="s">
        <v>87</v>
      </c>
      <c r="D103" s="12" t="s">
        <v>103</v>
      </c>
      <c r="E103" s="12" t="s">
        <v>210</v>
      </c>
      <c r="F103" s="12" t="s">
        <v>211</v>
      </c>
      <c r="G103" s="12" t="s">
        <v>211</v>
      </c>
      <c r="H103" s="12" t="s">
        <v>81</v>
      </c>
      <c r="I103" s="12"/>
      <c r="J103" s="12"/>
      <c r="K103" s="12"/>
      <c r="L103" s="12" t="s">
        <v>194</v>
      </c>
      <c r="M103" s="12" t="s">
        <v>194</v>
      </c>
      <c r="N103" s="12" t="s">
        <v>194</v>
      </c>
      <c r="O103" s="12" t="s">
        <v>263</v>
      </c>
      <c r="P103" s="12" t="s">
        <v>263</v>
      </c>
      <c r="Q103" s="12" t="s">
        <v>195</v>
      </c>
      <c r="R103" s="12" t="s">
        <v>195</v>
      </c>
      <c r="S103" s="12" t="s">
        <v>195</v>
      </c>
      <c r="T103" s="12" t="s">
        <v>197</v>
      </c>
      <c r="U103" s="12" t="s">
        <v>99</v>
      </c>
      <c r="V103" s="12" t="s">
        <v>100</v>
      </c>
      <c r="W103" s="12" t="s">
        <v>100</v>
      </c>
      <c r="X103" s="12" t="s">
        <v>23</v>
      </c>
      <c r="Y103" s="12" t="s">
        <v>80</v>
      </c>
      <c r="Z103" s="12" t="s">
        <v>197</v>
      </c>
      <c r="AA103" s="12" t="s">
        <v>99</v>
      </c>
      <c r="AB103" s="12">
        <v>11</v>
      </c>
      <c r="AC103" s="12">
        <v>14</v>
      </c>
      <c r="AD103" s="12" t="s">
        <v>197</v>
      </c>
      <c r="AE103" s="12" t="s">
        <v>99</v>
      </c>
      <c r="AF103" s="11">
        <v>46168.612858796303</v>
      </c>
      <c r="AG103" s="11">
        <v>46184.583414351851</v>
      </c>
      <c r="AH103" s="12" t="s">
        <v>212</v>
      </c>
    </row>
    <row r="104" spans="1:34" ht="29" x14ac:dyDescent="0.35">
      <c r="A104" s="11">
        <v>46181.338217592587</v>
      </c>
      <c r="B104" s="11">
        <v>46188.556851851848</v>
      </c>
      <c r="C104" s="12" t="s">
        <v>87</v>
      </c>
      <c r="D104" s="12" t="s">
        <v>103</v>
      </c>
      <c r="E104" s="12" t="s">
        <v>213</v>
      </c>
      <c r="F104" s="12" t="s">
        <v>214</v>
      </c>
      <c r="G104" s="12" t="s">
        <v>214</v>
      </c>
      <c r="H104" s="12" t="s">
        <v>81</v>
      </c>
      <c r="I104" s="12"/>
      <c r="J104" s="12"/>
      <c r="K104" s="12"/>
      <c r="L104" s="12" t="s">
        <v>194</v>
      </c>
      <c r="M104" s="12" t="s">
        <v>194</v>
      </c>
      <c r="N104" s="12" t="s">
        <v>194</v>
      </c>
      <c r="O104" s="12" t="s">
        <v>263</v>
      </c>
      <c r="P104" s="12" t="s">
        <v>263</v>
      </c>
      <c r="Q104" s="12" t="s">
        <v>195</v>
      </c>
      <c r="R104" s="12" t="s">
        <v>195</v>
      </c>
      <c r="S104" s="12" t="s">
        <v>195</v>
      </c>
      <c r="T104" s="12" t="s">
        <v>197</v>
      </c>
      <c r="U104" s="12" t="s">
        <v>197</v>
      </c>
      <c r="V104" s="12" t="s">
        <v>100</v>
      </c>
      <c r="W104" s="12" t="s">
        <v>100</v>
      </c>
      <c r="X104" s="12" t="s">
        <v>27</v>
      </c>
      <c r="Y104" s="12" t="s">
        <v>206</v>
      </c>
      <c r="Z104" s="12" t="s">
        <v>207</v>
      </c>
      <c r="AA104" s="12" t="s">
        <v>215</v>
      </c>
      <c r="AB104" s="12">
        <v>0</v>
      </c>
      <c r="AC104" s="12">
        <v>2</v>
      </c>
      <c r="AD104" s="12" t="s">
        <v>207</v>
      </c>
      <c r="AE104" s="12" t="s">
        <v>215</v>
      </c>
      <c r="AF104" s="11">
        <v>46168.630624999998</v>
      </c>
      <c r="AG104" s="11">
        <v>46182.635706018518</v>
      </c>
      <c r="AH104" s="12" t="s">
        <v>216</v>
      </c>
    </row>
    <row r="105" spans="1:34" ht="29" x14ac:dyDescent="0.35">
      <c r="A105" s="11">
        <v>46181.338217592587</v>
      </c>
      <c r="B105" s="11">
        <v>46188.556851851848</v>
      </c>
      <c r="C105" s="12" t="s">
        <v>87</v>
      </c>
      <c r="D105" s="12" t="s">
        <v>103</v>
      </c>
      <c r="E105" s="12" t="s">
        <v>217</v>
      </c>
      <c r="F105" s="12" t="s">
        <v>218</v>
      </c>
      <c r="G105" s="12" t="s">
        <v>218</v>
      </c>
      <c r="H105" s="12" t="s">
        <v>81</v>
      </c>
      <c r="I105" s="12"/>
      <c r="J105" s="12"/>
      <c r="K105" s="12"/>
      <c r="L105" s="12" t="s">
        <v>194</v>
      </c>
      <c r="M105" s="12" t="s">
        <v>194</v>
      </c>
      <c r="N105" s="12" t="s">
        <v>194</v>
      </c>
      <c r="O105" s="12" t="s">
        <v>263</v>
      </c>
      <c r="P105" s="12" t="s">
        <v>263</v>
      </c>
      <c r="Q105" s="12" t="s">
        <v>195</v>
      </c>
      <c r="R105" s="12" t="s">
        <v>195</v>
      </c>
      <c r="S105" s="12" t="s">
        <v>195</v>
      </c>
      <c r="T105" s="12" t="s">
        <v>197</v>
      </c>
      <c r="U105" s="12" t="s">
        <v>197</v>
      </c>
      <c r="V105" s="12" t="s">
        <v>100</v>
      </c>
      <c r="W105" s="12" t="s">
        <v>100</v>
      </c>
      <c r="X105" s="12" t="s">
        <v>27</v>
      </c>
      <c r="Y105" s="12" t="s">
        <v>206</v>
      </c>
      <c r="Z105" s="12" t="s">
        <v>207</v>
      </c>
      <c r="AA105" s="12" t="s">
        <v>215</v>
      </c>
      <c r="AB105" s="12">
        <v>0</v>
      </c>
      <c r="AC105" s="12">
        <v>2</v>
      </c>
      <c r="AD105" s="12" t="s">
        <v>207</v>
      </c>
      <c r="AE105" s="12" t="s">
        <v>215</v>
      </c>
      <c r="AF105" s="11">
        <v>46168.638009259259</v>
      </c>
      <c r="AG105" s="11">
        <v>46182.413715277777</v>
      </c>
      <c r="AH105" s="12" t="s">
        <v>219</v>
      </c>
    </row>
    <row r="106" spans="1:34" ht="29" x14ac:dyDescent="0.35">
      <c r="A106" s="11">
        <v>46181.338217592587</v>
      </c>
      <c r="B106" s="11">
        <v>46188.556851851848</v>
      </c>
      <c r="C106" s="12" t="s">
        <v>87</v>
      </c>
      <c r="D106" s="12" t="s">
        <v>103</v>
      </c>
      <c r="E106" s="12" t="s">
        <v>283</v>
      </c>
      <c r="F106" s="12" t="s">
        <v>284</v>
      </c>
      <c r="G106" s="12" t="s">
        <v>284</v>
      </c>
      <c r="H106" s="12" t="s">
        <v>81</v>
      </c>
      <c r="I106" s="12"/>
      <c r="J106" s="12"/>
      <c r="K106" s="12"/>
      <c r="L106" s="12" t="s">
        <v>194</v>
      </c>
      <c r="M106" s="12" t="s">
        <v>260</v>
      </c>
      <c r="N106" s="12" t="s">
        <v>260</v>
      </c>
      <c r="O106" s="12" t="s">
        <v>263</v>
      </c>
      <c r="P106" s="12" t="s">
        <v>264</v>
      </c>
      <c r="Q106" s="12" t="s">
        <v>195</v>
      </c>
      <c r="R106" s="12" t="s">
        <v>195</v>
      </c>
      <c r="S106" s="12" t="s">
        <v>195</v>
      </c>
      <c r="T106" s="12" t="s">
        <v>197</v>
      </c>
      <c r="U106" s="12" t="s">
        <v>99</v>
      </c>
      <c r="V106" s="12" t="s">
        <v>100</v>
      </c>
      <c r="W106" s="12" t="s">
        <v>100</v>
      </c>
      <c r="X106" s="12" t="s">
        <v>24</v>
      </c>
      <c r="Y106" s="12" t="s">
        <v>92</v>
      </c>
      <c r="Z106" s="12" t="s">
        <v>194</v>
      </c>
      <c r="AA106" s="12" t="s">
        <v>260</v>
      </c>
      <c r="AB106" s="12">
        <v>6</v>
      </c>
      <c r="AC106" s="12">
        <v>6</v>
      </c>
      <c r="AD106" s="12" t="s">
        <v>194</v>
      </c>
      <c r="AE106" s="12" t="s">
        <v>260</v>
      </c>
      <c r="AF106" s="11">
        <v>46168.639201388891</v>
      </c>
      <c r="AG106" s="11">
        <v>46184.544432870367</v>
      </c>
      <c r="AH106" s="12" t="s">
        <v>285</v>
      </c>
    </row>
    <row r="107" spans="1:34" ht="29" x14ac:dyDescent="0.35">
      <c r="A107" s="11">
        <v>46181.338217592587</v>
      </c>
      <c r="B107" s="11">
        <v>46188.556851851848</v>
      </c>
      <c r="C107" s="12" t="s">
        <v>87</v>
      </c>
      <c r="D107" s="12" t="s">
        <v>103</v>
      </c>
      <c r="E107" s="12" t="s">
        <v>283</v>
      </c>
      <c r="F107" s="12" t="s">
        <v>284</v>
      </c>
      <c r="G107" s="12" t="s">
        <v>284</v>
      </c>
      <c r="H107" s="12" t="s">
        <v>81</v>
      </c>
      <c r="I107" s="12"/>
      <c r="J107" s="12"/>
      <c r="K107" s="12"/>
      <c r="L107" s="12" t="s">
        <v>194</v>
      </c>
      <c r="M107" s="12" t="s">
        <v>260</v>
      </c>
      <c r="N107" s="12" t="s">
        <v>260</v>
      </c>
      <c r="O107" s="12" t="s">
        <v>263</v>
      </c>
      <c r="P107" s="12" t="s">
        <v>264</v>
      </c>
      <c r="Q107" s="12" t="s">
        <v>195</v>
      </c>
      <c r="R107" s="12" t="s">
        <v>195</v>
      </c>
      <c r="S107" s="12" t="s">
        <v>195</v>
      </c>
      <c r="T107" s="12" t="s">
        <v>197</v>
      </c>
      <c r="U107" s="12" t="s">
        <v>99</v>
      </c>
      <c r="V107" s="12" t="s">
        <v>100</v>
      </c>
      <c r="W107" s="12" t="s">
        <v>100</v>
      </c>
      <c r="X107" s="12" t="s">
        <v>25</v>
      </c>
      <c r="Y107" s="12" t="s">
        <v>262</v>
      </c>
      <c r="Z107" s="12" t="s">
        <v>263</v>
      </c>
      <c r="AA107" s="12" t="s">
        <v>264</v>
      </c>
      <c r="AB107" s="12">
        <v>3</v>
      </c>
      <c r="AC107" s="12">
        <v>4</v>
      </c>
      <c r="AD107" s="12" t="s">
        <v>263</v>
      </c>
      <c r="AE107" s="12" t="s">
        <v>264</v>
      </c>
      <c r="AF107" s="11">
        <v>46168.639201388891</v>
      </c>
      <c r="AG107" s="11">
        <v>46184.544432870367</v>
      </c>
      <c r="AH107" s="12" t="s">
        <v>285</v>
      </c>
    </row>
    <row r="108" spans="1:34" ht="29" x14ac:dyDescent="0.35">
      <c r="A108" s="11">
        <v>46181.338217592587</v>
      </c>
      <c r="B108" s="11">
        <v>46188.556851851848</v>
      </c>
      <c r="C108" s="12" t="s">
        <v>87</v>
      </c>
      <c r="D108" s="12" t="s">
        <v>103</v>
      </c>
      <c r="E108" s="12" t="s">
        <v>283</v>
      </c>
      <c r="F108" s="12" t="s">
        <v>284</v>
      </c>
      <c r="G108" s="12" t="s">
        <v>284</v>
      </c>
      <c r="H108" s="12" t="s">
        <v>81</v>
      </c>
      <c r="I108" s="12"/>
      <c r="J108" s="12"/>
      <c r="K108" s="12"/>
      <c r="L108" s="12" t="s">
        <v>194</v>
      </c>
      <c r="M108" s="12" t="s">
        <v>260</v>
      </c>
      <c r="N108" s="12" t="s">
        <v>260</v>
      </c>
      <c r="O108" s="12" t="s">
        <v>263</v>
      </c>
      <c r="P108" s="12" t="s">
        <v>264</v>
      </c>
      <c r="Q108" s="12" t="s">
        <v>195</v>
      </c>
      <c r="R108" s="12" t="s">
        <v>195</v>
      </c>
      <c r="S108" s="12" t="s">
        <v>195</v>
      </c>
      <c r="T108" s="12" t="s">
        <v>197</v>
      </c>
      <c r="U108" s="12" t="s">
        <v>99</v>
      </c>
      <c r="V108" s="12" t="s">
        <v>100</v>
      </c>
      <c r="W108" s="12" t="s">
        <v>100</v>
      </c>
      <c r="X108" s="12" t="s">
        <v>23</v>
      </c>
      <c r="Y108" s="12" t="s">
        <v>80</v>
      </c>
      <c r="Z108" s="12" t="s">
        <v>197</v>
      </c>
      <c r="AA108" s="12" t="s">
        <v>99</v>
      </c>
      <c r="AB108" s="12">
        <v>11</v>
      </c>
      <c r="AC108" s="12">
        <v>14</v>
      </c>
      <c r="AD108" s="12" t="s">
        <v>197</v>
      </c>
      <c r="AE108" s="12" t="s">
        <v>99</v>
      </c>
      <c r="AF108" s="11">
        <v>46168.639201388891</v>
      </c>
      <c r="AG108" s="11">
        <v>46184.544432870367</v>
      </c>
      <c r="AH108" s="12" t="s">
        <v>285</v>
      </c>
    </row>
    <row r="109" spans="1:34" ht="29" x14ac:dyDescent="0.35">
      <c r="A109" s="11">
        <v>46181.338217592587</v>
      </c>
      <c r="B109" s="11">
        <v>46188.556851851848</v>
      </c>
      <c r="C109" s="12" t="s">
        <v>87</v>
      </c>
      <c r="D109" s="12" t="s">
        <v>103</v>
      </c>
      <c r="E109" s="12" t="s">
        <v>283</v>
      </c>
      <c r="F109" s="12" t="s">
        <v>284</v>
      </c>
      <c r="G109" s="12" t="s">
        <v>284</v>
      </c>
      <c r="H109" s="12" t="s">
        <v>81</v>
      </c>
      <c r="I109" s="12"/>
      <c r="J109" s="12"/>
      <c r="K109" s="12"/>
      <c r="L109" s="12" t="s">
        <v>194</v>
      </c>
      <c r="M109" s="12" t="s">
        <v>260</v>
      </c>
      <c r="N109" s="12" t="s">
        <v>260</v>
      </c>
      <c r="O109" s="12" t="s">
        <v>263</v>
      </c>
      <c r="P109" s="12" t="s">
        <v>264</v>
      </c>
      <c r="Q109" s="12" t="s">
        <v>195</v>
      </c>
      <c r="R109" s="12" t="s">
        <v>195</v>
      </c>
      <c r="S109" s="12" t="s">
        <v>195</v>
      </c>
      <c r="T109" s="12" t="s">
        <v>197</v>
      </c>
      <c r="U109" s="12" t="s">
        <v>99</v>
      </c>
      <c r="V109" s="12" t="s">
        <v>100</v>
      </c>
      <c r="W109" s="12" t="s">
        <v>100</v>
      </c>
      <c r="X109" s="12" t="s">
        <v>26</v>
      </c>
      <c r="Y109" s="12" t="s">
        <v>265</v>
      </c>
      <c r="Z109" s="12" t="s">
        <v>266</v>
      </c>
      <c r="AA109" s="12" t="s">
        <v>267</v>
      </c>
      <c r="AB109" s="12">
        <v>10</v>
      </c>
      <c r="AC109" s="12">
        <v>7</v>
      </c>
      <c r="AD109" s="12" t="s">
        <v>266</v>
      </c>
      <c r="AE109" s="12" t="s">
        <v>267</v>
      </c>
      <c r="AF109" s="11">
        <v>46168.639201388891</v>
      </c>
      <c r="AG109" s="11">
        <v>46184.544432870367</v>
      </c>
      <c r="AH109" s="12" t="s">
        <v>285</v>
      </c>
    </row>
    <row r="110" spans="1:34" ht="29" x14ac:dyDescent="0.35">
      <c r="A110" s="11">
        <v>46181.338217592587</v>
      </c>
      <c r="B110" s="11">
        <v>46188.556851851848</v>
      </c>
      <c r="C110" s="12" t="s">
        <v>87</v>
      </c>
      <c r="D110" s="12" t="s">
        <v>103</v>
      </c>
      <c r="E110" s="12" t="s">
        <v>286</v>
      </c>
      <c r="F110" s="12" t="s">
        <v>287</v>
      </c>
      <c r="G110" s="12" t="s">
        <v>287</v>
      </c>
      <c r="H110" s="12" t="s">
        <v>81</v>
      </c>
      <c r="I110" s="12"/>
      <c r="J110" s="12"/>
      <c r="K110" s="12"/>
      <c r="L110" s="12" t="s">
        <v>194</v>
      </c>
      <c r="M110" s="12" t="s">
        <v>260</v>
      </c>
      <c r="N110" s="12" t="s">
        <v>260</v>
      </c>
      <c r="O110" s="12" t="s">
        <v>263</v>
      </c>
      <c r="P110" s="12" t="s">
        <v>264</v>
      </c>
      <c r="Q110" s="12" t="s">
        <v>195</v>
      </c>
      <c r="R110" s="12" t="s">
        <v>195</v>
      </c>
      <c r="S110" s="12" t="s">
        <v>195</v>
      </c>
      <c r="T110" s="12" t="s">
        <v>197</v>
      </c>
      <c r="U110" s="12" t="s">
        <v>99</v>
      </c>
      <c r="V110" s="12" t="s">
        <v>100</v>
      </c>
      <c r="W110" s="12" t="s">
        <v>100</v>
      </c>
      <c r="X110" s="12" t="s">
        <v>24</v>
      </c>
      <c r="Y110" s="12" t="s">
        <v>92</v>
      </c>
      <c r="Z110" s="12" t="s">
        <v>194</v>
      </c>
      <c r="AA110" s="12" t="s">
        <v>260</v>
      </c>
      <c r="AB110" s="12">
        <v>6</v>
      </c>
      <c r="AC110" s="12">
        <v>6</v>
      </c>
      <c r="AD110" s="12" t="s">
        <v>194</v>
      </c>
      <c r="AE110" s="12" t="s">
        <v>260</v>
      </c>
      <c r="AF110" s="11">
        <v>46168.642627314817</v>
      </c>
      <c r="AG110" s="11">
        <v>46183.606168981481</v>
      </c>
      <c r="AH110" s="12" t="s">
        <v>288</v>
      </c>
    </row>
    <row r="111" spans="1:34" ht="29" x14ac:dyDescent="0.35">
      <c r="A111" s="11">
        <v>46181.338217592587</v>
      </c>
      <c r="B111" s="11">
        <v>46188.556851851848</v>
      </c>
      <c r="C111" s="12" t="s">
        <v>87</v>
      </c>
      <c r="D111" s="12" t="s">
        <v>103</v>
      </c>
      <c r="E111" s="12" t="s">
        <v>286</v>
      </c>
      <c r="F111" s="12" t="s">
        <v>287</v>
      </c>
      <c r="G111" s="12" t="s">
        <v>287</v>
      </c>
      <c r="H111" s="12" t="s">
        <v>81</v>
      </c>
      <c r="I111" s="12"/>
      <c r="J111" s="12"/>
      <c r="K111" s="12"/>
      <c r="L111" s="12" t="s">
        <v>194</v>
      </c>
      <c r="M111" s="12" t="s">
        <v>260</v>
      </c>
      <c r="N111" s="12" t="s">
        <v>260</v>
      </c>
      <c r="O111" s="12" t="s">
        <v>263</v>
      </c>
      <c r="P111" s="12" t="s">
        <v>264</v>
      </c>
      <c r="Q111" s="12" t="s">
        <v>195</v>
      </c>
      <c r="R111" s="12" t="s">
        <v>195</v>
      </c>
      <c r="S111" s="12" t="s">
        <v>195</v>
      </c>
      <c r="T111" s="12" t="s">
        <v>197</v>
      </c>
      <c r="U111" s="12" t="s">
        <v>99</v>
      </c>
      <c r="V111" s="12" t="s">
        <v>100</v>
      </c>
      <c r="W111" s="12" t="s">
        <v>100</v>
      </c>
      <c r="X111" s="12" t="s">
        <v>25</v>
      </c>
      <c r="Y111" s="12" t="s">
        <v>262</v>
      </c>
      <c r="Z111" s="12" t="s">
        <v>263</v>
      </c>
      <c r="AA111" s="12" t="s">
        <v>264</v>
      </c>
      <c r="AB111" s="12">
        <v>3</v>
      </c>
      <c r="AC111" s="12">
        <v>4</v>
      </c>
      <c r="AD111" s="12" t="s">
        <v>263</v>
      </c>
      <c r="AE111" s="12" t="s">
        <v>264</v>
      </c>
      <c r="AF111" s="11">
        <v>46168.642627314817</v>
      </c>
      <c r="AG111" s="11">
        <v>46183.606168981481</v>
      </c>
      <c r="AH111" s="12" t="s">
        <v>288</v>
      </c>
    </row>
    <row r="112" spans="1:34" ht="29" x14ac:dyDescent="0.35">
      <c r="A112" s="11">
        <v>46181.338217592587</v>
      </c>
      <c r="B112" s="11">
        <v>46188.556851851848</v>
      </c>
      <c r="C112" s="12" t="s">
        <v>87</v>
      </c>
      <c r="D112" s="12" t="s">
        <v>103</v>
      </c>
      <c r="E112" s="12" t="s">
        <v>286</v>
      </c>
      <c r="F112" s="12" t="s">
        <v>287</v>
      </c>
      <c r="G112" s="12" t="s">
        <v>287</v>
      </c>
      <c r="H112" s="12" t="s">
        <v>81</v>
      </c>
      <c r="I112" s="12"/>
      <c r="J112" s="12"/>
      <c r="K112" s="12"/>
      <c r="L112" s="12" t="s">
        <v>194</v>
      </c>
      <c r="M112" s="12" t="s">
        <v>260</v>
      </c>
      <c r="N112" s="12" t="s">
        <v>260</v>
      </c>
      <c r="O112" s="12" t="s">
        <v>263</v>
      </c>
      <c r="P112" s="12" t="s">
        <v>264</v>
      </c>
      <c r="Q112" s="12" t="s">
        <v>195</v>
      </c>
      <c r="R112" s="12" t="s">
        <v>195</v>
      </c>
      <c r="S112" s="12" t="s">
        <v>195</v>
      </c>
      <c r="T112" s="12" t="s">
        <v>197</v>
      </c>
      <c r="U112" s="12" t="s">
        <v>99</v>
      </c>
      <c r="V112" s="12" t="s">
        <v>100</v>
      </c>
      <c r="W112" s="12" t="s">
        <v>100</v>
      </c>
      <c r="X112" s="12" t="s">
        <v>23</v>
      </c>
      <c r="Y112" s="12" t="s">
        <v>80</v>
      </c>
      <c r="Z112" s="12" t="s">
        <v>197</v>
      </c>
      <c r="AA112" s="12" t="s">
        <v>99</v>
      </c>
      <c r="AB112" s="12">
        <v>11</v>
      </c>
      <c r="AC112" s="12">
        <v>14</v>
      </c>
      <c r="AD112" s="12" t="s">
        <v>197</v>
      </c>
      <c r="AE112" s="12" t="s">
        <v>99</v>
      </c>
      <c r="AF112" s="11">
        <v>46168.642627314817</v>
      </c>
      <c r="AG112" s="11">
        <v>46183.606168981481</v>
      </c>
      <c r="AH112" s="12" t="s">
        <v>288</v>
      </c>
    </row>
    <row r="113" spans="1:34" ht="29" x14ac:dyDescent="0.35">
      <c r="A113" s="11">
        <v>46181.338217592587</v>
      </c>
      <c r="B113" s="11">
        <v>46188.556851851848</v>
      </c>
      <c r="C113" s="12" t="s">
        <v>87</v>
      </c>
      <c r="D113" s="12" t="s">
        <v>103</v>
      </c>
      <c r="E113" s="12" t="s">
        <v>286</v>
      </c>
      <c r="F113" s="12" t="s">
        <v>287</v>
      </c>
      <c r="G113" s="12" t="s">
        <v>287</v>
      </c>
      <c r="H113" s="12" t="s">
        <v>81</v>
      </c>
      <c r="I113" s="12"/>
      <c r="J113" s="12"/>
      <c r="K113" s="12"/>
      <c r="L113" s="12" t="s">
        <v>194</v>
      </c>
      <c r="M113" s="12" t="s">
        <v>260</v>
      </c>
      <c r="N113" s="12" t="s">
        <v>260</v>
      </c>
      <c r="O113" s="12" t="s">
        <v>263</v>
      </c>
      <c r="P113" s="12" t="s">
        <v>264</v>
      </c>
      <c r="Q113" s="12" t="s">
        <v>195</v>
      </c>
      <c r="R113" s="12" t="s">
        <v>195</v>
      </c>
      <c r="S113" s="12" t="s">
        <v>195</v>
      </c>
      <c r="T113" s="12" t="s">
        <v>197</v>
      </c>
      <c r="U113" s="12" t="s">
        <v>99</v>
      </c>
      <c r="V113" s="12" t="s">
        <v>100</v>
      </c>
      <c r="W113" s="12" t="s">
        <v>100</v>
      </c>
      <c r="X113" s="12" t="s">
        <v>26</v>
      </c>
      <c r="Y113" s="12" t="s">
        <v>265</v>
      </c>
      <c r="Z113" s="12" t="s">
        <v>266</v>
      </c>
      <c r="AA113" s="12" t="s">
        <v>267</v>
      </c>
      <c r="AB113" s="12">
        <v>10</v>
      </c>
      <c r="AC113" s="12">
        <v>7</v>
      </c>
      <c r="AD113" s="12" t="s">
        <v>266</v>
      </c>
      <c r="AE113" s="12" t="s">
        <v>267</v>
      </c>
      <c r="AF113" s="11">
        <v>46168.642627314817</v>
      </c>
      <c r="AG113" s="11">
        <v>46183.606168981481</v>
      </c>
      <c r="AH113" s="12" t="s">
        <v>288</v>
      </c>
    </row>
    <row r="114" spans="1:34" ht="29" x14ac:dyDescent="0.35">
      <c r="A114" s="11">
        <v>46181.338217592587</v>
      </c>
      <c r="B114" s="11">
        <v>46188.556851851848</v>
      </c>
      <c r="C114" s="12" t="s">
        <v>87</v>
      </c>
      <c r="D114" s="12" t="s">
        <v>103</v>
      </c>
      <c r="E114" s="12" t="s">
        <v>286</v>
      </c>
      <c r="F114" s="12" t="s">
        <v>287</v>
      </c>
      <c r="G114" s="12" t="s">
        <v>287</v>
      </c>
      <c r="H114" s="12" t="s">
        <v>81</v>
      </c>
      <c r="I114" s="12"/>
      <c r="J114" s="12"/>
      <c r="K114" s="12"/>
      <c r="L114" s="12" t="s">
        <v>194</v>
      </c>
      <c r="M114" s="12" t="s">
        <v>260</v>
      </c>
      <c r="N114" s="12" t="s">
        <v>260</v>
      </c>
      <c r="O114" s="12" t="s">
        <v>263</v>
      </c>
      <c r="P114" s="12" t="s">
        <v>264</v>
      </c>
      <c r="Q114" s="12" t="s">
        <v>195</v>
      </c>
      <c r="R114" s="12" t="s">
        <v>195</v>
      </c>
      <c r="S114" s="12" t="s">
        <v>195</v>
      </c>
      <c r="T114" s="12" t="s">
        <v>197</v>
      </c>
      <c r="U114" s="12" t="s">
        <v>99</v>
      </c>
      <c r="V114" s="12" t="s">
        <v>100</v>
      </c>
      <c r="W114" s="12" t="s">
        <v>100</v>
      </c>
      <c r="X114" s="12" t="s">
        <v>27</v>
      </c>
      <c r="Y114" s="12" t="s">
        <v>206</v>
      </c>
      <c r="Z114" s="12" t="s">
        <v>207</v>
      </c>
      <c r="AA114" s="12" t="s">
        <v>208</v>
      </c>
      <c r="AB114" s="12">
        <v>0</v>
      </c>
      <c r="AC114" s="12">
        <v>1</v>
      </c>
      <c r="AD114" s="12" t="s">
        <v>207</v>
      </c>
      <c r="AE114" s="12" t="s">
        <v>208</v>
      </c>
      <c r="AF114" s="11">
        <v>46168.642627314817</v>
      </c>
      <c r="AG114" s="11">
        <v>46183.606168981481</v>
      </c>
      <c r="AH114" s="12" t="s">
        <v>288</v>
      </c>
    </row>
    <row r="115" spans="1:34" ht="29" x14ac:dyDescent="0.35">
      <c r="A115" s="11">
        <v>46181.338217592587</v>
      </c>
      <c r="B115" s="11">
        <v>46188.556851851848</v>
      </c>
      <c r="C115" s="12" t="s">
        <v>87</v>
      </c>
      <c r="D115" s="12" t="s">
        <v>103</v>
      </c>
      <c r="E115" s="12" t="s">
        <v>289</v>
      </c>
      <c r="F115" s="12" t="s">
        <v>290</v>
      </c>
      <c r="G115" s="12" t="s">
        <v>290</v>
      </c>
      <c r="H115" s="12" t="s">
        <v>81</v>
      </c>
      <c r="I115" s="12"/>
      <c r="J115" s="12"/>
      <c r="K115" s="12"/>
      <c r="L115" s="12" t="s">
        <v>194</v>
      </c>
      <c r="M115" s="12" t="s">
        <v>260</v>
      </c>
      <c r="N115" s="12" t="s">
        <v>260</v>
      </c>
      <c r="O115" s="12" t="s">
        <v>263</v>
      </c>
      <c r="P115" s="12" t="s">
        <v>264</v>
      </c>
      <c r="Q115" s="12" t="s">
        <v>195</v>
      </c>
      <c r="R115" s="12" t="s">
        <v>195</v>
      </c>
      <c r="S115" s="12" t="s">
        <v>195</v>
      </c>
      <c r="T115" s="12" t="s">
        <v>197</v>
      </c>
      <c r="U115" s="12" t="s">
        <v>99</v>
      </c>
      <c r="V115" s="12" t="s">
        <v>100</v>
      </c>
      <c r="W115" s="12" t="s">
        <v>100</v>
      </c>
      <c r="X115" s="12" t="s">
        <v>24</v>
      </c>
      <c r="Y115" s="12" t="s">
        <v>92</v>
      </c>
      <c r="Z115" s="12" t="s">
        <v>194</v>
      </c>
      <c r="AA115" s="12" t="s">
        <v>260</v>
      </c>
      <c r="AB115" s="12">
        <v>6</v>
      </c>
      <c r="AC115" s="12">
        <v>6</v>
      </c>
      <c r="AD115" s="12" t="s">
        <v>194</v>
      </c>
      <c r="AE115" s="12" t="s">
        <v>260</v>
      </c>
      <c r="AF115" s="11">
        <v>46168.650636574072</v>
      </c>
      <c r="AG115" s="11">
        <v>46184.613645833328</v>
      </c>
      <c r="AH115" s="12" t="s">
        <v>291</v>
      </c>
    </row>
    <row r="116" spans="1:34" ht="29" x14ac:dyDescent="0.35">
      <c r="A116" s="11">
        <v>46181.338217592587</v>
      </c>
      <c r="B116" s="11">
        <v>46188.556851851848</v>
      </c>
      <c r="C116" s="12" t="s">
        <v>87</v>
      </c>
      <c r="D116" s="12" t="s">
        <v>103</v>
      </c>
      <c r="E116" s="12" t="s">
        <v>289</v>
      </c>
      <c r="F116" s="12" t="s">
        <v>290</v>
      </c>
      <c r="G116" s="12" t="s">
        <v>290</v>
      </c>
      <c r="H116" s="12" t="s">
        <v>81</v>
      </c>
      <c r="I116" s="12"/>
      <c r="J116" s="12"/>
      <c r="K116" s="12"/>
      <c r="L116" s="12" t="s">
        <v>194</v>
      </c>
      <c r="M116" s="12" t="s">
        <v>260</v>
      </c>
      <c r="N116" s="12" t="s">
        <v>260</v>
      </c>
      <c r="O116" s="12" t="s">
        <v>263</v>
      </c>
      <c r="P116" s="12" t="s">
        <v>264</v>
      </c>
      <c r="Q116" s="12" t="s">
        <v>195</v>
      </c>
      <c r="R116" s="12" t="s">
        <v>195</v>
      </c>
      <c r="S116" s="12" t="s">
        <v>195</v>
      </c>
      <c r="T116" s="12" t="s">
        <v>197</v>
      </c>
      <c r="U116" s="12" t="s">
        <v>99</v>
      </c>
      <c r="V116" s="12" t="s">
        <v>100</v>
      </c>
      <c r="W116" s="12" t="s">
        <v>100</v>
      </c>
      <c r="X116" s="12" t="s">
        <v>25</v>
      </c>
      <c r="Y116" s="12" t="s">
        <v>262</v>
      </c>
      <c r="Z116" s="12" t="s">
        <v>263</v>
      </c>
      <c r="AA116" s="12" t="s">
        <v>264</v>
      </c>
      <c r="AB116" s="12">
        <v>3</v>
      </c>
      <c r="AC116" s="12">
        <v>4</v>
      </c>
      <c r="AD116" s="12" t="s">
        <v>263</v>
      </c>
      <c r="AE116" s="12" t="s">
        <v>264</v>
      </c>
      <c r="AF116" s="11">
        <v>46168.650636574072</v>
      </c>
      <c r="AG116" s="11">
        <v>46184.613645833328</v>
      </c>
      <c r="AH116" s="12" t="s">
        <v>291</v>
      </c>
    </row>
    <row r="117" spans="1:34" ht="29" x14ac:dyDescent="0.35">
      <c r="A117" s="11">
        <v>46181.338217592587</v>
      </c>
      <c r="B117" s="11">
        <v>46188.556851851848</v>
      </c>
      <c r="C117" s="12" t="s">
        <v>87</v>
      </c>
      <c r="D117" s="12" t="s">
        <v>103</v>
      </c>
      <c r="E117" s="12" t="s">
        <v>289</v>
      </c>
      <c r="F117" s="12" t="s">
        <v>290</v>
      </c>
      <c r="G117" s="12" t="s">
        <v>290</v>
      </c>
      <c r="H117" s="12" t="s">
        <v>81</v>
      </c>
      <c r="I117" s="12"/>
      <c r="J117" s="12"/>
      <c r="K117" s="12"/>
      <c r="L117" s="12" t="s">
        <v>194</v>
      </c>
      <c r="M117" s="12" t="s">
        <v>260</v>
      </c>
      <c r="N117" s="12" t="s">
        <v>260</v>
      </c>
      <c r="O117" s="12" t="s">
        <v>263</v>
      </c>
      <c r="P117" s="12" t="s">
        <v>264</v>
      </c>
      <c r="Q117" s="12" t="s">
        <v>195</v>
      </c>
      <c r="R117" s="12" t="s">
        <v>195</v>
      </c>
      <c r="S117" s="12" t="s">
        <v>195</v>
      </c>
      <c r="T117" s="12" t="s">
        <v>197</v>
      </c>
      <c r="U117" s="12" t="s">
        <v>99</v>
      </c>
      <c r="V117" s="12" t="s">
        <v>100</v>
      </c>
      <c r="W117" s="12" t="s">
        <v>100</v>
      </c>
      <c r="X117" s="12" t="s">
        <v>23</v>
      </c>
      <c r="Y117" s="12" t="s">
        <v>80</v>
      </c>
      <c r="Z117" s="12" t="s">
        <v>197</v>
      </c>
      <c r="AA117" s="12" t="s">
        <v>99</v>
      </c>
      <c r="AB117" s="12">
        <v>11</v>
      </c>
      <c r="AC117" s="12">
        <v>14</v>
      </c>
      <c r="AD117" s="12" t="s">
        <v>197</v>
      </c>
      <c r="AE117" s="12" t="s">
        <v>99</v>
      </c>
      <c r="AF117" s="11">
        <v>46168.650636574072</v>
      </c>
      <c r="AG117" s="11">
        <v>46184.613645833328</v>
      </c>
      <c r="AH117" s="12" t="s">
        <v>291</v>
      </c>
    </row>
    <row r="118" spans="1:34" ht="29" x14ac:dyDescent="0.35">
      <c r="A118" s="11">
        <v>46181.338217592587</v>
      </c>
      <c r="B118" s="11">
        <v>46188.556851851848</v>
      </c>
      <c r="C118" s="12" t="s">
        <v>87</v>
      </c>
      <c r="D118" s="12" t="s">
        <v>103</v>
      </c>
      <c r="E118" s="12" t="s">
        <v>289</v>
      </c>
      <c r="F118" s="12" t="s">
        <v>290</v>
      </c>
      <c r="G118" s="12" t="s">
        <v>290</v>
      </c>
      <c r="H118" s="12" t="s">
        <v>81</v>
      </c>
      <c r="I118" s="12"/>
      <c r="J118" s="12"/>
      <c r="K118" s="12"/>
      <c r="L118" s="12" t="s">
        <v>194</v>
      </c>
      <c r="M118" s="12" t="s">
        <v>260</v>
      </c>
      <c r="N118" s="12" t="s">
        <v>260</v>
      </c>
      <c r="O118" s="12" t="s">
        <v>263</v>
      </c>
      <c r="P118" s="12" t="s">
        <v>264</v>
      </c>
      <c r="Q118" s="12" t="s">
        <v>195</v>
      </c>
      <c r="R118" s="12" t="s">
        <v>195</v>
      </c>
      <c r="S118" s="12" t="s">
        <v>195</v>
      </c>
      <c r="T118" s="12" t="s">
        <v>197</v>
      </c>
      <c r="U118" s="12" t="s">
        <v>99</v>
      </c>
      <c r="V118" s="12" t="s">
        <v>100</v>
      </c>
      <c r="W118" s="12" t="s">
        <v>100</v>
      </c>
      <c r="X118" s="12" t="s">
        <v>26</v>
      </c>
      <c r="Y118" s="12" t="s">
        <v>265</v>
      </c>
      <c r="Z118" s="12" t="s">
        <v>266</v>
      </c>
      <c r="AA118" s="12" t="s">
        <v>267</v>
      </c>
      <c r="AB118" s="12">
        <v>10</v>
      </c>
      <c r="AC118" s="12">
        <v>7</v>
      </c>
      <c r="AD118" s="12" t="s">
        <v>266</v>
      </c>
      <c r="AE118" s="12" t="s">
        <v>267</v>
      </c>
      <c r="AF118" s="11">
        <v>46168.650636574072</v>
      </c>
      <c r="AG118" s="11">
        <v>46184.613645833328</v>
      </c>
      <c r="AH118" s="12" t="s">
        <v>291</v>
      </c>
    </row>
    <row r="119" spans="1:34" ht="29" x14ac:dyDescent="0.35">
      <c r="A119" s="11">
        <v>46181.338217592587</v>
      </c>
      <c r="B119" s="11">
        <v>46188.556851851848</v>
      </c>
      <c r="C119" s="12" t="s">
        <v>87</v>
      </c>
      <c r="D119" s="12" t="s">
        <v>103</v>
      </c>
      <c r="E119" s="12" t="s">
        <v>289</v>
      </c>
      <c r="F119" s="12" t="s">
        <v>290</v>
      </c>
      <c r="G119" s="12" t="s">
        <v>290</v>
      </c>
      <c r="H119" s="12" t="s">
        <v>81</v>
      </c>
      <c r="I119" s="12"/>
      <c r="J119" s="12"/>
      <c r="K119" s="12"/>
      <c r="L119" s="12" t="s">
        <v>194</v>
      </c>
      <c r="M119" s="12" t="s">
        <v>260</v>
      </c>
      <c r="N119" s="12" t="s">
        <v>260</v>
      </c>
      <c r="O119" s="12" t="s">
        <v>263</v>
      </c>
      <c r="P119" s="12" t="s">
        <v>264</v>
      </c>
      <c r="Q119" s="12" t="s">
        <v>195</v>
      </c>
      <c r="R119" s="12" t="s">
        <v>195</v>
      </c>
      <c r="S119" s="12" t="s">
        <v>195</v>
      </c>
      <c r="T119" s="12" t="s">
        <v>197</v>
      </c>
      <c r="U119" s="12" t="s">
        <v>99</v>
      </c>
      <c r="V119" s="12" t="s">
        <v>100</v>
      </c>
      <c r="W119" s="12" t="s">
        <v>100</v>
      </c>
      <c r="X119" s="12" t="s">
        <v>27</v>
      </c>
      <c r="Y119" s="12" t="s">
        <v>206</v>
      </c>
      <c r="Z119" s="12" t="s">
        <v>207</v>
      </c>
      <c r="AA119" s="12" t="s">
        <v>208</v>
      </c>
      <c r="AB119" s="12">
        <v>0</v>
      </c>
      <c r="AC119" s="12">
        <v>1</v>
      </c>
      <c r="AD119" s="12" t="s">
        <v>207</v>
      </c>
      <c r="AE119" s="12" t="s">
        <v>208</v>
      </c>
      <c r="AF119" s="11">
        <v>46168.650636574072</v>
      </c>
      <c r="AG119" s="11">
        <v>46184.613645833328</v>
      </c>
      <c r="AH119" s="12" t="s">
        <v>291</v>
      </c>
    </row>
    <row r="120" spans="1:34" ht="29" x14ac:dyDescent="0.35">
      <c r="A120" s="11">
        <v>46181.338217592587</v>
      </c>
      <c r="B120" s="11">
        <v>46188.556851851848</v>
      </c>
      <c r="C120" s="12" t="s">
        <v>87</v>
      </c>
      <c r="D120" s="12" t="s">
        <v>103</v>
      </c>
      <c r="E120" s="12" t="s">
        <v>292</v>
      </c>
      <c r="F120" s="12" t="s">
        <v>293</v>
      </c>
      <c r="G120" s="12" t="s">
        <v>293</v>
      </c>
      <c r="H120" s="12" t="s">
        <v>81</v>
      </c>
      <c r="I120" s="12"/>
      <c r="J120" s="12"/>
      <c r="K120" s="12"/>
      <c r="L120" s="12" t="s">
        <v>194</v>
      </c>
      <c r="M120" s="12" t="s">
        <v>260</v>
      </c>
      <c r="N120" s="12" t="s">
        <v>260</v>
      </c>
      <c r="O120" s="12" t="s">
        <v>263</v>
      </c>
      <c r="P120" s="12" t="s">
        <v>264</v>
      </c>
      <c r="Q120" s="12" t="s">
        <v>195</v>
      </c>
      <c r="R120" s="12" t="s">
        <v>195</v>
      </c>
      <c r="S120" s="12" t="s">
        <v>195</v>
      </c>
      <c r="T120" s="12" t="s">
        <v>197</v>
      </c>
      <c r="U120" s="12" t="s">
        <v>99</v>
      </c>
      <c r="V120" s="12" t="s">
        <v>100</v>
      </c>
      <c r="W120" s="12" t="s">
        <v>100</v>
      </c>
      <c r="X120" s="12" t="s">
        <v>24</v>
      </c>
      <c r="Y120" s="12" t="s">
        <v>92</v>
      </c>
      <c r="Z120" s="12" t="s">
        <v>194</v>
      </c>
      <c r="AA120" s="12" t="s">
        <v>260</v>
      </c>
      <c r="AB120" s="12">
        <v>6</v>
      </c>
      <c r="AC120" s="12">
        <v>6</v>
      </c>
      <c r="AD120" s="12" t="s">
        <v>194</v>
      </c>
      <c r="AE120" s="12" t="s">
        <v>260</v>
      </c>
      <c r="AF120" s="11">
        <v>46169.318298611113</v>
      </c>
      <c r="AG120" s="11">
        <v>46183.559074074074</v>
      </c>
      <c r="AH120" s="12" t="s">
        <v>294</v>
      </c>
    </row>
    <row r="121" spans="1:34" ht="29" x14ac:dyDescent="0.35">
      <c r="A121" s="11">
        <v>46181.338217592587</v>
      </c>
      <c r="B121" s="11">
        <v>46188.556851851848</v>
      </c>
      <c r="C121" s="12" t="s">
        <v>87</v>
      </c>
      <c r="D121" s="12" t="s">
        <v>103</v>
      </c>
      <c r="E121" s="12" t="s">
        <v>292</v>
      </c>
      <c r="F121" s="12" t="s">
        <v>293</v>
      </c>
      <c r="G121" s="12" t="s">
        <v>293</v>
      </c>
      <c r="H121" s="12" t="s">
        <v>81</v>
      </c>
      <c r="I121" s="12"/>
      <c r="J121" s="12"/>
      <c r="K121" s="12"/>
      <c r="L121" s="12" t="s">
        <v>194</v>
      </c>
      <c r="M121" s="12" t="s">
        <v>260</v>
      </c>
      <c r="N121" s="12" t="s">
        <v>260</v>
      </c>
      <c r="O121" s="12" t="s">
        <v>263</v>
      </c>
      <c r="P121" s="12" t="s">
        <v>264</v>
      </c>
      <c r="Q121" s="12" t="s">
        <v>195</v>
      </c>
      <c r="R121" s="12" t="s">
        <v>195</v>
      </c>
      <c r="S121" s="12" t="s">
        <v>195</v>
      </c>
      <c r="T121" s="12" t="s">
        <v>197</v>
      </c>
      <c r="U121" s="12" t="s">
        <v>99</v>
      </c>
      <c r="V121" s="12" t="s">
        <v>100</v>
      </c>
      <c r="W121" s="12" t="s">
        <v>100</v>
      </c>
      <c r="X121" s="12" t="s">
        <v>25</v>
      </c>
      <c r="Y121" s="12" t="s">
        <v>262</v>
      </c>
      <c r="Z121" s="12" t="s">
        <v>263</v>
      </c>
      <c r="AA121" s="12" t="s">
        <v>264</v>
      </c>
      <c r="AB121" s="12">
        <v>3</v>
      </c>
      <c r="AC121" s="12">
        <v>4</v>
      </c>
      <c r="AD121" s="12" t="s">
        <v>263</v>
      </c>
      <c r="AE121" s="12" t="s">
        <v>264</v>
      </c>
      <c r="AF121" s="11">
        <v>46169.318298611113</v>
      </c>
      <c r="AG121" s="11">
        <v>46183.559074074074</v>
      </c>
      <c r="AH121" s="12" t="s">
        <v>294</v>
      </c>
    </row>
    <row r="122" spans="1:34" ht="29" x14ac:dyDescent="0.35">
      <c r="A122" s="11">
        <v>46181.338217592587</v>
      </c>
      <c r="B122" s="11">
        <v>46188.556851851848</v>
      </c>
      <c r="C122" s="12" t="s">
        <v>87</v>
      </c>
      <c r="D122" s="12" t="s">
        <v>103</v>
      </c>
      <c r="E122" s="12" t="s">
        <v>292</v>
      </c>
      <c r="F122" s="12" t="s">
        <v>293</v>
      </c>
      <c r="G122" s="12" t="s">
        <v>293</v>
      </c>
      <c r="H122" s="12" t="s">
        <v>81</v>
      </c>
      <c r="I122" s="12"/>
      <c r="J122" s="12"/>
      <c r="K122" s="12"/>
      <c r="L122" s="12" t="s">
        <v>194</v>
      </c>
      <c r="M122" s="12" t="s">
        <v>260</v>
      </c>
      <c r="N122" s="12" t="s">
        <v>260</v>
      </c>
      <c r="O122" s="12" t="s">
        <v>263</v>
      </c>
      <c r="P122" s="12" t="s">
        <v>264</v>
      </c>
      <c r="Q122" s="12" t="s">
        <v>195</v>
      </c>
      <c r="R122" s="12" t="s">
        <v>195</v>
      </c>
      <c r="S122" s="12" t="s">
        <v>195</v>
      </c>
      <c r="T122" s="12" t="s">
        <v>197</v>
      </c>
      <c r="U122" s="12" t="s">
        <v>99</v>
      </c>
      <c r="V122" s="12" t="s">
        <v>100</v>
      </c>
      <c r="W122" s="12" t="s">
        <v>100</v>
      </c>
      <c r="X122" s="12" t="s">
        <v>23</v>
      </c>
      <c r="Y122" s="12" t="s">
        <v>80</v>
      </c>
      <c r="Z122" s="12" t="s">
        <v>197</v>
      </c>
      <c r="AA122" s="12" t="s">
        <v>99</v>
      </c>
      <c r="AB122" s="12">
        <v>11</v>
      </c>
      <c r="AC122" s="12">
        <v>14</v>
      </c>
      <c r="AD122" s="12" t="s">
        <v>197</v>
      </c>
      <c r="AE122" s="12" t="s">
        <v>99</v>
      </c>
      <c r="AF122" s="11">
        <v>46169.318298611113</v>
      </c>
      <c r="AG122" s="11">
        <v>46183.559074074074</v>
      </c>
      <c r="AH122" s="12" t="s">
        <v>294</v>
      </c>
    </row>
    <row r="123" spans="1:34" ht="29" x14ac:dyDescent="0.35">
      <c r="A123" s="11">
        <v>46181.338217592587</v>
      </c>
      <c r="B123" s="11">
        <v>46188.556851851848</v>
      </c>
      <c r="C123" s="12" t="s">
        <v>87</v>
      </c>
      <c r="D123" s="12" t="s">
        <v>103</v>
      </c>
      <c r="E123" s="12" t="s">
        <v>292</v>
      </c>
      <c r="F123" s="12" t="s">
        <v>293</v>
      </c>
      <c r="G123" s="12" t="s">
        <v>293</v>
      </c>
      <c r="H123" s="12" t="s">
        <v>81</v>
      </c>
      <c r="I123" s="12"/>
      <c r="J123" s="12"/>
      <c r="K123" s="12"/>
      <c r="L123" s="12" t="s">
        <v>194</v>
      </c>
      <c r="M123" s="12" t="s">
        <v>260</v>
      </c>
      <c r="N123" s="12" t="s">
        <v>260</v>
      </c>
      <c r="O123" s="12" t="s">
        <v>263</v>
      </c>
      <c r="P123" s="12" t="s">
        <v>264</v>
      </c>
      <c r="Q123" s="12" t="s">
        <v>195</v>
      </c>
      <c r="R123" s="12" t="s">
        <v>195</v>
      </c>
      <c r="S123" s="12" t="s">
        <v>195</v>
      </c>
      <c r="T123" s="12" t="s">
        <v>197</v>
      </c>
      <c r="U123" s="12" t="s">
        <v>99</v>
      </c>
      <c r="V123" s="12" t="s">
        <v>100</v>
      </c>
      <c r="W123" s="12" t="s">
        <v>100</v>
      </c>
      <c r="X123" s="12" t="s">
        <v>26</v>
      </c>
      <c r="Y123" s="12" t="s">
        <v>265</v>
      </c>
      <c r="Z123" s="12" t="s">
        <v>266</v>
      </c>
      <c r="AA123" s="12" t="s">
        <v>267</v>
      </c>
      <c r="AB123" s="12">
        <v>10</v>
      </c>
      <c r="AC123" s="12">
        <v>7</v>
      </c>
      <c r="AD123" s="12" t="s">
        <v>266</v>
      </c>
      <c r="AE123" s="12" t="s">
        <v>267</v>
      </c>
      <c r="AF123" s="11">
        <v>46169.318298611113</v>
      </c>
      <c r="AG123" s="11">
        <v>46183.559074074074</v>
      </c>
      <c r="AH123" s="12" t="s">
        <v>294</v>
      </c>
    </row>
    <row r="124" spans="1:34" ht="29" x14ac:dyDescent="0.35">
      <c r="A124" s="11">
        <v>46181.338217592587</v>
      </c>
      <c r="B124" s="11">
        <v>46188.556851851848</v>
      </c>
      <c r="C124" s="12" t="s">
        <v>87</v>
      </c>
      <c r="D124" s="12" t="s">
        <v>103</v>
      </c>
      <c r="E124" s="12" t="s">
        <v>295</v>
      </c>
      <c r="F124" s="12" t="s">
        <v>296</v>
      </c>
      <c r="G124" s="12" t="s">
        <v>296</v>
      </c>
      <c r="H124" s="12" t="s">
        <v>81</v>
      </c>
      <c r="I124" s="12"/>
      <c r="J124" s="12"/>
      <c r="K124" s="12"/>
      <c r="L124" s="12" t="s">
        <v>194</v>
      </c>
      <c r="M124" s="12" t="s">
        <v>260</v>
      </c>
      <c r="N124" s="12" t="s">
        <v>260</v>
      </c>
      <c r="O124" s="12" t="s">
        <v>263</v>
      </c>
      <c r="P124" s="12" t="s">
        <v>264</v>
      </c>
      <c r="Q124" s="12" t="s">
        <v>195</v>
      </c>
      <c r="R124" s="12" t="s">
        <v>195</v>
      </c>
      <c r="S124" s="12" t="s">
        <v>195</v>
      </c>
      <c r="T124" s="12" t="s">
        <v>197</v>
      </c>
      <c r="U124" s="12" t="s">
        <v>99</v>
      </c>
      <c r="V124" s="12" t="s">
        <v>100</v>
      </c>
      <c r="W124" s="12" t="s">
        <v>100</v>
      </c>
      <c r="X124" s="12" t="s">
        <v>24</v>
      </c>
      <c r="Y124" s="12" t="s">
        <v>92</v>
      </c>
      <c r="Z124" s="12" t="s">
        <v>194</v>
      </c>
      <c r="AA124" s="12" t="s">
        <v>260</v>
      </c>
      <c r="AB124" s="12">
        <v>6</v>
      </c>
      <c r="AC124" s="12">
        <v>6</v>
      </c>
      <c r="AD124" s="12" t="s">
        <v>194</v>
      </c>
      <c r="AE124" s="12" t="s">
        <v>260</v>
      </c>
      <c r="AF124" s="11">
        <v>46169.320497685178</v>
      </c>
      <c r="AG124" s="11">
        <v>46183.393506944441</v>
      </c>
      <c r="AH124" s="12" t="s">
        <v>297</v>
      </c>
    </row>
    <row r="125" spans="1:34" ht="29" x14ac:dyDescent="0.35">
      <c r="A125" s="11">
        <v>46181.338217592587</v>
      </c>
      <c r="B125" s="11">
        <v>46188.556851851848</v>
      </c>
      <c r="C125" s="12" t="s">
        <v>87</v>
      </c>
      <c r="D125" s="12" t="s">
        <v>103</v>
      </c>
      <c r="E125" s="12" t="s">
        <v>295</v>
      </c>
      <c r="F125" s="12" t="s">
        <v>296</v>
      </c>
      <c r="G125" s="12" t="s">
        <v>296</v>
      </c>
      <c r="H125" s="12" t="s">
        <v>81</v>
      </c>
      <c r="I125" s="12"/>
      <c r="J125" s="12"/>
      <c r="K125" s="12"/>
      <c r="L125" s="12" t="s">
        <v>194</v>
      </c>
      <c r="M125" s="12" t="s">
        <v>260</v>
      </c>
      <c r="N125" s="12" t="s">
        <v>260</v>
      </c>
      <c r="O125" s="12" t="s">
        <v>263</v>
      </c>
      <c r="P125" s="12" t="s">
        <v>264</v>
      </c>
      <c r="Q125" s="12" t="s">
        <v>195</v>
      </c>
      <c r="R125" s="12" t="s">
        <v>195</v>
      </c>
      <c r="S125" s="12" t="s">
        <v>195</v>
      </c>
      <c r="T125" s="12" t="s">
        <v>197</v>
      </c>
      <c r="U125" s="12" t="s">
        <v>99</v>
      </c>
      <c r="V125" s="12" t="s">
        <v>100</v>
      </c>
      <c r="W125" s="12" t="s">
        <v>100</v>
      </c>
      <c r="X125" s="12" t="s">
        <v>25</v>
      </c>
      <c r="Y125" s="12" t="s">
        <v>262</v>
      </c>
      <c r="Z125" s="12" t="s">
        <v>263</v>
      </c>
      <c r="AA125" s="12" t="s">
        <v>264</v>
      </c>
      <c r="AB125" s="12">
        <v>3</v>
      </c>
      <c r="AC125" s="12">
        <v>4</v>
      </c>
      <c r="AD125" s="12" t="s">
        <v>263</v>
      </c>
      <c r="AE125" s="12" t="s">
        <v>264</v>
      </c>
      <c r="AF125" s="11">
        <v>46169.320497685178</v>
      </c>
      <c r="AG125" s="11">
        <v>46183.393506944441</v>
      </c>
      <c r="AH125" s="12" t="s">
        <v>297</v>
      </c>
    </row>
    <row r="126" spans="1:34" ht="29" x14ac:dyDescent="0.35">
      <c r="A126" s="11">
        <v>46181.338217592587</v>
      </c>
      <c r="B126" s="11">
        <v>46188.556851851848</v>
      </c>
      <c r="C126" s="12" t="s">
        <v>87</v>
      </c>
      <c r="D126" s="12" t="s">
        <v>103</v>
      </c>
      <c r="E126" s="12" t="s">
        <v>295</v>
      </c>
      <c r="F126" s="12" t="s">
        <v>296</v>
      </c>
      <c r="G126" s="12" t="s">
        <v>296</v>
      </c>
      <c r="H126" s="12" t="s">
        <v>81</v>
      </c>
      <c r="I126" s="12"/>
      <c r="J126" s="12"/>
      <c r="K126" s="12"/>
      <c r="L126" s="12" t="s">
        <v>194</v>
      </c>
      <c r="M126" s="12" t="s">
        <v>260</v>
      </c>
      <c r="N126" s="12" t="s">
        <v>260</v>
      </c>
      <c r="O126" s="12" t="s">
        <v>263</v>
      </c>
      <c r="P126" s="12" t="s">
        <v>264</v>
      </c>
      <c r="Q126" s="12" t="s">
        <v>195</v>
      </c>
      <c r="R126" s="12" t="s">
        <v>195</v>
      </c>
      <c r="S126" s="12" t="s">
        <v>195</v>
      </c>
      <c r="T126" s="12" t="s">
        <v>197</v>
      </c>
      <c r="U126" s="12" t="s">
        <v>99</v>
      </c>
      <c r="V126" s="12" t="s">
        <v>100</v>
      </c>
      <c r="W126" s="12" t="s">
        <v>100</v>
      </c>
      <c r="X126" s="12" t="s">
        <v>23</v>
      </c>
      <c r="Y126" s="12" t="s">
        <v>80</v>
      </c>
      <c r="Z126" s="12" t="s">
        <v>197</v>
      </c>
      <c r="AA126" s="12" t="s">
        <v>99</v>
      </c>
      <c r="AB126" s="12">
        <v>11</v>
      </c>
      <c r="AC126" s="12">
        <v>14</v>
      </c>
      <c r="AD126" s="12" t="s">
        <v>197</v>
      </c>
      <c r="AE126" s="12" t="s">
        <v>99</v>
      </c>
      <c r="AF126" s="11">
        <v>46169.320497685178</v>
      </c>
      <c r="AG126" s="11">
        <v>46183.393506944441</v>
      </c>
      <c r="AH126" s="12" t="s">
        <v>297</v>
      </c>
    </row>
    <row r="127" spans="1:34" ht="29" x14ac:dyDescent="0.35">
      <c r="A127" s="11">
        <v>46181.338217592587</v>
      </c>
      <c r="B127" s="11">
        <v>46188.556851851848</v>
      </c>
      <c r="C127" s="12" t="s">
        <v>87</v>
      </c>
      <c r="D127" s="12" t="s">
        <v>103</v>
      </c>
      <c r="E127" s="12" t="s">
        <v>295</v>
      </c>
      <c r="F127" s="12" t="s">
        <v>296</v>
      </c>
      <c r="G127" s="12" t="s">
        <v>296</v>
      </c>
      <c r="H127" s="12" t="s">
        <v>81</v>
      </c>
      <c r="I127" s="12"/>
      <c r="J127" s="12"/>
      <c r="K127" s="12"/>
      <c r="L127" s="12" t="s">
        <v>194</v>
      </c>
      <c r="M127" s="12" t="s">
        <v>260</v>
      </c>
      <c r="N127" s="12" t="s">
        <v>260</v>
      </c>
      <c r="O127" s="12" t="s">
        <v>263</v>
      </c>
      <c r="P127" s="12" t="s">
        <v>264</v>
      </c>
      <c r="Q127" s="12" t="s">
        <v>195</v>
      </c>
      <c r="R127" s="12" t="s">
        <v>195</v>
      </c>
      <c r="S127" s="12" t="s">
        <v>195</v>
      </c>
      <c r="T127" s="12" t="s">
        <v>197</v>
      </c>
      <c r="U127" s="12" t="s">
        <v>99</v>
      </c>
      <c r="V127" s="12" t="s">
        <v>100</v>
      </c>
      <c r="W127" s="12" t="s">
        <v>100</v>
      </c>
      <c r="X127" s="12" t="s">
        <v>26</v>
      </c>
      <c r="Y127" s="12" t="s">
        <v>265</v>
      </c>
      <c r="Z127" s="12" t="s">
        <v>266</v>
      </c>
      <c r="AA127" s="12" t="s">
        <v>267</v>
      </c>
      <c r="AB127" s="12">
        <v>10</v>
      </c>
      <c r="AC127" s="12">
        <v>7</v>
      </c>
      <c r="AD127" s="12" t="s">
        <v>266</v>
      </c>
      <c r="AE127" s="12" t="s">
        <v>267</v>
      </c>
      <c r="AF127" s="11">
        <v>46169.320497685178</v>
      </c>
      <c r="AG127" s="11">
        <v>46183.393506944441</v>
      </c>
      <c r="AH127" s="12" t="s">
        <v>297</v>
      </c>
    </row>
    <row r="128" spans="1:34" ht="29" x14ac:dyDescent="0.35">
      <c r="A128" s="11">
        <v>46181.338217592587</v>
      </c>
      <c r="B128" s="11">
        <v>46188.556851851848</v>
      </c>
      <c r="C128" s="12" t="s">
        <v>87</v>
      </c>
      <c r="D128" s="12" t="s">
        <v>103</v>
      </c>
      <c r="E128" s="12" t="s">
        <v>295</v>
      </c>
      <c r="F128" s="12" t="s">
        <v>296</v>
      </c>
      <c r="G128" s="12" t="s">
        <v>296</v>
      </c>
      <c r="H128" s="12" t="s">
        <v>81</v>
      </c>
      <c r="I128" s="12"/>
      <c r="J128" s="12"/>
      <c r="K128" s="12"/>
      <c r="L128" s="12" t="s">
        <v>194</v>
      </c>
      <c r="M128" s="12" t="s">
        <v>260</v>
      </c>
      <c r="N128" s="12" t="s">
        <v>260</v>
      </c>
      <c r="O128" s="12" t="s">
        <v>263</v>
      </c>
      <c r="P128" s="12" t="s">
        <v>264</v>
      </c>
      <c r="Q128" s="12" t="s">
        <v>195</v>
      </c>
      <c r="R128" s="12" t="s">
        <v>195</v>
      </c>
      <c r="S128" s="12" t="s">
        <v>195</v>
      </c>
      <c r="T128" s="12" t="s">
        <v>197</v>
      </c>
      <c r="U128" s="12" t="s">
        <v>99</v>
      </c>
      <c r="V128" s="12" t="s">
        <v>100</v>
      </c>
      <c r="W128" s="12" t="s">
        <v>100</v>
      </c>
      <c r="X128" s="12" t="s">
        <v>27</v>
      </c>
      <c r="Y128" s="12" t="s">
        <v>206</v>
      </c>
      <c r="Z128" s="12" t="s">
        <v>207</v>
      </c>
      <c r="AA128" s="12" t="s">
        <v>208</v>
      </c>
      <c r="AB128" s="12">
        <v>0</v>
      </c>
      <c r="AC128" s="12">
        <v>1</v>
      </c>
      <c r="AD128" s="12" t="s">
        <v>207</v>
      </c>
      <c r="AE128" s="12" t="s">
        <v>208</v>
      </c>
      <c r="AF128" s="11">
        <v>46169.320497685178</v>
      </c>
      <c r="AG128" s="11">
        <v>46183.393506944441</v>
      </c>
      <c r="AH128" s="12" t="s">
        <v>297</v>
      </c>
    </row>
    <row r="129" spans="1:34" ht="29" x14ac:dyDescent="0.35">
      <c r="A129" s="11">
        <v>46181.338217592587</v>
      </c>
      <c r="B129" s="11">
        <v>46188.556851851848</v>
      </c>
      <c r="C129" s="12" t="s">
        <v>87</v>
      </c>
      <c r="D129" s="12" t="s">
        <v>103</v>
      </c>
      <c r="E129" s="12" t="s">
        <v>220</v>
      </c>
      <c r="F129" s="12" t="s">
        <v>221</v>
      </c>
      <c r="G129" s="12" t="s">
        <v>221</v>
      </c>
      <c r="H129" s="12" t="s">
        <v>81</v>
      </c>
      <c r="I129" s="12"/>
      <c r="J129" s="12"/>
      <c r="K129" s="12"/>
      <c r="L129" s="12" t="s">
        <v>194</v>
      </c>
      <c r="M129" s="12" t="s">
        <v>194</v>
      </c>
      <c r="N129" s="12" t="s">
        <v>194</v>
      </c>
      <c r="O129" s="12" t="s">
        <v>263</v>
      </c>
      <c r="P129" s="12" t="s">
        <v>263</v>
      </c>
      <c r="Q129" s="12" t="s">
        <v>195</v>
      </c>
      <c r="R129" s="12" t="s">
        <v>195</v>
      </c>
      <c r="S129" s="12" t="s">
        <v>195</v>
      </c>
      <c r="T129" s="12" t="s">
        <v>197</v>
      </c>
      <c r="U129" s="12" t="s">
        <v>197</v>
      </c>
      <c r="V129" s="12" t="s">
        <v>100</v>
      </c>
      <c r="W129" s="12" t="s">
        <v>100</v>
      </c>
      <c r="X129" s="12" t="s">
        <v>27</v>
      </c>
      <c r="Y129" s="12" t="s">
        <v>206</v>
      </c>
      <c r="Z129" s="12" t="s">
        <v>207</v>
      </c>
      <c r="AA129" s="12" t="s">
        <v>208</v>
      </c>
      <c r="AB129" s="12">
        <v>0</v>
      </c>
      <c r="AC129" s="12">
        <v>1</v>
      </c>
      <c r="AD129" s="12" t="s">
        <v>207</v>
      </c>
      <c r="AE129" s="12" t="s">
        <v>208</v>
      </c>
      <c r="AF129" s="11">
        <v>46169.325578703712</v>
      </c>
      <c r="AG129" s="11">
        <v>46188.53402777778</v>
      </c>
      <c r="AH129" s="12" t="s">
        <v>222</v>
      </c>
    </row>
    <row r="130" spans="1:34" ht="29" x14ac:dyDescent="0.35">
      <c r="A130" s="11">
        <v>46181.338217592587</v>
      </c>
      <c r="B130" s="11">
        <v>46188.556851851848</v>
      </c>
      <c r="C130" s="12" t="s">
        <v>87</v>
      </c>
      <c r="D130" s="12" t="s">
        <v>103</v>
      </c>
      <c r="E130" s="12" t="s">
        <v>223</v>
      </c>
      <c r="F130" s="12" t="s">
        <v>224</v>
      </c>
      <c r="G130" s="12" t="s">
        <v>224</v>
      </c>
      <c r="H130" s="12" t="s">
        <v>81</v>
      </c>
      <c r="I130" s="12"/>
      <c r="J130" s="12"/>
      <c r="K130" s="12"/>
      <c r="L130" s="12" t="s">
        <v>194</v>
      </c>
      <c r="M130" s="12" t="s">
        <v>194</v>
      </c>
      <c r="N130" s="12" t="s">
        <v>194</v>
      </c>
      <c r="O130" s="12" t="s">
        <v>263</v>
      </c>
      <c r="P130" s="12" t="s">
        <v>263</v>
      </c>
      <c r="Q130" s="12" t="s">
        <v>195</v>
      </c>
      <c r="R130" s="12" t="s">
        <v>195</v>
      </c>
      <c r="S130" s="12" t="s">
        <v>195</v>
      </c>
      <c r="T130" s="12" t="s">
        <v>197</v>
      </c>
      <c r="U130" s="12" t="s">
        <v>99</v>
      </c>
      <c r="V130" s="12" t="s">
        <v>100</v>
      </c>
      <c r="W130" s="12" t="s">
        <v>100</v>
      </c>
      <c r="X130" s="12" t="s">
        <v>23</v>
      </c>
      <c r="Y130" s="12" t="s">
        <v>80</v>
      </c>
      <c r="Z130" s="12" t="s">
        <v>197</v>
      </c>
      <c r="AA130" s="12" t="s">
        <v>99</v>
      </c>
      <c r="AB130" s="12">
        <v>11</v>
      </c>
      <c r="AC130" s="12">
        <v>14</v>
      </c>
      <c r="AD130" s="12" t="s">
        <v>197</v>
      </c>
      <c r="AE130" s="12" t="s">
        <v>99</v>
      </c>
      <c r="AF130" s="11">
        <v>46169.326168981483</v>
      </c>
      <c r="AG130" s="11">
        <v>46188.432118055563</v>
      </c>
      <c r="AH130" s="12" t="s">
        <v>225</v>
      </c>
    </row>
    <row r="131" spans="1:34" ht="29" x14ac:dyDescent="0.35">
      <c r="A131" s="11">
        <v>46181.338217592587</v>
      </c>
      <c r="B131" s="11">
        <v>46188.556851851848</v>
      </c>
      <c r="C131" s="12" t="s">
        <v>87</v>
      </c>
      <c r="D131" s="12" t="s">
        <v>103</v>
      </c>
      <c r="E131" s="12" t="s">
        <v>298</v>
      </c>
      <c r="F131" s="12" t="s">
        <v>299</v>
      </c>
      <c r="G131" s="12" t="s">
        <v>299</v>
      </c>
      <c r="H131" s="12" t="s">
        <v>81</v>
      </c>
      <c r="I131" s="12"/>
      <c r="J131" s="12"/>
      <c r="K131" s="12"/>
      <c r="L131" s="12" t="s">
        <v>194</v>
      </c>
      <c r="M131" s="12" t="s">
        <v>260</v>
      </c>
      <c r="N131" s="12" t="s">
        <v>260</v>
      </c>
      <c r="O131" s="12" t="s">
        <v>263</v>
      </c>
      <c r="P131" s="12" t="s">
        <v>264</v>
      </c>
      <c r="Q131" s="12" t="s">
        <v>195</v>
      </c>
      <c r="R131" s="12" t="s">
        <v>195</v>
      </c>
      <c r="S131" s="12" t="s">
        <v>195</v>
      </c>
      <c r="T131" s="12" t="s">
        <v>197</v>
      </c>
      <c r="U131" s="12" t="s">
        <v>99</v>
      </c>
      <c r="V131" s="12" t="s">
        <v>100</v>
      </c>
      <c r="W131" s="12" t="s">
        <v>100</v>
      </c>
      <c r="X131" s="12" t="s">
        <v>24</v>
      </c>
      <c r="Y131" s="12" t="s">
        <v>92</v>
      </c>
      <c r="Z131" s="12" t="s">
        <v>194</v>
      </c>
      <c r="AA131" s="12" t="s">
        <v>260</v>
      </c>
      <c r="AB131" s="12">
        <v>6</v>
      </c>
      <c r="AC131" s="12">
        <v>6</v>
      </c>
      <c r="AD131" s="12" t="s">
        <v>194</v>
      </c>
      <c r="AE131" s="12" t="s">
        <v>260</v>
      </c>
      <c r="AF131" s="11">
        <v>46169.326817129629</v>
      </c>
      <c r="AG131" s="11">
        <v>46188.383553240739</v>
      </c>
      <c r="AH131" s="12" t="s">
        <v>300</v>
      </c>
    </row>
    <row r="132" spans="1:34" ht="29" x14ac:dyDescent="0.35">
      <c r="A132" s="11">
        <v>46181.338217592587</v>
      </c>
      <c r="B132" s="11">
        <v>46188.556851851848</v>
      </c>
      <c r="C132" s="12" t="s">
        <v>87</v>
      </c>
      <c r="D132" s="12" t="s">
        <v>103</v>
      </c>
      <c r="E132" s="12" t="s">
        <v>298</v>
      </c>
      <c r="F132" s="12" t="s">
        <v>299</v>
      </c>
      <c r="G132" s="12" t="s">
        <v>299</v>
      </c>
      <c r="H132" s="12" t="s">
        <v>81</v>
      </c>
      <c r="I132" s="12"/>
      <c r="J132" s="12"/>
      <c r="K132" s="12"/>
      <c r="L132" s="12" t="s">
        <v>194</v>
      </c>
      <c r="M132" s="12" t="s">
        <v>260</v>
      </c>
      <c r="N132" s="12" t="s">
        <v>260</v>
      </c>
      <c r="O132" s="12" t="s">
        <v>263</v>
      </c>
      <c r="P132" s="12" t="s">
        <v>264</v>
      </c>
      <c r="Q132" s="12" t="s">
        <v>195</v>
      </c>
      <c r="R132" s="12" t="s">
        <v>195</v>
      </c>
      <c r="S132" s="12" t="s">
        <v>195</v>
      </c>
      <c r="T132" s="12" t="s">
        <v>197</v>
      </c>
      <c r="U132" s="12" t="s">
        <v>99</v>
      </c>
      <c r="V132" s="12" t="s">
        <v>100</v>
      </c>
      <c r="W132" s="12" t="s">
        <v>100</v>
      </c>
      <c r="X132" s="12" t="s">
        <v>25</v>
      </c>
      <c r="Y132" s="12" t="s">
        <v>262</v>
      </c>
      <c r="Z132" s="12" t="s">
        <v>263</v>
      </c>
      <c r="AA132" s="12" t="s">
        <v>264</v>
      </c>
      <c r="AB132" s="12">
        <v>3</v>
      </c>
      <c r="AC132" s="12">
        <v>4</v>
      </c>
      <c r="AD132" s="12" t="s">
        <v>263</v>
      </c>
      <c r="AE132" s="12" t="s">
        <v>264</v>
      </c>
      <c r="AF132" s="11">
        <v>46169.326817129629</v>
      </c>
      <c r="AG132" s="11">
        <v>46188.383553240739</v>
      </c>
      <c r="AH132" s="12" t="s">
        <v>300</v>
      </c>
    </row>
    <row r="133" spans="1:34" ht="29" x14ac:dyDescent="0.35">
      <c r="A133" s="11">
        <v>46181.338217592587</v>
      </c>
      <c r="B133" s="11">
        <v>46188.556851851848</v>
      </c>
      <c r="C133" s="12" t="s">
        <v>87</v>
      </c>
      <c r="D133" s="12" t="s">
        <v>103</v>
      </c>
      <c r="E133" s="12" t="s">
        <v>298</v>
      </c>
      <c r="F133" s="12" t="s">
        <v>299</v>
      </c>
      <c r="G133" s="12" t="s">
        <v>299</v>
      </c>
      <c r="H133" s="12" t="s">
        <v>81</v>
      </c>
      <c r="I133" s="12"/>
      <c r="J133" s="12"/>
      <c r="K133" s="12"/>
      <c r="L133" s="12" t="s">
        <v>194</v>
      </c>
      <c r="M133" s="12" t="s">
        <v>260</v>
      </c>
      <c r="N133" s="12" t="s">
        <v>260</v>
      </c>
      <c r="O133" s="12" t="s">
        <v>263</v>
      </c>
      <c r="P133" s="12" t="s">
        <v>264</v>
      </c>
      <c r="Q133" s="12" t="s">
        <v>195</v>
      </c>
      <c r="R133" s="12" t="s">
        <v>195</v>
      </c>
      <c r="S133" s="12" t="s">
        <v>195</v>
      </c>
      <c r="T133" s="12" t="s">
        <v>197</v>
      </c>
      <c r="U133" s="12" t="s">
        <v>99</v>
      </c>
      <c r="V133" s="12" t="s">
        <v>100</v>
      </c>
      <c r="W133" s="12" t="s">
        <v>100</v>
      </c>
      <c r="X133" s="12" t="s">
        <v>23</v>
      </c>
      <c r="Y133" s="12" t="s">
        <v>80</v>
      </c>
      <c r="Z133" s="12" t="s">
        <v>197</v>
      </c>
      <c r="AA133" s="12" t="s">
        <v>99</v>
      </c>
      <c r="AB133" s="12">
        <v>11</v>
      </c>
      <c r="AC133" s="12">
        <v>14</v>
      </c>
      <c r="AD133" s="12" t="s">
        <v>197</v>
      </c>
      <c r="AE133" s="12" t="s">
        <v>99</v>
      </c>
      <c r="AF133" s="11">
        <v>46169.326817129629</v>
      </c>
      <c r="AG133" s="11">
        <v>46188.383553240739</v>
      </c>
      <c r="AH133" s="12" t="s">
        <v>300</v>
      </c>
    </row>
    <row r="134" spans="1:34" ht="29" x14ac:dyDescent="0.35">
      <c r="A134" s="11">
        <v>46181.338217592587</v>
      </c>
      <c r="B134" s="11">
        <v>46188.556851851848</v>
      </c>
      <c r="C134" s="12" t="s">
        <v>87</v>
      </c>
      <c r="D134" s="12" t="s">
        <v>103</v>
      </c>
      <c r="E134" s="12" t="s">
        <v>298</v>
      </c>
      <c r="F134" s="12" t="s">
        <v>299</v>
      </c>
      <c r="G134" s="12" t="s">
        <v>299</v>
      </c>
      <c r="H134" s="12" t="s">
        <v>81</v>
      </c>
      <c r="I134" s="12"/>
      <c r="J134" s="12"/>
      <c r="K134" s="12"/>
      <c r="L134" s="12" t="s">
        <v>194</v>
      </c>
      <c r="M134" s="12" t="s">
        <v>260</v>
      </c>
      <c r="N134" s="12" t="s">
        <v>260</v>
      </c>
      <c r="O134" s="12" t="s">
        <v>263</v>
      </c>
      <c r="P134" s="12" t="s">
        <v>264</v>
      </c>
      <c r="Q134" s="12" t="s">
        <v>195</v>
      </c>
      <c r="R134" s="12" t="s">
        <v>195</v>
      </c>
      <c r="S134" s="12" t="s">
        <v>195</v>
      </c>
      <c r="T134" s="12" t="s">
        <v>197</v>
      </c>
      <c r="U134" s="12" t="s">
        <v>99</v>
      </c>
      <c r="V134" s="12" t="s">
        <v>100</v>
      </c>
      <c r="W134" s="12" t="s">
        <v>100</v>
      </c>
      <c r="X134" s="12" t="s">
        <v>26</v>
      </c>
      <c r="Y134" s="12" t="s">
        <v>265</v>
      </c>
      <c r="Z134" s="12" t="s">
        <v>266</v>
      </c>
      <c r="AA134" s="12" t="s">
        <v>267</v>
      </c>
      <c r="AB134" s="12">
        <v>10</v>
      </c>
      <c r="AC134" s="12">
        <v>7</v>
      </c>
      <c r="AD134" s="12" t="s">
        <v>266</v>
      </c>
      <c r="AE134" s="12" t="s">
        <v>267</v>
      </c>
      <c r="AF134" s="11">
        <v>46169.326817129629</v>
      </c>
      <c r="AG134" s="11">
        <v>46188.383553240739</v>
      </c>
      <c r="AH134" s="12" t="s">
        <v>300</v>
      </c>
    </row>
    <row r="135" spans="1:34" ht="29" x14ac:dyDescent="0.35">
      <c r="A135" s="11">
        <v>46181.338217592587</v>
      </c>
      <c r="B135" s="11">
        <v>46188.556851851848</v>
      </c>
      <c r="C135" s="12" t="s">
        <v>87</v>
      </c>
      <c r="D135" s="12" t="s">
        <v>103</v>
      </c>
      <c r="E135" s="12" t="s">
        <v>226</v>
      </c>
      <c r="F135" s="12" t="s">
        <v>227</v>
      </c>
      <c r="G135" s="12" t="s">
        <v>227</v>
      </c>
      <c r="H135" s="12" t="s">
        <v>81</v>
      </c>
      <c r="I135" s="12"/>
      <c r="J135" s="12"/>
      <c r="K135" s="12"/>
      <c r="L135" s="12" t="s">
        <v>194</v>
      </c>
      <c r="M135" s="12" t="s">
        <v>194</v>
      </c>
      <c r="N135" s="12" t="s">
        <v>194</v>
      </c>
      <c r="O135" s="12" t="s">
        <v>263</v>
      </c>
      <c r="P135" s="12" t="s">
        <v>263</v>
      </c>
      <c r="Q135" s="12" t="s">
        <v>228</v>
      </c>
      <c r="R135" s="12" t="s">
        <v>228</v>
      </c>
      <c r="S135" s="12" t="s">
        <v>228</v>
      </c>
      <c r="T135" s="12" t="s">
        <v>197</v>
      </c>
      <c r="U135" s="12" t="s">
        <v>197</v>
      </c>
      <c r="V135" s="12" t="s">
        <v>100</v>
      </c>
      <c r="W135" s="12" t="s">
        <v>100</v>
      </c>
      <c r="X135" s="12" t="s">
        <v>31</v>
      </c>
      <c r="Y135" s="12" t="s">
        <v>229</v>
      </c>
      <c r="Z135" s="12" t="s">
        <v>230</v>
      </c>
      <c r="AA135" s="12" t="s">
        <v>231</v>
      </c>
      <c r="AB135" s="12">
        <v>28</v>
      </c>
      <c r="AC135" s="12">
        <v>61</v>
      </c>
      <c r="AD135" s="12" t="s">
        <v>230</v>
      </c>
      <c r="AE135" s="12" t="s">
        <v>231</v>
      </c>
      <c r="AF135" s="11">
        <v>46175.428460648152</v>
      </c>
      <c r="AG135" s="11">
        <v>46181.586168981477</v>
      </c>
      <c r="AH135" s="12" t="s">
        <v>232</v>
      </c>
    </row>
    <row r="136" spans="1:34" ht="290" x14ac:dyDescent="0.35">
      <c r="A136" s="11">
        <v>46181.338217592587</v>
      </c>
      <c r="B136" s="11">
        <v>46188.556851851848</v>
      </c>
      <c r="C136" s="12" t="s">
        <v>87</v>
      </c>
      <c r="D136" s="12" t="s">
        <v>103</v>
      </c>
      <c r="E136" s="12" t="s">
        <v>363</v>
      </c>
      <c r="F136" s="12" t="s">
        <v>364</v>
      </c>
      <c r="G136" s="12" t="s">
        <v>364</v>
      </c>
      <c r="H136" s="12" t="s">
        <v>81</v>
      </c>
      <c r="I136" s="12" t="s">
        <v>347</v>
      </c>
      <c r="J136" s="12" t="s">
        <v>347</v>
      </c>
      <c r="K136" s="12" t="s">
        <v>347</v>
      </c>
      <c r="L136" s="12" t="s">
        <v>310</v>
      </c>
      <c r="M136" s="12" t="s">
        <v>310</v>
      </c>
      <c r="N136" s="12" t="s">
        <v>310</v>
      </c>
      <c r="O136" s="12" t="s">
        <v>402</v>
      </c>
      <c r="P136" s="12" t="s">
        <v>402</v>
      </c>
      <c r="Q136" s="12" t="s">
        <v>305</v>
      </c>
      <c r="R136" s="12" t="s">
        <v>305</v>
      </c>
      <c r="S136" s="12" t="s">
        <v>305</v>
      </c>
      <c r="T136" s="12" t="s">
        <v>110</v>
      </c>
      <c r="U136" s="12" t="s">
        <v>110</v>
      </c>
      <c r="V136" s="12" t="s">
        <v>100</v>
      </c>
      <c r="W136" s="12" t="s">
        <v>100</v>
      </c>
      <c r="X136" s="12" t="s">
        <v>29</v>
      </c>
      <c r="Y136" s="12" t="s">
        <v>367</v>
      </c>
      <c r="Z136" s="12" t="s">
        <v>368</v>
      </c>
      <c r="AA136" s="12" t="s">
        <v>369</v>
      </c>
      <c r="AB136" s="12">
        <v>528</v>
      </c>
      <c r="AC136" s="12">
        <v>562</v>
      </c>
      <c r="AD136" s="12" t="s">
        <v>370</v>
      </c>
      <c r="AE136" s="12" t="s">
        <v>371</v>
      </c>
      <c r="AF136" s="11">
        <v>46175.424988425933</v>
      </c>
      <c r="AG136" s="11">
        <v>46188.334039351852</v>
      </c>
      <c r="AH136" s="12" t="s">
        <v>366</v>
      </c>
    </row>
    <row r="137" spans="1:34" ht="29" x14ac:dyDescent="0.35">
      <c r="A137" s="11">
        <v>46181.338217592587</v>
      </c>
      <c r="B137" s="11">
        <v>46188.556851851848</v>
      </c>
      <c r="C137" s="12" t="s">
        <v>87</v>
      </c>
      <c r="D137" s="12" t="s">
        <v>103</v>
      </c>
      <c r="E137" s="12" t="s">
        <v>363</v>
      </c>
      <c r="F137" s="12" t="s">
        <v>364</v>
      </c>
      <c r="G137" s="12" t="s">
        <v>364</v>
      </c>
      <c r="H137" s="12" t="s">
        <v>81</v>
      </c>
      <c r="I137" s="12" t="s">
        <v>347</v>
      </c>
      <c r="J137" s="12" t="s">
        <v>347</v>
      </c>
      <c r="K137" s="12" t="s">
        <v>347</v>
      </c>
      <c r="L137" s="12" t="s">
        <v>310</v>
      </c>
      <c r="M137" s="12" t="s">
        <v>310</v>
      </c>
      <c r="N137" s="12" t="s">
        <v>310</v>
      </c>
      <c r="O137" s="12" t="s">
        <v>402</v>
      </c>
      <c r="P137" s="12" t="s">
        <v>402</v>
      </c>
      <c r="Q137" s="12" t="s">
        <v>305</v>
      </c>
      <c r="R137" s="12" t="s">
        <v>305</v>
      </c>
      <c r="S137" s="12" t="s">
        <v>305</v>
      </c>
      <c r="T137" s="12" t="s">
        <v>110</v>
      </c>
      <c r="U137" s="12" t="s">
        <v>110</v>
      </c>
      <c r="V137" s="12" t="s">
        <v>100</v>
      </c>
      <c r="W137" s="12" t="s">
        <v>100</v>
      </c>
      <c r="X137" s="12" t="s">
        <v>28</v>
      </c>
      <c r="Y137" s="12" t="s">
        <v>365</v>
      </c>
      <c r="Z137" s="12" t="s">
        <v>208</v>
      </c>
      <c r="AA137" s="12" t="s">
        <v>215</v>
      </c>
      <c r="AB137" s="12">
        <v>1</v>
      </c>
      <c r="AC137" s="12">
        <v>2</v>
      </c>
      <c r="AD137" s="12" t="s">
        <v>208</v>
      </c>
      <c r="AE137" s="12" t="s">
        <v>215</v>
      </c>
      <c r="AF137" s="11">
        <v>46175.424988425933</v>
      </c>
      <c r="AG137" s="11">
        <v>46188.334039351852</v>
      </c>
      <c r="AH137" s="12" t="s">
        <v>366</v>
      </c>
    </row>
    <row r="138" spans="1:34" ht="409.5" x14ac:dyDescent="0.35">
      <c r="A138" s="11">
        <v>46181.338217592587</v>
      </c>
      <c r="B138" s="11">
        <v>46188.556851851848</v>
      </c>
      <c r="C138" s="12" t="s">
        <v>87</v>
      </c>
      <c r="D138" s="12" t="s">
        <v>103</v>
      </c>
      <c r="E138" s="12" t="s">
        <v>400</v>
      </c>
      <c r="F138" s="12" t="s">
        <v>401</v>
      </c>
      <c r="G138" s="12" t="s">
        <v>401</v>
      </c>
      <c r="H138" s="12" t="s">
        <v>81</v>
      </c>
      <c r="I138" s="12" t="s">
        <v>347</v>
      </c>
      <c r="J138" s="12" t="s">
        <v>347</v>
      </c>
      <c r="K138" s="12" t="s">
        <v>347</v>
      </c>
      <c r="L138" s="12" t="s">
        <v>194</v>
      </c>
      <c r="M138" s="12" t="s">
        <v>342</v>
      </c>
      <c r="N138" s="12" t="s">
        <v>342</v>
      </c>
      <c r="O138" s="12" t="s">
        <v>263</v>
      </c>
      <c r="P138" s="12" t="s">
        <v>402</v>
      </c>
      <c r="Q138" s="12" t="s">
        <v>228</v>
      </c>
      <c r="R138" s="12" t="s">
        <v>228</v>
      </c>
      <c r="S138" s="12" t="s">
        <v>228</v>
      </c>
      <c r="T138" s="12" t="s">
        <v>99</v>
      </c>
      <c r="U138" s="12" t="s">
        <v>99</v>
      </c>
      <c r="V138" s="12" t="s">
        <v>100</v>
      </c>
      <c r="W138" s="12" t="s">
        <v>100</v>
      </c>
      <c r="X138" s="12" t="s">
        <v>29</v>
      </c>
      <c r="Y138" s="12" t="s">
        <v>367</v>
      </c>
      <c r="Z138" s="12" t="s">
        <v>404</v>
      </c>
      <c r="AA138" s="12" t="s">
        <v>405</v>
      </c>
      <c r="AB138" s="12">
        <v>2341</v>
      </c>
      <c r="AC138" s="12">
        <v>734</v>
      </c>
      <c r="AD138" s="12" t="s">
        <v>406</v>
      </c>
      <c r="AE138" s="12" t="s">
        <v>407</v>
      </c>
      <c r="AF138" s="11">
        <v>46178.578472222223</v>
      </c>
      <c r="AG138" s="11">
        <v>46183.367743055547</v>
      </c>
      <c r="AH138" s="12" t="s">
        <v>403</v>
      </c>
    </row>
    <row r="139" spans="1:34" ht="29" x14ac:dyDescent="0.35">
      <c r="A139" s="11">
        <v>46181.338217592587</v>
      </c>
      <c r="B139" s="11">
        <v>46188.556851851848</v>
      </c>
      <c r="C139" s="12" t="s">
        <v>87</v>
      </c>
      <c r="D139" s="12" t="s">
        <v>103</v>
      </c>
      <c r="E139" s="12" t="s">
        <v>400</v>
      </c>
      <c r="F139" s="12" t="s">
        <v>401</v>
      </c>
      <c r="G139" s="12" t="s">
        <v>401</v>
      </c>
      <c r="H139" s="12" t="s">
        <v>81</v>
      </c>
      <c r="I139" s="12" t="s">
        <v>347</v>
      </c>
      <c r="J139" s="12" t="s">
        <v>347</v>
      </c>
      <c r="K139" s="12" t="s">
        <v>347</v>
      </c>
      <c r="L139" s="12" t="s">
        <v>194</v>
      </c>
      <c r="M139" s="12" t="s">
        <v>342</v>
      </c>
      <c r="N139" s="12" t="s">
        <v>342</v>
      </c>
      <c r="O139" s="12" t="s">
        <v>263</v>
      </c>
      <c r="P139" s="12" t="s">
        <v>402</v>
      </c>
      <c r="Q139" s="12" t="s">
        <v>228</v>
      </c>
      <c r="R139" s="12" t="s">
        <v>228</v>
      </c>
      <c r="S139" s="12" t="s">
        <v>228</v>
      </c>
      <c r="T139" s="12" t="s">
        <v>99</v>
      </c>
      <c r="U139" s="12" t="s">
        <v>99</v>
      </c>
      <c r="V139" s="12" t="s">
        <v>100</v>
      </c>
      <c r="W139" s="12" t="s">
        <v>100</v>
      </c>
      <c r="X139" s="12" t="s">
        <v>24</v>
      </c>
      <c r="Y139" s="12" t="s">
        <v>92</v>
      </c>
      <c r="Z139" s="12" t="s">
        <v>194</v>
      </c>
      <c r="AA139" s="12" t="s">
        <v>342</v>
      </c>
      <c r="AB139" s="12">
        <v>6</v>
      </c>
      <c r="AC139" s="12">
        <v>9</v>
      </c>
      <c r="AD139" s="12" t="s">
        <v>194</v>
      </c>
      <c r="AE139" s="12" t="s">
        <v>342</v>
      </c>
      <c r="AF139" s="11">
        <v>46178.578472222223</v>
      </c>
      <c r="AG139" s="11">
        <v>46183.367743055547</v>
      </c>
      <c r="AH139" s="12" t="s">
        <v>403</v>
      </c>
    </row>
    <row r="140" spans="1:34" ht="29" x14ac:dyDescent="0.35">
      <c r="A140" s="11">
        <v>46181.338217592587</v>
      </c>
      <c r="B140" s="11">
        <v>46188.556851851848</v>
      </c>
      <c r="C140" s="12" t="s">
        <v>87</v>
      </c>
      <c r="D140" s="12" t="s">
        <v>103</v>
      </c>
      <c r="E140" s="12" t="s">
        <v>400</v>
      </c>
      <c r="F140" s="12" t="s">
        <v>401</v>
      </c>
      <c r="G140" s="12" t="s">
        <v>401</v>
      </c>
      <c r="H140" s="12" t="s">
        <v>81</v>
      </c>
      <c r="I140" s="12" t="s">
        <v>347</v>
      </c>
      <c r="J140" s="12" t="s">
        <v>347</v>
      </c>
      <c r="K140" s="12" t="s">
        <v>347</v>
      </c>
      <c r="L140" s="12" t="s">
        <v>194</v>
      </c>
      <c r="M140" s="12" t="s">
        <v>342</v>
      </c>
      <c r="N140" s="12" t="s">
        <v>342</v>
      </c>
      <c r="O140" s="12" t="s">
        <v>263</v>
      </c>
      <c r="P140" s="12" t="s">
        <v>402</v>
      </c>
      <c r="Q140" s="12" t="s">
        <v>228</v>
      </c>
      <c r="R140" s="12" t="s">
        <v>228</v>
      </c>
      <c r="S140" s="12" t="s">
        <v>228</v>
      </c>
      <c r="T140" s="12" t="s">
        <v>99</v>
      </c>
      <c r="U140" s="12" t="s">
        <v>99</v>
      </c>
      <c r="V140" s="12" t="s">
        <v>100</v>
      </c>
      <c r="W140" s="12" t="s">
        <v>100</v>
      </c>
      <c r="X140" s="12" t="s">
        <v>25</v>
      </c>
      <c r="Y140" s="12" t="s">
        <v>262</v>
      </c>
      <c r="Z140" s="12" t="s">
        <v>263</v>
      </c>
      <c r="AA140" s="12" t="s">
        <v>402</v>
      </c>
      <c r="AB140" s="12">
        <v>3</v>
      </c>
      <c r="AC140" s="12">
        <v>13</v>
      </c>
      <c r="AD140" s="12" t="s">
        <v>263</v>
      </c>
      <c r="AE140" s="12" t="s">
        <v>402</v>
      </c>
      <c r="AF140" s="11">
        <v>46178.578472222223</v>
      </c>
      <c r="AG140" s="11">
        <v>46183.367743055547</v>
      </c>
      <c r="AH140" s="12" t="s">
        <v>403</v>
      </c>
    </row>
    <row r="141" spans="1:34" ht="29" x14ac:dyDescent="0.35">
      <c r="A141" s="11">
        <v>46181.338217592587</v>
      </c>
      <c r="B141" s="11">
        <v>46188.556851851848</v>
      </c>
      <c r="C141" s="12" t="s">
        <v>87</v>
      </c>
      <c r="D141" s="12" t="s">
        <v>103</v>
      </c>
      <c r="E141" s="12" t="s">
        <v>400</v>
      </c>
      <c r="F141" s="12" t="s">
        <v>401</v>
      </c>
      <c r="G141" s="12" t="s">
        <v>401</v>
      </c>
      <c r="H141" s="12" t="s">
        <v>81</v>
      </c>
      <c r="I141" s="12" t="s">
        <v>347</v>
      </c>
      <c r="J141" s="12" t="s">
        <v>347</v>
      </c>
      <c r="K141" s="12" t="s">
        <v>347</v>
      </c>
      <c r="L141" s="12" t="s">
        <v>194</v>
      </c>
      <c r="M141" s="12" t="s">
        <v>342</v>
      </c>
      <c r="N141" s="12" t="s">
        <v>342</v>
      </c>
      <c r="O141" s="12" t="s">
        <v>263</v>
      </c>
      <c r="P141" s="12" t="s">
        <v>402</v>
      </c>
      <c r="Q141" s="12" t="s">
        <v>228</v>
      </c>
      <c r="R141" s="12" t="s">
        <v>228</v>
      </c>
      <c r="S141" s="12" t="s">
        <v>228</v>
      </c>
      <c r="T141" s="12" t="s">
        <v>99</v>
      </c>
      <c r="U141" s="12" t="s">
        <v>99</v>
      </c>
      <c r="V141" s="12" t="s">
        <v>100</v>
      </c>
      <c r="W141" s="12" t="s">
        <v>100</v>
      </c>
      <c r="X141" s="12" t="s">
        <v>28</v>
      </c>
      <c r="Y141" s="12" t="s">
        <v>365</v>
      </c>
      <c r="Z141" s="12" t="s">
        <v>207</v>
      </c>
      <c r="AA141" s="12" t="s">
        <v>208</v>
      </c>
      <c r="AB141" s="12">
        <v>0</v>
      </c>
      <c r="AC141" s="12">
        <v>1</v>
      </c>
      <c r="AD141" s="12" t="s">
        <v>207</v>
      </c>
      <c r="AE141" s="12" t="s">
        <v>208</v>
      </c>
      <c r="AF141" s="11">
        <v>46178.578472222223</v>
      </c>
      <c r="AG141" s="11">
        <v>46183.367743055547</v>
      </c>
      <c r="AH141" s="12" t="s">
        <v>403</v>
      </c>
    </row>
  </sheetData>
  <autoFilter ref="A1:AH14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1" customWidth="1"/>
    <col min="2" max="2" width="25" customWidth="1"/>
    <col min="3" max="4" width="31" customWidth="1"/>
    <col min="5" max="5" width="18" customWidth="1"/>
    <col min="6" max="6" width="21" customWidth="1"/>
    <col min="7" max="7" width="24" customWidth="1"/>
    <col min="8" max="8" width="13" customWidth="1"/>
    <col min="9" max="10" width="20" customWidth="1"/>
    <col min="11" max="11" width="31" customWidth="1"/>
    <col min="12" max="12" width="17" customWidth="1"/>
    <col min="13" max="13" width="18" customWidth="1"/>
  </cols>
  <sheetData>
    <row r="1" spans="1:13" x14ac:dyDescent="0.35">
      <c r="A1" s="13" t="s">
        <v>865</v>
      </c>
      <c r="B1" s="13" t="s">
        <v>866</v>
      </c>
      <c r="C1" s="13" t="s">
        <v>72</v>
      </c>
      <c r="D1" s="13" t="s">
        <v>73</v>
      </c>
      <c r="E1" s="13" t="s">
        <v>9</v>
      </c>
      <c r="F1" s="13" t="s">
        <v>10</v>
      </c>
      <c r="G1" s="13" t="s">
        <v>11</v>
      </c>
      <c r="H1" s="13" t="s">
        <v>12</v>
      </c>
      <c r="I1" s="13" t="s">
        <v>13</v>
      </c>
      <c r="J1" s="13" t="s">
        <v>14</v>
      </c>
      <c r="K1" s="13" t="s">
        <v>887</v>
      </c>
      <c r="L1" s="13" t="s">
        <v>15</v>
      </c>
      <c r="M1" s="13" t="s">
        <v>16</v>
      </c>
    </row>
    <row r="2" spans="1:13" x14ac:dyDescent="0.35">
      <c r="A2" s="11">
        <v>46178.648101851853</v>
      </c>
      <c r="B2" s="11">
        <v>46181.338217592587</v>
      </c>
      <c r="C2" s="12" t="s">
        <v>86</v>
      </c>
      <c r="D2" s="12" t="s">
        <v>87</v>
      </c>
      <c r="E2" s="12">
        <v>1</v>
      </c>
      <c r="F2" s="12">
        <v>4</v>
      </c>
      <c r="G2" s="12">
        <v>0</v>
      </c>
      <c r="H2" s="12">
        <v>0</v>
      </c>
      <c r="I2" s="12">
        <v>1</v>
      </c>
      <c r="J2" s="12">
        <v>0</v>
      </c>
      <c r="K2" s="12">
        <v>1</v>
      </c>
      <c r="L2" s="12">
        <v>0</v>
      </c>
      <c r="M2" s="12">
        <v>0</v>
      </c>
    </row>
    <row r="3" spans="1:13" x14ac:dyDescent="0.35">
      <c r="A3" s="11">
        <v>46181.338217592587</v>
      </c>
      <c r="B3" s="11">
        <v>46188.556851851848</v>
      </c>
      <c r="C3" s="12" t="s">
        <v>87</v>
      </c>
      <c r="D3" s="12" t="s">
        <v>103</v>
      </c>
      <c r="E3" s="12">
        <v>86</v>
      </c>
      <c r="F3" s="12">
        <v>136</v>
      </c>
      <c r="G3" s="12">
        <v>2</v>
      </c>
      <c r="H3" s="12">
        <v>0</v>
      </c>
      <c r="I3" s="12">
        <v>15</v>
      </c>
      <c r="J3" s="12">
        <v>19</v>
      </c>
      <c r="K3" s="12">
        <v>3</v>
      </c>
      <c r="L3" s="12">
        <v>39</v>
      </c>
      <c r="M3" s="12">
        <v>6</v>
      </c>
    </row>
  </sheetData>
  <autoFilter ref="A1:M3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7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46" customWidth="1"/>
    <col min="2" max="2" width="23" customWidth="1"/>
    <col min="3" max="4" width="18" customWidth="1"/>
    <col min="5" max="5" width="15" customWidth="1"/>
    <col min="6" max="6" width="19" customWidth="1"/>
  </cols>
  <sheetData>
    <row r="1" spans="1:6" x14ac:dyDescent="0.35">
      <c r="A1" s="13" t="s">
        <v>22</v>
      </c>
      <c r="B1" s="13" t="s">
        <v>24</v>
      </c>
      <c r="C1" s="13" t="s">
        <v>66</v>
      </c>
      <c r="D1" s="13" t="s">
        <v>18</v>
      </c>
      <c r="E1" s="13" t="s">
        <v>19</v>
      </c>
      <c r="F1" s="13" t="s">
        <v>20</v>
      </c>
    </row>
    <row r="2" spans="1:6" x14ac:dyDescent="0.35">
      <c r="A2" s="12" t="s">
        <v>888</v>
      </c>
      <c r="B2" s="12" t="s">
        <v>96</v>
      </c>
      <c r="C2" s="12" t="s">
        <v>97</v>
      </c>
      <c r="D2" s="12" t="s">
        <v>21</v>
      </c>
      <c r="E2" s="12">
        <v>23</v>
      </c>
      <c r="F2" s="12">
        <v>23</v>
      </c>
    </row>
    <row r="3" spans="1:6" x14ac:dyDescent="0.35">
      <c r="A3" s="12" t="s">
        <v>888</v>
      </c>
      <c r="B3" s="12" t="s">
        <v>260</v>
      </c>
      <c r="C3" s="12" t="s">
        <v>195</v>
      </c>
      <c r="D3" s="12" t="s">
        <v>23</v>
      </c>
      <c r="E3" s="12">
        <v>12</v>
      </c>
      <c r="F3" s="12">
        <v>12</v>
      </c>
    </row>
    <row r="4" spans="1:6" x14ac:dyDescent="0.35">
      <c r="A4" s="12" t="s">
        <v>888</v>
      </c>
      <c r="B4" s="12" t="s">
        <v>260</v>
      </c>
      <c r="C4" s="12" t="s">
        <v>195</v>
      </c>
      <c r="D4" s="12" t="s">
        <v>25</v>
      </c>
      <c r="E4" s="12">
        <v>12</v>
      </c>
      <c r="F4" s="12">
        <v>12</v>
      </c>
    </row>
    <row r="5" spans="1:6" x14ac:dyDescent="0.35">
      <c r="A5" s="12" t="s">
        <v>888</v>
      </c>
      <c r="B5" s="12" t="s">
        <v>260</v>
      </c>
      <c r="C5" s="12" t="s">
        <v>195</v>
      </c>
      <c r="D5" s="12" t="s">
        <v>26</v>
      </c>
      <c r="E5" s="12">
        <v>12</v>
      </c>
      <c r="F5" s="12">
        <v>12</v>
      </c>
    </row>
    <row r="6" spans="1:6" x14ac:dyDescent="0.35">
      <c r="A6" s="12" t="s">
        <v>888</v>
      </c>
      <c r="B6" s="12" t="s">
        <v>260</v>
      </c>
      <c r="C6" s="12" t="s">
        <v>195</v>
      </c>
      <c r="D6" s="12" t="s">
        <v>24</v>
      </c>
      <c r="E6" s="12">
        <v>12</v>
      </c>
      <c r="F6" s="12">
        <v>12</v>
      </c>
    </row>
    <row r="7" spans="1:6" x14ac:dyDescent="0.35">
      <c r="A7" s="12" t="s">
        <v>888</v>
      </c>
      <c r="B7" s="12" t="s">
        <v>194</v>
      </c>
      <c r="C7" s="12" t="s">
        <v>195</v>
      </c>
      <c r="D7" s="12" t="s">
        <v>21</v>
      </c>
      <c r="E7" s="12">
        <v>6</v>
      </c>
      <c r="F7" s="12">
        <v>6</v>
      </c>
    </row>
    <row r="8" spans="1:6" x14ac:dyDescent="0.35">
      <c r="A8" s="12" t="s">
        <v>888</v>
      </c>
      <c r="B8" s="12" t="s">
        <v>260</v>
      </c>
      <c r="C8" s="12" t="s">
        <v>195</v>
      </c>
      <c r="D8" s="12" t="s">
        <v>27</v>
      </c>
      <c r="E8" s="12">
        <v>6</v>
      </c>
      <c r="F8" s="12">
        <v>6</v>
      </c>
    </row>
    <row r="9" spans="1:6" x14ac:dyDescent="0.35">
      <c r="A9" s="12" t="s">
        <v>347</v>
      </c>
      <c r="B9" s="12" t="s">
        <v>194</v>
      </c>
      <c r="C9" s="12" t="s">
        <v>228</v>
      </c>
      <c r="D9" s="12" t="s">
        <v>21</v>
      </c>
      <c r="E9" s="12">
        <v>5</v>
      </c>
      <c r="F9" s="12">
        <v>5</v>
      </c>
    </row>
    <row r="10" spans="1:6" x14ac:dyDescent="0.35">
      <c r="A10" s="12" t="s">
        <v>888</v>
      </c>
      <c r="B10" s="12" t="s">
        <v>194</v>
      </c>
      <c r="C10" s="12" t="s">
        <v>195</v>
      </c>
      <c r="D10" s="12" t="s">
        <v>27</v>
      </c>
      <c r="E10" s="12">
        <v>4</v>
      </c>
      <c r="F10" s="12">
        <v>4</v>
      </c>
    </row>
    <row r="11" spans="1:6" x14ac:dyDescent="0.35">
      <c r="A11" s="12" t="s">
        <v>347</v>
      </c>
      <c r="B11" s="12" t="s">
        <v>310</v>
      </c>
      <c r="C11" s="12" t="s">
        <v>305</v>
      </c>
      <c r="D11" s="12" t="s">
        <v>21</v>
      </c>
      <c r="E11" s="12">
        <v>4</v>
      </c>
      <c r="F11" s="12">
        <v>4</v>
      </c>
    </row>
    <row r="12" spans="1:6" x14ac:dyDescent="0.35">
      <c r="A12" s="12" t="s">
        <v>888</v>
      </c>
      <c r="B12" s="12" t="s">
        <v>194</v>
      </c>
      <c r="C12" s="12" t="s">
        <v>228</v>
      </c>
      <c r="D12" s="12" t="s">
        <v>21</v>
      </c>
      <c r="E12" s="12">
        <v>3</v>
      </c>
      <c r="F12" s="12">
        <v>3</v>
      </c>
    </row>
    <row r="13" spans="1:6" x14ac:dyDescent="0.35">
      <c r="A13" s="12" t="s">
        <v>77</v>
      </c>
      <c r="B13" s="12" t="s">
        <v>310</v>
      </c>
      <c r="C13" s="12" t="s">
        <v>228</v>
      </c>
      <c r="D13" s="12" t="s">
        <v>22</v>
      </c>
      <c r="E13" s="12">
        <v>3</v>
      </c>
      <c r="F13" s="12">
        <v>3</v>
      </c>
    </row>
    <row r="14" spans="1:6" x14ac:dyDescent="0.35">
      <c r="A14" s="12" t="s">
        <v>77</v>
      </c>
      <c r="B14" s="12" t="s">
        <v>194</v>
      </c>
      <c r="C14" s="12" t="s">
        <v>228</v>
      </c>
      <c r="D14" s="12" t="s">
        <v>22</v>
      </c>
      <c r="E14" s="12">
        <v>3</v>
      </c>
      <c r="F14" s="12">
        <v>3</v>
      </c>
    </row>
    <row r="15" spans="1:6" x14ac:dyDescent="0.35">
      <c r="A15" s="12" t="s">
        <v>888</v>
      </c>
      <c r="B15" s="12" t="s">
        <v>194</v>
      </c>
      <c r="C15" s="12" t="s">
        <v>195</v>
      </c>
      <c r="D15" s="12" t="s">
        <v>23</v>
      </c>
      <c r="E15" s="12">
        <v>2</v>
      </c>
      <c r="F15" s="12">
        <v>2</v>
      </c>
    </row>
    <row r="16" spans="1:6" x14ac:dyDescent="0.35">
      <c r="A16" s="12" t="s">
        <v>77</v>
      </c>
      <c r="B16" s="12" t="s">
        <v>96</v>
      </c>
      <c r="C16" s="12" t="s">
        <v>79</v>
      </c>
      <c r="D16" s="12" t="s">
        <v>22</v>
      </c>
      <c r="E16" s="12">
        <v>2</v>
      </c>
      <c r="F16" s="12">
        <v>2</v>
      </c>
    </row>
    <row r="17" spans="1:6" x14ac:dyDescent="0.35">
      <c r="A17" s="12" t="s">
        <v>888</v>
      </c>
      <c r="B17" s="12" t="s">
        <v>194</v>
      </c>
      <c r="C17" s="12" t="s">
        <v>228</v>
      </c>
      <c r="D17" s="12" t="s">
        <v>31</v>
      </c>
      <c r="E17" s="12">
        <v>1</v>
      </c>
      <c r="F17" s="12">
        <v>1</v>
      </c>
    </row>
    <row r="18" spans="1:6" x14ac:dyDescent="0.35">
      <c r="A18" s="12" t="s">
        <v>303</v>
      </c>
      <c r="B18" s="12" t="s">
        <v>304</v>
      </c>
      <c r="C18" s="12" t="s">
        <v>305</v>
      </c>
      <c r="D18" s="12" t="s">
        <v>22</v>
      </c>
      <c r="E18" s="12">
        <v>1</v>
      </c>
      <c r="F18" s="12">
        <v>1</v>
      </c>
    </row>
    <row r="19" spans="1:6" x14ac:dyDescent="0.35">
      <c r="A19" s="12" t="s">
        <v>303</v>
      </c>
      <c r="B19" s="12" t="s">
        <v>304</v>
      </c>
      <c r="C19" s="12" t="s">
        <v>305</v>
      </c>
      <c r="D19" s="12" t="s">
        <v>24</v>
      </c>
      <c r="E19" s="12">
        <v>1</v>
      </c>
      <c r="F19" s="12">
        <v>1</v>
      </c>
    </row>
    <row r="20" spans="1:6" x14ac:dyDescent="0.35">
      <c r="A20" s="12" t="s">
        <v>313</v>
      </c>
      <c r="B20" s="12" t="s">
        <v>93</v>
      </c>
      <c r="C20" s="12" t="s">
        <v>314</v>
      </c>
      <c r="D20" s="12" t="s">
        <v>22</v>
      </c>
      <c r="E20" s="12">
        <v>1</v>
      </c>
      <c r="F20" s="12">
        <v>1</v>
      </c>
    </row>
    <row r="21" spans="1:6" x14ac:dyDescent="0.35">
      <c r="A21" s="12" t="s">
        <v>313</v>
      </c>
      <c r="B21" s="12" t="s">
        <v>93</v>
      </c>
      <c r="C21" s="12" t="s">
        <v>79</v>
      </c>
      <c r="D21" s="12" t="s">
        <v>22</v>
      </c>
      <c r="E21" s="12">
        <v>1</v>
      </c>
      <c r="F21" s="12">
        <v>1</v>
      </c>
    </row>
    <row r="22" spans="1:6" x14ac:dyDescent="0.35">
      <c r="A22" s="12" t="s">
        <v>323</v>
      </c>
      <c r="B22" s="12" t="s">
        <v>96</v>
      </c>
      <c r="C22" s="12" t="s">
        <v>79</v>
      </c>
      <c r="D22" s="12" t="s">
        <v>22</v>
      </c>
      <c r="E22" s="12">
        <v>1</v>
      </c>
      <c r="F22" s="12">
        <v>1</v>
      </c>
    </row>
    <row r="23" spans="1:6" x14ac:dyDescent="0.35">
      <c r="A23" s="12" t="s">
        <v>328</v>
      </c>
      <c r="B23" s="12" t="s">
        <v>329</v>
      </c>
      <c r="C23" s="12" t="s">
        <v>79</v>
      </c>
      <c r="D23" s="12" t="s">
        <v>21</v>
      </c>
      <c r="E23" s="12">
        <v>1</v>
      </c>
      <c r="F23" s="12">
        <v>1</v>
      </c>
    </row>
    <row r="24" spans="1:6" x14ac:dyDescent="0.35">
      <c r="A24" s="12" t="s">
        <v>334</v>
      </c>
      <c r="B24" s="12" t="s">
        <v>93</v>
      </c>
      <c r="C24" s="12" t="s">
        <v>79</v>
      </c>
      <c r="D24" s="12" t="s">
        <v>22</v>
      </c>
      <c r="E24" s="12">
        <v>1</v>
      </c>
      <c r="F24" s="12">
        <v>1</v>
      </c>
    </row>
    <row r="25" spans="1:6" x14ac:dyDescent="0.35">
      <c r="A25" s="12" t="s">
        <v>334</v>
      </c>
      <c r="B25" s="12" t="s">
        <v>338</v>
      </c>
      <c r="C25" s="12" t="s">
        <v>314</v>
      </c>
      <c r="D25" s="12" t="s">
        <v>22</v>
      </c>
      <c r="E25" s="12">
        <v>1</v>
      </c>
      <c r="F25" s="12">
        <v>1</v>
      </c>
    </row>
    <row r="26" spans="1:6" x14ac:dyDescent="0.35">
      <c r="A26" s="12" t="s">
        <v>334</v>
      </c>
      <c r="B26" s="12" t="s">
        <v>342</v>
      </c>
      <c r="C26" s="12" t="s">
        <v>228</v>
      </c>
      <c r="D26" s="12" t="s">
        <v>22</v>
      </c>
      <c r="E26" s="12">
        <v>1</v>
      </c>
      <c r="F26" s="12">
        <v>1</v>
      </c>
    </row>
    <row r="27" spans="1:6" x14ac:dyDescent="0.35">
      <c r="A27" s="12" t="s">
        <v>347</v>
      </c>
      <c r="B27" s="12" t="s">
        <v>348</v>
      </c>
      <c r="C27" s="12" t="s">
        <v>79</v>
      </c>
      <c r="D27" s="12" t="s">
        <v>22</v>
      </c>
      <c r="E27" s="12">
        <v>1</v>
      </c>
      <c r="F27" s="12">
        <v>1</v>
      </c>
    </row>
    <row r="28" spans="1:6" x14ac:dyDescent="0.35">
      <c r="A28" s="12" t="s">
        <v>347</v>
      </c>
      <c r="B28" s="12" t="s">
        <v>310</v>
      </c>
      <c r="C28" s="12" t="s">
        <v>228</v>
      </c>
      <c r="D28" s="12" t="s">
        <v>21</v>
      </c>
      <c r="E28" s="12">
        <v>1</v>
      </c>
      <c r="F28" s="12">
        <v>1</v>
      </c>
    </row>
    <row r="29" spans="1:6" x14ac:dyDescent="0.35">
      <c r="A29" s="12" t="s">
        <v>347</v>
      </c>
      <c r="B29" s="12" t="s">
        <v>310</v>
      </c>
      <c r="C29" s="12" t="s">
        <v>305</v>
      </c>
      <c r="D29" s="12" t="s">
        <v>28</v>
      </c>
      <c r="E29" s="12">
        <v>1</v>
      </c>
      <c r="F29" s="12">
        <v>1</v>
      </c>
    </row>
    <row r="30" spans="1:6" x14ac:dyDescent="0.35">
      <c r="A30" s="12" t="s">
        <v>347</v>
      </c>
      <c r="B30" s="12" t="s">
        <v>310</v>
      </c>
      <c r="C30" s="12" t="s">
        <v>305</v>
      </c>
      <c r="D30" s="12" t="s">
        <v>29</v>
      </c>
      <c r="E30" s="12">
        <v>1</v>
      </c>
      <c r="F30" s="12">
        <v>1</v>
      </c>
    </row>
    <row r="31" spans="1:6" x14ac:dyDescent="0.35">
      <c r="A31" s="12" t="s">
        <v>347</v>
      </c>
      <c r="B31" s="12" t="s">
        <v>342</v>
      </c>
      <c r="C31" s="12" t="s">
        <v>228</v>
      </c>
      <c r="D31" s="12" t="s">
        <v>25</v>
      </c>
      <c r="E31" s="12">
        <v>1</v>
      </c>
      <c r="F31" s="12">
        <v>1</v>
      </c>
    </row>
    <row r="32" spans="1:6" x14ac:dyDescent="0.35">
      <c r="A32" s="12" t="s">
        <v>347</v>
      </c>
      <c r="B32" s="12" t="s">
        <v>342</v>
      </c>
      <c r="C32" s="12" t="s">
        <v>228</v>
      </c>
      <c r="D32" s="12" t="s">
        <v>28</v>
      </c>
      <c r="E32" s="12">
        <v>1</v>
      </c>
      <c r="F32" s="12">
        <v>1</v>
      </c>
    </row>
    <row r="33" spans="1:6" x14ac:dyDescent="0.35">
      <c r="A33" s="12" t="s">
        <v>347</v>
      </c>
      <c r="B33" s="12" t="s">
        <v>342</v>
      </c>
      <c r="C33" s="12" t="s">
        <v>228</v>
      </c>
      <c r="D33" s="12" t="s">
        <v>29</v>
      </c>
      <c r="E33" s="12">
        <v>1</v>
      </c>
      <c r="F33" s="12">
        <v>1</v>
      </c>
    </row>
    <row r="34" spans="1:6" x14ac:dyDescent="0.35">
      <c r="A34" s="12" t="s">
        <v>347</v>
      </c>
      <c r="B34" s="12" t="s">
        <v>342</v>
      </c>
      <c r="C34" s="12" t="s">
        <v>228</v>
      </c>
      <c r="D34" s="12" t="s">
        <v>24</v>
      </c>
      <c r="E34" s="12">
        <v>1</v>
      </c>
      <c r="F34" s="12">
        <v>1</v>
      </c>
    </row>
    <row r="35" spans="1:6" x14ac:dyDescent="0.35">
      <c r="A35" s="12" t="s">
        <v>347</v>
      </c>
      <c r="B35" s="12" t="s">
        <v>342</v>
      </c>
      <c r="C35" s="12" t="s">
        <v>228</v>
      </c>
      <c r="D35" s="12" t="s">
        <v>21</v>
      </c>
      <c r="E35" s="12">
        <v>1</v>
      </c>
      <c r="F35" s="12">
        <v>1</v>
      </c>
    </row>
    <row r="36" spans="1:6" x14ac:dyDescent="0.35">
      <c r="A36" s="12" t="s">
        <v>77</v>
      </c>
      <c r="B36" s="12" t="s">
        <v>93</v>
      </c>
      <c r="C36" s="12" t="s">
        <v>79</v>
      </c>
      <c r="D36" s="12" t="s">
        <v>24</v>
      </c>
      <c r="E36" s="12">
        <v>1</v>
      </c>
      <c r="F36" s="12">
        <v>1</v>
      </c>
    </row>
    <row r="37" spans="1:6" x14ac:dyDescent="0.35">
      <c r="A37" s="12" t="s">
        <v>77</v>
      </c>
      <c r="B37" s="12" t="s">
        <v>96</v>
      </c>
      <c r="C37" s="12" t="s">
        <v>79</v>
      </c>
      <c r="D37" s="12" t="s">
        <v>21</v>
      </c>
      <c r="E37" s="12">
        <v>1</v>
      </c>
      <c r="F37" s="12">
        <v>1</v>
      </c>
    </row>
    <row r="38" spans="1:6" x14ac:dyDescent="0.35">
      <c r="A38" s="12" t="s">
        <v>77</v>
      </c>
      <c r="B38" s="12" t="s">
        <v>96</v>
      </c>
      <c r="C38" s="12" t="s">
        <v>305</v>
      </c>
      <c r="D38" s="12" t="s">
        <v>22</v>
      </c>
      <c r="E38" s="12">
        <v>1</v>
      </c>
      <c r="F38" s="12">
        <v>1</v>
      </c>
    </row>
    <row r="39" spans="1:6" x14ac:dyDescent="0.35">
      <c r="A39" s="12" t="s">
        <v>77</v>
      </c>
      <c r="B39" s="12" t="s">
        <v>310</v>
      </c>
      <c r="C39" s="12" t="s">
        <v>228</v>
      </c>
      <c r="D39" s="12" t="s">
        <v>23</v>
      </c>
      <c r="E39" s="12">
        <v>1</v>
      </c>
      <c r="F39" s="12">
        <v>1</v>
      </c>
    </row>
    <row r="40" spans="1:6" x14ac:dyDescent="0.35">
      <c r="A40" s="12" t="s">
        <v>77</v>
      </c>
      <c r="B40" s="12" t="s">
        <v>310</v>
      </c>
      <c r="C40" s="12" t="s">
        <v>228</v>
      </c>
      <c r="D40" s="12" t="s">
        <v>28</v>
      </c>
      <c r="E40" s="12">
        <v>1</v>
      </c>
      <c r="F40" s="12">
        <v>1</v>
      </c>
    </row>
    <row r="41" spans="1:6" x14ac:dyDescent="0.35">
      <c r="A41" s="12" t="s">
        <v>77</v>
      </c>
      <c r="B41" s="12" t="s">
        <v>78</v>
      </c>
      <c r="C41" s="12" t="s">
        <v>79</v>
      </c>
      <c r="D41" s="12" t="s">
        <v>23</v>
      </c>
      <c r="E41" s="12">
        <v>1</v>
      </c>
      <c r="F41" s="12">
        <v>1</v>
      </c>
    </row>
    <row r="42" spans="1:6" x14ac:dyDescent="0.35">
      <c r="A42" s="12" t="s">
        <v>77</v>
      </c>
      <c r="B42" s="12" t="s">
        <v>78</v>
      </c>
      <c r="C42" s="12" t="s">
        <v>79</v>
      </c>
      <c r="D42" s="12" t="s">
        <v>28</v>
      </c>
      <c r="E42" s="12">
        <v>1</v>
      </c>
      <c r="F42" s="12">
        <v>1</v>
      </c>
    </row>
    <row r="43" spans="1:6" x14ac:dyDescent="0.35">
      <c r="A43" s="12" t="s">
        <v>77</v>
      </c>
      <c r="B43" s="12" t="s">
        <v>78</v>
      </c>
      <c r="C43" s="12" t="s">
        <v>79</v>
      </c>
      <c r="D43" s="12" t="s">
        <v>30</v>
      </c>
      <c r="E43" s="12">
        <v>1</v>
      </c>
      <c r="F43" s="12">
        <v>1</v>
      </c>
    </row>
    <row r="44" spans="1:6" x14ac:dyDescent="0.35">
      <c r="A44" s="12" t="s">
        <v>77</v>
      </c>
      <c r="B44" s="12" t="s">
        <v>78</v>
      </c>
      <c r="C44" s="12" t="s">
        <v>79</v>
      </c>
      <c r="D44" s="12" t="s">
        <v>24</v>
      </c>
      <c r="E44" s="12">
        <v>1</v>
      </c>
      <c r="F44" s="12">
        <v>1</v>
      </c>
    </row>
    <row r="45" spans="1:6" x14ac:dyDescent="0.35">
      <c r="A45" s="12" t="s">
        <v>77</v>
      </c>
      <c r="B45" s="12" t="s">
        <v>194</v>
      </c>
      <c r="C45" s="12" t="s">
        <v>228</v>
      </c>
      <c r="D45" s="12" t="s">
        <v>27</v>
      </c>
      <c r="E45" s="12">
        <v>1</v>
      </c>
      <c r="F45" s="12">
        <v>1</v>
      </c>
    </row>
    <row r="46" spans="1:6" x14ac:dyDescent="0.35">
      <c r="A46" s="12" t="s">
        <v>77</v>
      </c>
      <c r="B46" s="12" t="s">
        <v>447</v>
      </c>
      <c r="C46" s="12" t="s">
        <v>314</v>
      </c>
      <c r="D46" s="12" t="s">
        <v>22</v>
      </c>
      <c r="E46" s="12">
        <v>1</v>
      </c>
      <c r="F46" s="12">
        <v>1</v>
      </c>
    </row>
    <row r="47" spans="1:6" x14ac:dyDescent="0.35">
      <c r="A47" s="12" t="s">
        <v>451</v>
      </c>
      <c r="B47" s="12" t="s">
        <v>96</v>
      </c>
      <c r="C47" s="12" t="s">
        <v>79</v>
      </c>
      <c r="D47" s="12" t="s">
        <v>22</v>
      </c>
      <c r="E47" s="12">
        <v>1</v>
      </c>
      <c r="F47" s="12">
        <v>1</v>
      </c>
    </row>
  </sheetData>
  <autoFilter ref="A1:F47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3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1" customWidth="1"/>
    <col min="2" max="2" width="25" customWidth="1"/>
    <col min="3" max="4" width="31" customWidth="1"/>
    <col min="5" max="8" width="11" customWidth="1"/>
    <col min="9" max="10" width="16" customWidth="1"/>
    <col min="11" max="11" width="17" customWidth="1"/>
    <col min="12" max="13" width="14" customWidth="1"/>
    <col min="14" max="14" width="17" customWidth="1"/>
    <col min="15" max="16" width="24" customWidth="1"/>
    <col min="17" max="18" width="12" customWidth="1"/>
    <col min="19" max="19" width="15" customWidth="1"/>
    <col min="20" max="23" width="16" customWidth="1"/>
    <col min="24" max="24" width="18" customWidth="1"/>
    <col min="25" max="25" width="22" customWidth="1"/>
    <col min="26" max="27" width="46" customWidth="1"/>
    <col min="28" max="29" width="14" customWidth="1"/>
    <col min="30" max="31" width="46" customWidth="1"/>
    <col min="32" max="33" width="21" customWidth="1"/>
    <col min="34" max="34" width="46" customWidth="1"/>
  </cols>
  <sheetData>
    <row r="1" spans="1:34" x14ac:dyDescent="0.35">
      <c r="A1" s="13" t="s">
        <v>865</v>
      </c>
      <c r="B1" s="13" t="s">
        <v>866</v>
      </c>
      <c r="C1" s="13" t="s">
        <v>72</v>
      </c>
      <c r="D1" s="13" t="s">
        <v>73</v>
      </c>
      <c r="E1" s="13" t="s">
        <v>65</v>
      </c>
      <c r="F1" s="13" t="s">
        <v>867</v>
      </c>
      <c r="G1" s="13" t="s">
        <v>868</v>
      </c>
      <c r="H1" s="13" t="s">
        <v>68</v>
      </c>
      <c r="I1" s="13" t="s">
        <v>869</v>
      </c>
      <c r="J1" s="13" t="s">
        <v>870</v>
      </c>
      <c r="K1" s="13" t="s">
        <v>871</v>
      </c>
      <c r="L1" s="13" t="s">
        <v>872</v>
      </c>
      <c r="M1" s="13" t="s">
        <v>873</v>
      </c>
      <c r="N1" s="13" t="s">
        <v>874</v>
      </c>
      <c r="O1" s="13" t="s">
        <v>875</v>
      </c>
      <c r="P1" s="13" t="s">
        <v>876</v>
      </c>
      <c r="Q1" s="13" t="s">
        <v>877</v>
      </c>
      <c r="R1" s="13" t="s">
        <v>878</v>
      </c>
      <c r="S1" s="13" t="s">
        <v>879</v>
      </c>
      <c r="T1" s="13" t="s">
        <v>880</v>
      </c>
      <c r="U1" s="13" t="s">
        <v>881</v>
      </c>
      <c r="V1" s="13" t="s">
        <v>882</v>
      </c>
      <c r="W1" s="13" t="s">
        <v>883</v>
      </c>
      <c r="X1" s="13" t="s">
        <v>18</v>
      </c>
      <c r="Y1" s="13" t="s">
        <v>67</v>
      </c>
      <c r="Z1" s="13" t="s">
        <v>70</v>
      </c>
      <c r="AA1" s="13" t="s">
        <v>71</v>
      </c>
      <c r="AB1" s="13" t="s">
        <v>884</v>
      </c>
      <c r="AC1" s="13" t="s">
        <v>885</v>
      </c>
      <c r="AD1" s="13" t="s">
        <v>62</v>
      </c>
      <c r="AE1" s="13" t="s">
        <v>63</v>
      </c>
      <c r="AF1" s="13" t="s">
        <v>886</v>
      </c>
      <c r="AG1" s="13" t="s">
        <v>74</v>
      </c>
      <c r="AH1" s="13" t="s">
        <v>59</v>
      </c>
    </row>
    <row r="2" spans="1:34" ht="290" x14ac:dyDescent="0.35">
      <c r="A2" s="11">
        <v>46181.338217592587</v>
      </c>
      <c r="B2" s="11">
        <v>46188.556851851848</v>
      </c>
      <c r="C2" s="12" t="s">
        <v>87</v>
      </c>
      <c r="D2" s="12" t="s">
        <v>103</v>
      </c>
      <c r="E2" s="12" t="s">
        <v>363</v>
      </c>
      <c r="F2" s="12" t="s">
        <v>364</v>
      </c>
      <c r="G2" s="12" t="s">
        <v>364</v>
      </c>
      <c r="H2" s="12" t="s">
        <v>81</v>
      </c>
      <c r="I2" s="12" t="s">
        <v>347</v>
      </c>
      <c r="J2" s="12" t="s">
        <v>347</v>
      </c>
      <c r="K2" s="12" t="s">
        <v>347</v>
      </c>
      <c r="L2" s="12" t="s">
        <v>310</v>
      </c>
      <c r="M2" s="12" t="s">
        <v>310</v>
      </c>
      <c r="N2" s="12" t="s">
        <v>310</v>
      </c>
      <c r="O2" s="12" t="s">
        <v>402</v>
      </c>
      <c r="P2" s="12" t="s">
        <v>402</v>
      </c>
      <c r="Q2" s="12" t="s">
        <v>305</v>
      </c>
      <c r="R2" s="12" t="s">
        <v>305</v>
      </c>
      <c r="S2" s="12" t="s">
        <v>305</v>
      </c>
      <c r="T2" s="12" t="s">
        <v>110</v>
      </c>
      <c r="U2" s="12" t="s">
        <v>110</v>
      </c>
      <c r="V2" s="12" t="s">
        <v>100</v>
      </c>
      <c r="W2" s="12" t="s">
        <v>100</v>
      </c>
      <c r="X2" s="12" t="s">
        <v>29</v>
      </c>
      <c r="Y2" s="12" t="s">
        <v>367</v>
      </c>
      <c r="Z2" s="12" t="s">
        <v>368</v>
      </c>
      <c r="AA2" s="12" t="s">
        <v>369</v>
      </c>
      <c r="AB2" s="12">
        <v>528</v>
      </c>
      <c r="AC2" s="12">
        <v>562</v>
      </c>
      <c r="AD2" s="12" t="s">
        <v>370</v>
      </c>
      <c r="AE2" s="12" t="s">
        <v>371</v>
      </c>
      <c r="AF2" s="11">
        <v>46175.424988425933</v>
      </c>
      <c r="AG2" s="11">
        <v>46188.334039351852</v>
      </c>
      <c r="AH2" s="12" t="s">
        <v>366</v>
      </c>
    </row>
    <row r="3" spans="1:34" ht="409.5" x14ac:dyDescent="0.35">
      <c r="A3" s="11">
        <v>46181.338217592587</v>
      </c>
      <c r="B3" s="11">
        <v>46188.556851851848</v>
      </c>
      <c r="C3" s="12" t="s">
        <v>87</v>
      </c>
      <c r="D3" s="12" t="s">
        <v>103</v>
      </c>
      <c r="E3" s="12" t="s">
        <v>400</v>
      </c>
      <c r="F3" s="12" t="s">
        <v>401</v>
      </c>
      <c r="G3" s="12" t="s">
        <v>401</v>
      </c>
      <c r="H3" s="12" t="s">
        <v>81</v>
      </c>
      <c r="I3" s="12" t="s">
        <v>347</v>
      </c>
      <c r="J3" s="12" t="s">
        <v>347</v>
      </c>
      <c r="K3" s="12" t="s">
        <v>347</v>
      </c>
      <c r="L3" s="12" t="s">
        <v>194</v>
      </c>
      <c r="M3" s="12" t="s">
        <v>342</v>
      </c>
      <c r="N3" s="12" t="s">
        <v>342</v>
      </c>
      <c r="O3" s="12" t="s">
        <v>263</v>
      </c>
      <c r="P3" s="12" t="s">
        <v>402</v>
      </c>
      <c r="Q3" s="12" t="s">
        <v>228</v>
      </c>
      <c r="R3" s="12" t="s">
        <v>228</v>
      </c>
      <c r="S3" s="12" t="s">
        <v>228</v>
      </c>
      <c r="T3" s="12" t="s">
        <v>99</v>
      </c>
      <c r="U3" s="12" t="s">
        <v>99</v>
      </c>
      <c r="V3" s="12" t="s">
        <v>100</v>
      </c>
      <c r="W3" s="12" t="s">
        <v>100</v>
      </c>
      <c r="X3" s="12" t="s">
        <v>29</v>
      </c>
      <c r="Y3" s="12" t="s">
        <v>367</v>
      </c>
      <c r="Z3" s="12" t="s">
        <v>404</v>
      </c>
      <c r="AA3" s="12" t="s">
        <v>405</v>
      </c>
      <c r="AB3" s="12">
        <v>2341</v>
      </c>
      <c r="AC3" s="12">
        <v>734</v>
      </c>
      <c r="AD3" s="12" t="s">
        <v>406</v>
      </c>
      <c r="AE3" s="12" t="s">
        <v>407</v>
      </c>
      <c r="AF3" s="11">
        <v>46178.578472222223</v>
      </c>
      <c r="AG3" s="11">
        <v>46183.367743055547</v>
      </c>
      <c r="AH3" s="12" t="s">
        <v>403</v>
      </c>
    </row>
  </sheetData>
  <autoFilter ref="A1:AH3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showGridLines="0" workbookViewId="0"/>
  </sheetViews>
  <sheetFormatPr baseColWidth="10" defaultColWidth="8.7265625" defaultRowHeight="14.5" x14ac:dyDescent="0.35"/>
  <sheetData>
    <row r="1" spans="1:1" x14ac:dyDescent="0.35">
      <c r="A1" s="14" t="s">
        <v>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showGridLines="0" workbookViewId="0"/>
  </sheetViews>
  <sheetFormatPr baseColWidth="10" defaultColWidth="8.7265625" defaultRowHeight="14.5" x14ac:dyDescent="0.35"/>
  <sheetData>
    <row r="1" spans="1:1" x14ac:dyDescent="0.35">
      <c r="A1" s="14" t="s">
        <v>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46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1" customWidth="1"/>
    <col min="2" max="2" width="25" customWidth="1"/>
    <col min="3" max="4" width="31" customWidth="1"/>
    <col min="5" max="8" width="11" customWidth="1"/>
    <col min="9" max="10" width="16" customWidth="1"/>
    <col min="11" max="11" width="17" customWidth="1"/>
    <col min="12" max="13" width="14" customWidth="1"/>
    <col min="14" max="14" width="17" customWidth="1"/>
    <col min="15" max="16" width="24" customWidth="1"/>
    <col min="17" max="17" width="12" customWidth="1"/>
    <col min="18" max="23" width="16" customWidth="1"/>
    <col min="24" max="24" width="18" customWidth="1"/>
    <col min="25" max="25" width="29" customWidth="1"/>
    <col min="26" max="27" width="46" customWidth="1"/>
    <col min="28" max="29" width="14" customWidth="1"/>
    <col min="30" max="31" width="46" customWidth="1"/>
    <col min="32" max="33" width="21" customWidth="1"/>
    <col min="34" max="34" width="46" customWidth="1"/>
  </cols>
  <sheetData>
    <row r="1" spans="1:34" x14ac:dyDescent="0.35">
      <c r="A1" s="13" t="s">
        <v>865</v>
      </c>
      <c r="B1" s="13" t="s">
        <v>866</v>
      </c>
      <c r="C1" s="13" t="s">
        <v>72</v>
      </c>
      <c r="D1" s="13" t="s">
        <v>73</v>
      </c>
      <c r="E1" s="13" t="s">
        <v>65</v>
      </c>
      <c r="F1" s="13" t="s">
        <v>867</v>
      </c>
      <c r="G1" s="13" t="s">
        <v>868</v>
      </c>
      <c r="H1" s="13" t="s">
        <v>68</v>
      </c>
      <c r="I1" s="13" t="s">
        <v>869</v>
      </c>
      <c r="J1" s="13" t="s">
        <v>870</v>
      </c>
      <c r="K1" s="13" t="s">
        <v>871</v>
      </c>
      <c r="L1" s="13" t="s">
        <v>872</v>
      </c>
      <c r="M1" s="13" t="s">
        <v>873</v>
      </c>
      <c r="N1" s="13" t="s">
        <v>874</v>
      </c>
      <c r="O1" s="13" t="s">
        <v>875</v>
      </c>
      <c r="P1" s="13" t="s">
        <v>876</v>
      </c>
      <c r="Q1" s="13" t="s">
        <v>877</v>
      </c>
      <c r="R1" s="13" t="s">
        <v>878</v>
      </c>
      <c r="S1" s="13" t="s">
        <v>879</v>
      </c>
      <c r="T1" s="13" t="s">
        <v>880</v>
      </c>
      <c r="U1" s="13" t="s">
        <v>881</v>
      </c>
      <c r="V1" s="13" t="s">
        <v>882</v>
      </c>
      <c r="W1" s="13" t="s">
        <v>883</v>
      </c>
      <c r="X1" s="13" t="s">
        <v>18</v>
      </c>
      <c r="Y1" s="13" t="s">
        <v>67</v>
      </c>
      <c r="Z1" s="13" t="s">
        <v>70</v>
      </c>
      <c r="AA1" s="13" t="s">
        <v>71</v>
      </c>
      <c r="AB1" s="13" t="s">
        <v>884</v>
      </c>
      <c r="AC1" s="13" t="s">
        <v>885</v>
      </c>
      <c r="AD1" s="13" t="s">
        <v>62</v>
      </c>
      <c r="AE1" s="13" t="s">
        <v>63</v>
      </c>
      <c r="AF1" s="13" t="s">
        <v>886</v>
      </c>
      <c r="AG1" s="13" t="s">
        <v>74</v>
      </c>
      <c r="AH1" s="13" t="s">
        <v>59</v>
      </c>
    </row>
    <row r="2" spans="1:34" ht="29" x14ac:dyDescent="0.35">
      <c r="A2" s="11">
        <v>46181.338217592587</v>
      </c>
      <c r="B2" s="11">
        <v>46188.556851851848</v>
      </c>
      <c r="C2" s="12" t="s">
        <v>87</v>
      </c>
      <c r="D2" s="12" t="s">
        <v>103</v>
      </c>
      <c r="E2" s="12" t="s">
        <v>94</v>
      </c>
      <c r="F2" s="12"/>
      <c r="G2" s="12" t="s">
        <v>95</v>
      </c>
      <c r="H2" s="12" t="s">
        <v>81</v>
      </c>
      <c r="I2" s="12"/>
      <c r="J2" s="12"/>
      <c r="K2" s="12"/>
      <c r="L2" s="12"/>
      <c r="M2" s="12" t="s">
        <v>96</v>
      </c>
      <c r="N2" s="12" t="s">
        <v>96</v>
      </c>
      <c r="O2" s="12"/>
      <c r="P2" s="12" t="s">
        <v>263</v>
      </c>
      <c r="Q2" s="12"/>
      <c r="R2" s="12" t="s">
        <v>97</v>
      </c>
      <c r="S2" s="12" t="s">
        <v>97</v>
      </c>
      <c r="T2" s="12"/>
      <c r="U2" s="12" t="s">
        <v>99</v>
      </c>
      <c r="V2" s="12"/>
      <c r="W2" s="12" t="s">
        <v>100</v>
      </c>
      <c r="X2" s="12" t="s">
        <v>21</v>
      </c>
      <c r="Y2" s="12" t="s">
        <v>98</v>
      </c>
      <c r="Z2" s="12"/>
      <c r="AA2" s="12" t="s">
        <v>101</v>
      </c>
      <c r="AB2" s="12"/>
      <c r="AC2" s="12">
        <v>29</v>
      </c>
      <c r="AD2" s="12"/>
      <c r="AE2" s="12" t="s">
        <v>101</v>
      </c>
      <c r="AF2" s="12"/>
      <c r="AG2" s="11">
        <v>46181.353078703702</v>
      </c>
      <c r="AH2" s="12" t="s">
        <v>102</v>
      </c>
    </row>
    <row r="3" spans="1:34" ht="29" x14ac:dyDescent="0.35">
      <c r="A3" s="11">
        <v>46181.338217592587</v>
      </c>
      <c r="B3" s="11">
        <v>46188.556851851848</v>
      </c>
      <c r="C3" s="12" t="s">
        <v>87</v>
      </c>
      <c r="D3" s="12" t="s">
        <v>103</v>
      </c>
      <c r="E3" s="12" t="s">
        <v>104</v>
      </c>
      <c r="F3" s="12"/>
      <c r="G3" s="12" t="s">
        <v>105</v>
      </c>
      <c r="H3" s="12" t="s">
        <v>81</v>
      </c>
      <c r="I3" s="12"/>
      <c r="J3" s="12"/>
      <c r="K3" s="12"/>
      <c r="L3" s="12"/>
      <c r="M3" s="12" t="s">
        <v>96</v>
      </c>
      <c r="N3" s="12" t="s">
        <v>96</v>
      </c>
      <c r="O3" s="12"/>
      <c r="P3" s="12" t="s">
        <v>263</v>
      </c>
      <c r="Q3" s="12"/>
      <c r="R3" s="12" t="s">
        <v>97</v>
      </c>
      <c r="S3" s="12" t="s">
        <v>97</v>
      </c>
      <c r="T3" s="12"/>
      <c r="U3" s="12" t="s">
        <v>99</v>
      </c>
      <c r="V3" s="12"/>
      <c r="W3" s="12" t="s">
        <v>100</v>
      </c>
      <c r="X3" s="12" t="s">
        <v>21</v>
      </c>
      <c r="Y3" s="12" t="s">
        <v>98</v>
      </c>
      <c r="Z3" s="12"/>
      <c r="AA3" s="12" t="s">
        <v>106</v>
      </c>
      <c r="AB3" s="12"/>
      <c r="AC3" s="12">
        <v>29</v>
      </c>
      <c r="AD3" s="12"/>
      <c r="AE3" s="12" t="s">
        <v>106</v>
      </c>
      <c r="AF3" s="12"/>
      <c r="AG3" s="11">
        <v>46181.589791666673</v>
      </c>
      <c r="AH3" s="12" t="s">
        <v>107</v>
      </c>
    </row>
    <row r="4" spans="1:34" ht="29" x14ac:dyDescent="0.35">
      <c r="A4" s="11">
        <v>46181.338217592587</v>
      </c>
      <c r="B4" s="11">
        <v>46188.556851851848</v>
      </c>
      <c r="C4" s="12" t="s">
        <v>87</v>
      </c>
      <c r="D4" s="12" t="s">
        <v>103</v>
      </c>
      <c r="E4" s="12" t="s">
        <v>233</v>
      </c>
      <c r="F4" s="12"/>
      <c r="G4" s="12" t="s">
        <v>234</v>
      </c>
      <c r="H4" s="12" t="s">
        <v>81</v>
      </c>
      <c r="I4" s="12"/>
      <c r="J4" s="12"/>
      <c r="K4" s="12"/>
      <c r="L4" s="12"/>
      <c r="M4" s="12" t="s">
        <v>194</v>
      </c>
      <c r="N4" s="12" t="s">
        <v>194</v>
      </c>
      <c r="O4" s="12"/>
      <c r="P4" s="12" t="s">
        <v>263</v>
      </c>
      <c r="Q4" s="12"/>
      <c r="R4" s="12" t="s">
        <v>228</v>
      </c>
      <c r="S4" s="12" t="s">
        <v>228</v>
      </c>
      <c r="T4" s="12"/>
      <c r="U4" s="12" t="s">
        <v>197</v>
      </c>
      <c r="V4" s="12"/>
      <c r="W4" s="12" t="s">
        <v>100</v>
      </c>
      <c r="X4" s="12" t="s">
        <v>21</v>
      </c>
      <c r="Y4" s="12" t="s">
        <v>98</v>
      </c>
      <c r="Z4" s="12"/>
      <c r="AA4" s="12" t="s">
        <v>235</v>
      </c>
      <c r="AB4" s="12"/>
      <c r="AC4" s="12">
        <v>72</v>
      </c>
      <c r="AD4" s="12"/>
      <c r="AE4" s="12" t="s">
        <v>235</v>
      </c>
      <c r="AF4" s="12"/>
      <c r="AG4" s="11">
        <v>46181.593425925923</v>
      </c>
      <c r="AH4" s="12" t="s">
        <v>236</v>
      </c>
    </row>
    <row r="5" spans="1:34" ht="29" x14ac:dyDescent="0.35">
      <c r="A5" s="11">
        <v>46181.338217592587</v>
      </c>
      <c r="B5" s="11">
        <v>46188.556851851848</v>
      </c>
      <c r="C5" s="12" t="s">
        <v>87</v>
      </c>
      <c r="D5" s="12" t="s">
        <v>103</v>
      </c>
      <c r="E5" s="12" t="s">
        <v>108</v>
      </c>
      <c r="F5" s="12"/>
      <c r="G5" s="12" t="s">
        <v>109</v>
      </c>
      <c r="H5" s="12" t="s">
        <v>81</v>
      </c>
      <c r="I5" s="12"/>
      <c r="J5" s="12"/>
      <c r="K5" s="12"/>
      <c r="L5" s="12"/>
      <c r="M5" s="12" t="s">
        <v>96</v>
      </c>
      <c r="N5" s="12" t="s">
        <v>96</v>
      </c>
      <c r="O5" s="12"/>
      <c r="P5" s="12" t="s">
        <v>263</v>
      </c>
      <c r="Q5" s="12"/>
      <c r="R5" s="12" t="s">
        <v>97</v>
      </c>
      <c r="S5" s="12" t="s">
        <v>97</v>
      </c>
      <c r="T5" s="12"/>
      <c r="U5" s="12" t="s">
        <v>110</v>
      </c>
      <c r="V5" s="12"/>
      <c r="W5" s="12" t="s">
        <v>100</v>
      </c>
      <c r="X5" s="12" t="s">
        <v>21</v>
      </c>
      <c r="Y5" s="12" t="s">
        <v>98</v>
      </c>
      <c r="Z5" s="12"/>
      <c r="AA5" s="12" t="s">
        <v>111</v>
      </c>
      <c r="AB5" s="12"/>
      <c r="AC5" s="12">
        <v>29</v>
      </c>
      <c r="AD5" s="12"/>
      <c r="AE5" s="12" t="s">
        <v>111</v>
      </c>
      <c r="AF5" s="12"/>
      <c r="AG5" s="11">
        <v>46182.635706018518</v>
      </c>
      <c r="AH5" s="12" t="s">
        <v>112</v>
      </c>
    </row>
    <row r="6" spans="1:34" ht="29" x14ac:dyDescent="0.35">
      <c r="A6" s="11">
        <v>46181.338217592587</v>
      </c>
      <c r="B6" s="11">
        <v>46188.556851851848</v>
      </c>
      <c r="C6" s="12" t="s">
        <v>87</v>
      </c>
      <c r="D6" s="12" t="s">
        <v>103</v>
      </c>
      <c r="E6" s="12" t="s">
        <v>237</v>
      </c>
      <c r="F6" s="12"/>
      <c r="G6" s="12" t="s">
        <v>238</v>
      </c>
      <c r="H6" s="12" t="s">
        <v>81</v>
      </c>
      <c r="I6" s="12"/>
      <c r="J6" s="12"/>
      <c r="K6" s="12"/>
      <c r="L6" s="12"/>
      <c r="M6" s="12" t="s">
        <v>194</v>
      </c>
      <c r="N6" s="12" t="s">
        <v>194</v>
      </c>
      <c r="O6" s="12"/>
      <c r="P6" s="12" t="s">
        <v>263</v>
      </c>
      <c r="Q6" s="12"/>
      <c r="R6" s="12" t="s">
        <v>195</v>
      </c>
      <c r="S6" s="12" t="s">
        <v>195</v>
      </c>
      <c r="T6" s="12"/>
      <c r="U6" s="12" t="s">
        <v>197</v>
      </c>
      <c r="V6" s="12"/>
      <c r="W6" s="12" t="s">
        <v>100</v>
      </c>
      <c r="X6" s="12" t="s">
        <v>21</v>
      </c>
      <c r="Y6" s="12" t="s">
        <v>98</v>
      </c>
      <c r="Z6" s="12"/>
      <c r="AA6" s="12" t="s">
        <v>239</v>
      </c>
      <c r="AB6" s="12"/>
      <c r="AC6" s="12">
        <v>54</v>
      </c>
      <c r="AD6" s="12"/>
      <c r="AE6" s="12" t="s">
        <v>239</v>
      </c>
      <c r="AF6" s="12"/>
      <c r="AG6" s="11">
        <v>46181.642175925917</v>
      </c>
      <c r="AH6" s="12" t="s">
        <v>240</v>
      </c>
    </row>
    <row r="7" spans="1:34" ht="29" x14ac:dyDescent="0.35">
      <c r="A7" s="11">
        <v>46181.338217592587</v>
      </c>
      <c r="B7" s="11">
        <v>46188.556851851848</v>
      </c>
      <c r="C7" s="12" t="s">
        <v>87</v>
      </c>
      <c r="D7" s="12" t="s">
        <v>103</v>
      </c>
      <c r="E7" s="12" t="s">
        <v>241</v>
      </c>
      <c r="F7" s="12"/>
      <c r="G7" s="12" t="s">
        <v>242</v>
      </c>
      <c r="H7" s="12" t="s">
        <v>81</v>
      </c>
      <c r="I7" s="12"/>
      <c r="J7" s="12"/>
      <c r="K7" s="12"/>
      <c r="L7" s="12"/>
      <c r="M7" s="12" t="s">
        <v>194</v>
      </c>
      <c r="N7" s="12" t="s">
        <v>194</v>
      </c>
      <c r="O7" s="12"/>
      <c r="P7" s="12" t="s">
        <v>263</v>
      </c>
      <c r="Q7" s="12"/>
      <c r="R7" s="12" t="s">
        <v>195</v>
      </c>
      <c r="S7" s="12" t="s">
        <v>195</v>
      </c>
      <c r="T7" s="12"/>
      <c r="U7" s="12" t="s">
        <v>197</v>
      </c>
      <c r="V7" s="12"/>
      <c r="W7" s="12" t="s">
        <v>100</v>
      </c>
      <c r="X7" s="12" t="s">
        <v>21</v>
      </c>
      <c r="Y7" s="12" t="s">
        <v>98</v>
      </c>
      <c r="Z7" s="12"/>
      <c r="AA7" s="12" t="s">
        <v>239</v>
      </c>
      <c r="AB7" s="12"/>
      <c r="AC7" s="12">
        <v>54</v>
      </c>
      <c r="AD7" s="12"/>
      <c r="AE7" s="12" t="s">
        <v>239</v>
      </c>
      <c r="AF7" s="12"/>
      <c r="AG7" s="11">
        <v>46181.642199074071</v>
      </c>
      <c r="AH7" s="12" t="s">
        <v>243</v>
      </c>
    </row>
    <row r="8" spans="1:34" ht="29" x14ac:dyDescent="0.35">
      <c r="A8" s="11">
        <v>46181.338217592587</v>
      </c>
      <c r="B8" s="11">
        <v>46188.556851851848</v>
      </c>
      <c r="C8" s="12" t="s">
        <v>87</v>
      </c>
      <c r="D8" s="12" t="s">
        <v>103</v>
      </c>
      <c r="E8" s="12" t="s">
        <v>244</v>
      </c>
      <c r="F8" s="12"/>
      <c r="G8" s="12" t="s">
        <v>245</v>
      </c>
      <c r="H8" s="12" t="s">
        <v>81</v>
      </c>
      <c r="I8" s="12"/>
      <c r="J8" s="12"/>
      <c r="K8" s="12"/>
      <c r="L8" s="12"/>
      <c r="M8" s="12" t="s">
        <v>194</v>
      </c>
      <c r="N8" s="12" t="s">
        <v>194</v>
      </c>
      <c r="O8" s="12"/>
      <c r="P8" s="12" t="s">
        <v>263</v>
      </c>
      <c r="Q8" s="12"/>
      <c r="R8" s="12" t="s">
        <v>195</v>
      </c>
      <c r="S8" s="12" t="s">
        <v>195</v>
      </c>
      <c r="T8" s="12"/>
      <c r="U8" s="12" t="s">
        <v>197</v>
      </c>
      <c r="V8" s="12"/>
      <c r="W8" s="12" t="s">
        <v>100</v>
      </c>
      <c r="X8" s="12" t="s">
        <v>21</v>
      </c>
      <c r="Y8" s="12" t="s">
        <v>98</v>
      </c>
      <c r="Z8" s="12"/>
      <c r="AA8" s="12" t="s">
        <v>239</v>
      </c>
      <c r="AB8" s="12"/>
      <c r="AC8" s="12">
        <v>54</v>
      </c>
      <c r="AD8" s="12"/>
      <c r="AE8" s="12" t="s">
        <v>239</v>
      </c>
      <c r="AF8" s="12"/>
      <c r="AG8" s="11">
        <v>46181.642199074071</v>
      </c>
      <c r="AH8" s="12" t="s">
        <v>246</v>
      </c>
    </row>
    <row r="9" spans="1:34" ht="29" x14ac:dyDescent="0.35">
      <c r="A9" s="11">
        <v>46181.338217592587</v>
      </c>
      <c r="B9" s="11">
        <v>46188.556851851848</v>
      </c>
      <c r="C9" s="12" t="s">
        <v>87</v>
      </c>
      <c r="D9" s="12" t="s">
        <v>103</v>
      </c>
      <c r="E9" s="12" t="s">
        <v>247</v>
      </c>
      <c r="F9" s="12"/>
      <c r="G9" s="12" t="s">
        <v>248</v>
      </c>
      <c r="H9" s="12" t="s">
        <v>81</v>
      </c>
      <c r="I9" s="12"/>
      <c r="J9" s="12"/>
      <c r="K9" s="12"/>
      <c r="L9" s="12"/>
      <c r="M9" s="12" t="s">
        <v>194</v>
      </c>
      <c r="N9" s="12" t="s">
        <v>194</v>
      </c>
      <c r="O9" s="12"/>
      <c r="P9" s="12" t="s">
        <v>263</v>
      </c>
      <c r="Q9" s="12"/>
      <c r="R9" s="12" t="s">
        <v>195</v>
      </c>
      <c r="S9" s="12" t="s">
        <v>195</v>
      </c>
      <c r="T9" s="12"/>
      <c r="U9" s="12" t="s">
        <v>197</v>
      </c>
      <c r="V9" s="12"/>
      <c r="W9" s="12" t="s">
        <v>100</v>
      </c>
      <c r="X9" s="12" t="s">
        <v>21</v>
      </c>
      <c r="Y9" s="12" t="s">
        <v>98</v>
      </c>
      <c r="Z9" s="12"/>
      <c r="AA9" s="12" t="s">
        <v>239</v>
      </c>
      <c r="AB9" s="12"/>
      <c r="AC9" s="12">
        <v>54</v>
      </c>
      <c r="AD9" s="12"/>
      <c r="AE9" s="12" t="s">
        <v>239</v>
      </c>
      <c r="AF9" s="12"/>
      <c r="AG9" s="11">
        <v>46181.642199074071</v>
      </c>
      <c r="AH9" s="12" t="s">
        <v>249</v>
      </c>
    </row>
    <row r="10" spans="1:34" ht="43.5" x14ac:dyDescent="0.35">
      <c r="A10" s="11">
        <v>46181.338217592587</v>
      </c>
      <c r="B10" s="11">
        <v>46188.556851851848</v>
      </c>
      <c r="C10" s="12" t="s">
        <v>87</v>
      </c>
      <c r="D10" s="12" t="s">
        <v>103</v>
      </c>
      <c r="E10" s="12" t="s">
        <v>372</v>
      </c>
      <c r="F10" s="12"/>
      <c r="G10" s="12" t="s">
        <v>373</v>
      </c>
      <c r="H10" s="12" t="s">
        <v>81</v>
      </c>
      <c r="I10" s="12"/>
      <c r="J10" s="12" t="s">
        <v>347</v>
      </c>
      <c r="K10" s="12" t="s">
        <v>347</v>
      </c>
      <c r="L10" s="12"/>
      <c r="M10" s="12" t="s">
        <v>310</v>
      </c>
      <c r="N10" s="12" t="s">
        <v>310</v>
      </c>
      <c r="O10" s="12"/>
      <c r="P10" s="12" t="s">
        <v>402</v>
      </c>
      <c r="Q10" s="12"/>
      <c r="R10" s="12" t="s">
        <v>305</v>
      </c>
      <c r="S10" s="12" t="s">
        <v>305</v>
      </c>
      <c r="T10" s="12"/>
      <c r="U10" s="12" t="s">
        <v>99</v>
      </c>
      <c r="V10" s="12"/>
      <c r="W10" s="12" t="s">
        <v>100</v>
      </c>
      <c r="X10" s="12" t="s">
        <v>21</v>
      </c>
      <c r="Y10" s="12" t="s">
        <v>98</v>
      </c>
      <c r="Z10" s="12"/>
      <c r="AA10" s="12" t="s">
        <v>374</v>
      </c>
      <c r="AB10" s="12"/>
      <c r="AC10" s="12">
        <v>113</v>
      </c>
      <c r="AD10" s="12"/>
      <c r="AE10" s="12" t="s">
        <v>374</v>
      </c>
      <c r="AF10" s="12"/>
      <c r="AG10" s="11">
        <v>46185.32335648148</v>
      </c>
      <c r="AH10" s="12" t="s">
        <v>375</v>
      </c>
    </row>
    <row r="11" spans="1:34" ht="29" x14ac:dyDescent="0.35">
      <c r="A11" s="11">
        <v>46181.338217592587</v>
      </c>
      <c r="B11" s="11">
        <v>46188.556851851848</v>
      </c>
      <c r="C11" s="12" t="s">
        <v>87</v>
      </c>
      <c r="D11" s="12" t="s">
        <v>103</v>
      </c>
      <c r="E11" s="12" t="s">
        <v>113</v>
      </c>
      <c r="F11" s="12"/>
      <c r="G11" s="12" t="s">
        <v>114</v>
      </c>
      <c r="H11" s="12" t="s">
        <v>81</v>
      </c>
      <c r="I11" s="12"/>
      <c r="J11" s="12"/>
      <c r="K11" s="12"/>
      <c r="L11" s="12"/>
      <c r="M11" s="12" t="s">
        <v>96</v>
      </c>
      <c r="N11" s="12" t="s">
        <v>96</v>
      </c>
      <c r="O11" s="12"/>
      <c r="P11" s="12" t="s">
        <v>263</v>
      </c>
      <c r="Q11" s="12"/>
      <c r="R11" s="12" t="s">
        <v>97</v>
      </c>
      <c r="S11" s="12" t="s">
        <v>97</v>
      </c>
      <c r="T11" s="12"/>
      <c r="U11" s="12" t="s">
        <v>110</v>
      </c>
      <c r="V11" s="12"/>
      <c r="W11" s="12" t="s">
        <v>100</v>
      </c>
      <c r="X11" s="12" t="s">
        <v>21</v>
      </c>
      <c r="Y11" s="12" t="s">
        <v>98</v>
      </c>
      <c r="Z11" s="12"/>
      <c r="AA11" s="12" t="s">
        <v>115</v>
      </c>
      <c r="AB11" s="12"/>
      <c r="AC11" s="12">
        <v>29</v>
      </c>
      <c r="AD11" s="12"/>
      <c r="AE11" s="12" t="s">
        <v>115</v>
      </c>
      <c r="AF11" s="12"/>
      <c r="AG11" s="11">
        <v>46182.413715277777</v>
      </c>
      <c r="AH11" s="12" t="s">
        <v>116</v>
      </c>
    </row>
    <row r="12" spans="1:34" ht="29" x14ac:dyDescent="0.35">
      <c r="A12" s="11">
        <v>46181.338217592587</v>
      </c>
      <c r="B12" s="11">
        <v>46188.556851851848</v>
      </c>
      <c r="C12" s="12" t="s">
        <v>87</v>
      </c>
      <c r="D12" s="12" t="s">
        <v>103</v>
      </c>
      <c r="E12" s="12" t="s">
        <v>376</v>
      </c>
      <c r="F12" s="12"/>
      <c r="G12" s="12" t="s">
        <v>377</v>
      </c>
      <c r="H12" s="12" t="s">
        <v>81</v>
      </c>
      <c r="I12" s="12"/>
      <c r="J12" s="12" t="s">
        <v>347</v>
      </c>
      <c r="K12" s="12" t="s">
        <v>347</v>
      </c>
      <c r="L12" s="12"/>
      <c r="M12" s="12" t="s">
        <v>310</v>
      </c>
      <c r="N12" s="12" t="s">
        <v>310</v>
      </c>
      <c r="O12" s="12"/>
      <c r="P12" s="12" t="s">
        <v>402</v>
      </c>
      <c r="Q12" s="12"/>
      <c r="R12" s="12" t="s">
        <v>228</v>
      </c>
      <c r="S12" s="12" t="s">
        <v>228</v>
      </c>
      <c r="T12" s="12"/>
      <c r="U12" s="12" t="s">
        <v>110</v>
      </c>
      <c r="V12" s="12"/>
      <c r="W12" s="12" t="s">
        <v>100</v>
      </c>
      <c r="X12" s="12" t="s">
        <v>21</v>
      </c>
      <c r="Y12" s="12" t="s">
        <v>98</v>
      </c>
      <c r="Z12" s="12"/>
      <c r="AA12" s="12" t="s">
        <v>378</v>
      </c>
      <c r="AB12" s="12"/>
      <c r="AC12" s="12">
        <v>84</v>
      </c>
      <c r="AD12" s="12"/>
      <c r="AE12" s="12" t="s">
        <v>378</v>
      </c>
      <c r="AF12" s="12"/>
      <c r="AG12" s="11">
        <v>46188.392916666657</v>
      </c>
      <c r="AH12" s="12" t="s">
        <v>379</v>
      </c>
    </row>
    <row r="13" spans="1:34" ht="29" x14ac:dyDescent="0.35">
      <c r="A13" s="11">
        <v>46181.338217592587</v>
      </c>
      <c r="B13" s="11">
        <v>46188.556851851848</v>
      </c>
      <c r="C13" s="12" t="s">
        <v>87</v>
      </c>
      <c r="D13" s="12" t="s">
        <v>103</v>
      </c>
      <c r="E13" s="12" t="s">
        <v>117</v>
      </c>
      <c r="F13" s="12"/>
      <c r="G13" s="12" t="s">
        <v>118</v>
      </c>
      <c r="H13" s="12" t="s">
        <v>81</v>
      </c>
      <c r="I13" s="12"/>
      <c r="J13" s="12"/>
      <c r="K13" s="12"/>
      <c r="L13" s="12"/>
      <c r="M13" s="12" t="s">
        <v>96</v>
      </c>
      <c r="N13" s="12" t="s">
        <v>96</v>
      </c>
      <c r="O13" s="12"/>
      <c r="P13" s="12" t="s">
        <v>263</v>
      </c>
      <c r="Q13" s="12"/>
      <c r="R13" s="12" t="s">
        <v>97</v>
      </c>
      <c r="S13" s="12" t="s">
        <v>97</v>
      </c>
      <c r="T13" s="12"/>
      <c r="U13" s="12" t="s">
        <v>99</v>
      </c>
      <c r="V13" s="12"/>
      <c r="W13" s="12" t="s">
        <v>100</v>
      </c>
      <c r="X13" s="12" t="s">
        <v>21</v>
      </c>
      <c r="Y13" s="12" t="s">
        <v>98</v>
      </c>
      <c r="Z13" s="12"/>
      <c r="AA13" s="12" t="s">
        <v>119</v>
      </c>
      <c r="AB13" s="12"/>
      <c r="AC13" s="12">
        <v>29</v>
      </c>
      <c r="AD13" s="12"/>
      <c r="AE13" s="12" t="s">
        <v>119</v>
      </c>
      <c r="AF13" s="12"/>
      <c r="AG13" s="11">
        <v>46182.644918981481</v>
      </c>
      <c r="AH13" s="12" t="s">
        <v>120</v>
      </c>
    </row>
    <row r="14" spans="1:34" ht="29" x14ac:dyDescent="0.35">
      <c r="A14" s="11">
        <v>46181.338217592587</v>
      </c>
      <c r="B14" s="11">
        <v>46188.556851851848</v>
      </c>
      <c r="C14" s="12" t="s">
        <v>87</v>
      </c>
      <c r="D14" s="12" t="s">
        <v>103</v>
      </c>
      <c r="E14" s="12" t="s">
        <v>380</v>
      </c>
      <c r="F14" s="12"/>
      <c r="G14" s="12" t="s">
        <v>381</v>
      </c>
      <c r="H14" s="12" t="s">
        <v>81</v>
      </c>
      <c r="I14" s="12"/>
      <c r="J14" s="12" t="s">
        <v>347</v>
      </c>
      <c r="K14" s="12" t="s">
        <v>347</v>
      </c>
      <c r="L14" s="12"/>
      <c r="M14" s="12" t="s">
        <v>194</v>
      </c>
      <c r="N14" s="12" t="s">
        <v>194</v>
      </c>
      <c r="O14" s="12"/>
      <c r="P14" s="12" t="s">
        <v>263</v>
      </c>
      <c r="Q14" s="12"/>
      <c r="R14" s="12" t="s">
        <v>228</v>
      </c>
      <c r="S14" s="12" t="s">
        <v>228</v>
      </c>
      <c r="T14" s="12"/>
      <c r="U14" s="12" t="s">
        <v>99</v>
      </c>
      <c r="V14" s="12"/>
      <c r="W14" s="12" t="s">
        <v>100</v>
      </c>
      <c r="X14" s="12" t="s">
        <v>21</v>
      </c>
      <c r="Y14" s="12" t="s">
        <v>98</v>
      </c>
      <c r="Z14" s="12"/>
      <c r="AA14" s="12" t="s">
        <v>382</v>
      </c>
      <c r="AB14" s="12"/>
      <c r="AC14" s="12">
        <v>99</v>
      </c>
      <c r="AD14" s="12"/>
      <c r="AE14" s="12" t="s">
        <v>382</v>
      </c>
      <c r="AF14" s="12"/>
      <c r="AG14" s="11">
        <v>46182.647060185183</v>
      </c>
      <c r="AH14" s="12" t="s">
        <v>383</v>
      </c>
    </row>
    <row r="15" spans="1:34" ht="29" x14ac:dyDescent="0.35">
      <c r="A15" s="11">
        <v>46181.338217592587</v>
      </c>
      <c r="B15" s="11">
        <v>46188.556851851848</v>
      </c>
      <c r="C15" s="12" t="s">
        <v>87</v>
      </c>
      <c r="D15" s="12" t="s">
        <v>103</v>
      </c>
      <c r="E15" s="12" t="s">
        <v>121</v>
      </c>
      <c r="F15" s="12"/>
      <c r="G15" s="12" t="s">
        <v>122</v>
      </c>
      <c r="H15" s="12" t="s">
        <v>81</v>
      </c>
      <c r="I15" s="12"/>
      <c r="J15" s="12"/>
      <c r="K15" s="12"/>
      <c r="L15" s="12"/>
      <c r="M15" s="12" t="s">
        <v>96</v>
      </c>
      <c r="N15" s="12" t="s">
        <v>96</v>
      </c>
      <c r="O15" s="12"/>
      <c r="P15" s="12" t="s">
        <v>263</v>
      </c>
      <c r="Q15" s="12"/>
      <c r="R15" s="12" t="s">
        <v>97</v>
      </c>
      <c r="S15" s="12" t="s">
        <v>97</v>
      </c>
      <c r="T15" s="12"/>
      <c r="U15" s="12" t="s">
        <v>110</v>
      </c>
      <c r="V15" s="12"/>
      <c r="W15" s="12" t="s">
        <v>100</v>
      </c>
      <c r="X15" s="12" t="s">
        <v>21</v>
      </c>
      <c r="Y15" s="12" t="s">
        <v>98</v>
      </c>
      <c r="Z15" s="12"/>
      <c r="AA15" s="12" t="s">
        <v>123</v>
      </c>
      <c r="AB15" s="12"/>
      <c r="AC15" s="12">
        <v>29</v>
      </c>
      <c r="AD15" s="12"/>
      <c r="AE15" s="12" t="s">
        <v>123</v>
      </c>
      <c r="AF15" s="12"/>
      <c r="AG15" s="11">
        <v>46183.52847222222</v>
      </c>
      <c r="AH15" s="12" t="s">
        <v>124</v>
      </c>
    </row>
    <row r="16" spans="1:34" ht="29" x14ac:dyDescent="0.35">
      <c r="A16" s="11">
        <v>46181.338217592587</v>
      </c>
      <c r="B16" s="11">
        <v>46188.556851851848</v>
      </c>
      <c r="C16" s="12" t="s">
        <v>87</v>
      </c>
      <c r="D16" s="12" t="s">
        <v>103</v>
      </c>
      <c r="E16" s="12" t="s">
        <v>125</v>
      </c>
      <c r="F16" s="12"/>
      <c r="G16" s="12" t="s">
        <v>126</v>
      </c>
      <c r="H16" s="12" t="s">
        <v>81</v>
      </c>
      <c r="I16" s="12"/>
      <c r="J16" s="12"/>
      <c r="K16" s="12"/>
      <c r="L16" s="12"/>
      <c r="M16" s="12" t="s">
        <v>96</v>
      </c>
      <c r="N16" s="12" t="s">
        <v>96</v>
      </c>
      <c r="O16" s="12"/>
      <c r="P16" s="12" t="s">
        <v>263</v>
      </c>
      <c r="Q16" s="12"/>
      <c r="R16" s="12" t="s">
        <v>97</v>
      </c>
      <c r="S16" s="12" t="s">
        <v>97</v>
      </c>
      <c r="T16" s="12"/>
      <c r="U16" s="12" t="s">
        <v>99</v>
      </c>
      <c r="V16" s="12"/>
      <c r="W16" s="12" t="s">
        <v>100</v>
      </c>
      <c r="X16" s="12" t="s">
        <v>21</v>
      </c>
      <c r="Y16" s="12" t="s">
        <v>98</v>
      </c>
      <c r="Z16" s="12"/>
      <c r="AA16" s="12" t="s">
        <v>127</v>
      </c>
      <c r="AB16" s="12"/>
      <c r="AC16" s="12">
        <v>29</v>
      </c>
      <c r="AD16" s="12"/>
      <c r="AE16" s="12" t="s">
        <v>127</v>
      </c>
      <c r="AF16" s="12"/>
      <c r="AG16" s="11">
        <v>46183.360590277778</v>
      </c>
      <c r="AH16" s="12" t="s">
        <v>128</v>
      </c>
    </row>
    <row r="17" spans="1:34" ht="29" x14ac:dyDescent="0.35">
      <c r="A17" s="11">
        <v>46181.338217592587</v>
      </c>
      <c r="B17" s="11">
        <v>46188.556851851848</v>
      </c>
      <c r="C17" s="12" t="s">
        <v>87</v>
      </c>
      <c r="D17" s="12" t="s">
        <v>103</v>
      </c>
      <c r="E17" s="12" t="s">
        <v>408</v>
      </c>
      <c r="F17" s="12"/>
      <c r="G17" s="12" t="s">
        <v>409</v>
      </c>
      <c r="H17" s="12" t="s">
        <v>81</v>
      </c>
      <c r="I17" s="12"/>
      <c r="J17" s="12" t="s">
        <v>347</v>
      </c>
      <c r="K17" s="12" t="s">
        <v>347</v>
      </c>
      <c r="L17" s="12"/>
      <c r="M17" s="12" t="s">
        <v>342</v>
      </c>
      <c r="N17" s="12" t="s">
        <v>342</v>
      </c>
      <c r="O17" s="12"/>
      <c r="P17" s="12" t="s">
        <v>402</v>
      </c>
      <c r="Q17" s="12"/>
      <c r="R17" s="12" t="s">
        <v>228</v>
      </c>
      <c r="S17" s="12" t="s">
        <v>228</v>
      </c>
      <c r="T17" s="12"/>
      <c r="U17" s="12" t="s">
        <v>99</v>
      </c>
      <c r="V17" s="12"/>
      <c r="W17" s="12" t="s">
        <v>100</v>
      </c>
      <c r="X17" s="12" t="s">
        <v>21</v>
      </c>
      <c r="Y17" s="12" t="s">
        <v>98</v>
      </c>
      <c r="Z17" s="12"/>
      <c r="AA17" s="12" t="s">
        <v>410</v>
      </c>
      <c r="AB17" s="12"/>
      <c r="AC17" s="12">
        <v>102</v>
      </c>
      <c r="AD17" s="12"/>
      <c r="AE17" s="12" t="s">
        <v>410</v>
      </c>
      <c r="AF17" s="12"/>
      <c r="AG17" s="11">
        <v>46183.365370370368</v>
      </c>
      <c r="AH17" s="12" t="s">
        <v>411</v>
      </c>
    </row>
    <row r="18" spans="1:34" ht="29" x14ac:dyDescent="0.35">
      <c r="A18" s="11">
        <v>46181.338217592587</v>
      </c>
      <c r="B18" s="11">
        <v>46188.556851851848</v>
      </c>
      <c r="C18" s="12" t="s">
        <v>87</v>
      </c>
      <c r="D18" s="12" t="s">
        <v>103</v>
      </c>
      <c r="E18" s="12" t="s">
        <v>129</v>
      </c>
      <c r="F18" s="12"/>
      <c r="G18" s="12" t="s">
        <v>130</v>
      </c>
      <c r="H18" s="12" t="s">
        <v>81</v>
      </c>
      <c r="I18" s="12"/>
      <c r="J18" s="12"/>
      <c r="K18" s="12"/>
      <c r="L18" s="12"/>
      <c r="M18" s="12" t="s">
        <v>96</v>
      </c>
      <c r="N18" s="12" t="s">
        <v>96</v>
      </c>
      <c r="O18" s="12"/>
      <c r="P18" s="12" t="s">
        <v>263</v>
      </c>
      <c r="Q18" s="12"/>
      <c r="R18" s="12" t="s">
        <v>97</v>
      </c>
      <c r="S18" s="12" t="s">
        <v>97</v>
      </c>
      <c r="T18" s="12"/>
      <c r="U18" s="12" t="s">
        <v>99</v>
      </c>
      <c r="V18" s="12"/>
      <c r="W18" s="12" t="s">
        <v>100</v>
      </c>
      <c r="X18" s="12" t="s">
        <v>21</v>
      </c>
      <c r="Y18" s="12" t="s">
        <v>98</v>
      </c>
      <c r="Z18" s="12"/>
      <c r="AA18" s="12" t="s">
        <v>131</v>
      </c>
      <c r="AB18" s="12"/>
      <c r="AC18" s="12">
        <v>29</v>
      </c>
      <c r="AD18" s="12"/>
      <c r="AE18" s="12" t="s">
        <v>131</v>
      </c>
      <c r="AF18" s="12"/>
      <c r="AG18" s="11">
        <v>46183.540821759263</v>
      </c>
      <c r="AH18" s="12" t="s">
        <v>132</v>
      </c>
    </row>
    <row r="19" spans="1:34" ht="29" x14ac:dyDescent="0.35">
      <c r="A19" s="11">
        <v>46181.338217592587</v>
      </c>
      <c r="B19" s="11">
        <v>46188.556851851848</v>
      </c>
      <c r="C19" s="12" t="s">
        <v>87</v>
      </c>
      <c r="D19" s="12" t="s">
        <v>103</v>
      </c>
      <c r="E19" s="12" t="s">
        <v>133</v>
      </c>
      <c r="F19" s="12"/>
      <c r="G19" s="12" t="s">
        <v>134</v>
      </c>
      <c r="H19" s="12" t="s">
        <v>81</v>
      </c>
      <c r="I19" s="12"/>
      <c r="J19" s="12"/>
      <c r="K19" s="12"/>
      <c r="L19" s="12"/>
      <c r="M19" s="12" t="s">
        <v>96</v>
      </c>
      <c r="N19" s="12" t="s">
        <v>96</v>
      </c>
      <c r="O19" s="12"/>
      <c r="P19" s="12" t="s">
        <v>263</v>
      </c>
      <c r="Q19" s="12"/>
      <c r="R19" s="12" t="s">
        <v>97</v>
      </c>
      <c r="S19" s="12" t="s">
        <v>97</v>
      </c>
      <c r="T19" s="12"/>
      <c r="U19" s="12" t="s">
        <v>99</v>
      </c>
      <c r="V19" s="12"/>
      <c r="W19" s="12" t="s">
        <v>100</v>
      </c>
      <c r="X19" s="12" t="s">
        <v>21</v>
      </c>
      <c r="Y19" s="12" t="s">
        <v>98</v>
      </c>
      <c r="Z19" s="12"/>
      <c r="AA19" s="12" t="s">
        <v>135</v>
      </c>
      <c r="AB19" s="12"/>
      <c r="AC19" s="12">
        <v>29</v>
      </c>
      <c r="AD19" s="12"/>
      <c r="AE19" s="12" t="s">
        <v>135</v>
      </c>
      <c r="AF19" s="12"/>
      <c r="AG19" s="11">
        <v>46183.587442129632</v>
      </c>
      <c r="AH19" s="12" t="s">
        <v>136</v>
      </c>
    </row>
    <row r="20" spans="1:34" ht="29" x14ac:dyDescent="0.35">
      <c r="A20" s="11">
        <v>46181.338217592587</v>
      </c>
      <c r="B20" s="11">
        <v>46188.556851851848</v>
      </c>
      <c r="C20" s="12" t="s">
        <v>87</v>
      </c>
      <c r="D20" s="12" t="s">
        <v>103</v>
      </c>
      <c r="E20" s="12" t="s">
        <v>384</v>
      </c>
      <c r="F20" s="12"/>
      <c r="G20" s="12" t="s">
        <v>385</v>
      </c>
      <c r="H20" s="12" t="s">
        <v>81</v>
      </c>
      <c r="I20" s="12"/>
      <c r="J20" s="12" t="s">
        <v>347</v>
      </c>
      <c r="K20" s="12" t="s">
        <v>347</v>
      </c>
      <c r="L20" s="12"/>
      <c r="M20" s="12" t="s">
        <v>194</v>
      </c>
      <c r="N20" s="12" t="s">
        <v>194</v>
      </c>
      <c r="O20" s="12"/>
      <c r="P20" s="12" t="s">
        <v>263</v>
      </c>
      <c r="Q20" s="12"/>
      <c r="R20" s="12" t="s">
        <v>228</v>
      </c>
      <c r="S20" s="12" t="s">
        <v>228</v>
      </c>
      <c r="T20" s="12"/>
      <c r="U20" s="12" t="s">
        <v>99</v>
      </c>
      <c r="V20" s="12"/>
      <c r="W20" s="12" t="s">
        <v>100</v>
      </c>
      <c r="X20" s="12" t="s">
        <v>21</v>
      </c>
      <c r="Y20" s="12" t="s">
        <v>98</v>
      </c>
      <c r="Z20" s="12"/>
      <c r="AA20" s="12" t="s">
        <v>386</v>
      </c>
      <c r="AB20" s="12"/>
      <c r="AC20" s="12">
        <v>76</v>
      </c>
      <c r="AD20" s="12"/>
      <c r="AE20" s="12" t="s">
        <v>386</v>
      </c>
      <c r="AF20" s="12"/>
      <c r="AG20" s="11">
        <v>46183.589490740742</v>
      </c>
      <c r="AH20" s="12" t="s">
        <v>387</v>
      </c>
    </row>
    <row r="21" spans="1:34" ht="29" x14ac:dyDescent="0.35">
      <c r="A21" s="11">
        <v>46181.338217592587</v>
      </c>
      <c r="B21" s="11">
        <v>46188.556851851848</v>
      </c>
      <c r="C21" s="12" t="s">
        <v>87</v>
      </c>
      <c r="D21" s="12" t="s">
        <v>103</v>
      </c>
      <c r="E21" s="12" t="s">
        <v>250</v>
      </c>
      <c r="F21" s="12"/>
      <c r="G21" s="12" t="s">
        <v>251</v>
      </c>
      <c r="H21" s="12" t="s">
        <v>81</v>
      </c>
      <c r="I21" s="12"/>
      <c r="J21" s="12"/>
      <c r="K21" s="12"/>
      <c r="L21" s="12"/>
      <c r="M21" s="12" t="s">
        <v>194</v>
      </c>
      <c r="N21" s="12" t="s">
        <v>194</v>
      </c>
      <c r="O21" s="12"/>
      <c r="P21" s="12" t="s">
        <v>263</v>
      </c>
      <c r="Q21" s="12"/>
      <c r="R21" s="12" t="s">
        <v>228</v>
      </c>
      <c r="S21" s="12" t="s">
        <v>228</v>
      </c>
      <c r="T21" s="12"/>
      <c r="U21" s="12" t="s">
        <v>197</v>
      </c>
      <c r="V21" s="12"/>
      <c r="W21" s="12" t="s">
        <v>100</v>
      </c>
      <c r="X21" s="12" t="s">
        <v>21</v>
      </c>
      <c r="Y21" s="12" t="s">
        <v>98</v>
      </c>
      <c r="Z21" s="12"/>
      <c r="AA21" s="12" t="s">
        <v>252</v>
      </c>
      <c r="AB21" s="12"/>
      <c r="AC21" s="12">
        <v>74</v>
      </c>
      <c r="AD21" s="12"/>
      <c r="AE21" s="12" t="s">
        <v>252</v>
      </c>
      <c r="AF21" s="12"/>
      <c r="AG21" s="11">
        <v>46183.598009259258</v>
      </c>
      <c r="AH21" s="12" t="s">
        <v>253</v>
      </c>
    </row>
    <row r="22" spans="1:34" ht="29" x14ac:dyDescent="0.35">
      <c r="A22" s="11">
        <v>46181.338217592587</v>
      </c>
      <c r="B22" s="11">
        <v>46188.556851851848</v>
      </c>
      <c r="C22" s="12" t="s">
        <v>87</v>
      </c>
      <c r="D22" s="12" t="s">
        <v>103</v>
      </c>
      <c r="E22" s="12" t="s">
        <v>137</v>
      </c>
      <c r="F22" s="12"/>
      <c r="G22" s="12" t="s">
        <v>138</v>
      </c>
      <c r="H22" s="12" t="s">
        <v>81</v>
      </c>
      <c r="I22" s="12"/>
      <c r="J22" s="12"/>
      <c r="K22" s="12"/>
      <c r="L22" s="12"/>
      <c r="M22" s="12" t="s">
        <v>96</v>
      </c>
      <c r="N22" s="12" t="s">
        <v>96</v>
      </c>
      <c r="O22" s="12"/>
      <c r="P22" s="12" t="s">
        <v>263</v>
      </c>
      <c r="Q22" s="12"/>
      <c r="R22" s="12" t="s">
        <v>97</v>
      </c>
      <c r="S22" s="12" t="s">
        <v>97</v>
      </c>
      <c r="T22" s="12"/>
      <c r="U22" s="12" t="s">
        <v>110</v>
      </c>
      <c r="V22" s="12"/>
      <c r="W22" s="12" t="s">
        <v>100</v>
      </c>
      <c r="X22" s="12" t="s">
        <v>21</v>
      </c>
      <c r="Y22" s="12" t="s">
        <v>98</v>
      </c>
      <c r="Z22" s="12"/>
      <c r="AA22" s="12" t="s">
        <v>139</v>
      </c>
      <c r="AB22" s="12"/>
      <c r="AC22" s="12">
        <v>29</v>
      </c>
      <c r="AD22" s="12"/>
      <c r="AE22" s="12" t="s">
        <v>139</v>
      </c>
      <c r="AF22" s="12"/>
      <c r="AG22" s="11">
        <v>46183.601145833331</v>
      </c>
      <c r="AH22" s="12" t="s">
        <v>140</v>
      </c>
    </row>
    <row r="23" spans="1:34" ht="29" x14ac:dyDescent="0.35">
      <c r="A23" s="11">
        <v>46181.338217592587</v>
      </c>
      <c r="B23" s="11">
        <v>46188.556851851848</v>
      </c>
      <c r="C23" s="12" t="s">
        <v>87</v>
      </c>
      <c r="D23" s="12" t="s">
        <v>103</v>
      </c>
      <c r="E23" s="12" t="s">
        <v>141</v>
      </c>
      <c r="F23" s="12"/>
      <c r="G23" s="12" t="s">
        <v>142</v>
      </c>
      <c r="H23" s="12" t="s">
        <v>81</v>
      </c>
      <c r="I23" s="12"/>
      <c r="J23" s="12"/>
      <c r="K23" s="12"/>
      <c r="L23" s="12"/>
      <c r="M23" s="12" t="s">
        <v>96</v>
      </c>
      <c r="N23" s="12" t="s">
        <v>96</v>
      </c>
      <c r="O23" s="12"/>
      <c r="P23" s="12" t="s">
        <v>263</v>
      </c>
      <c r="Q23" s="12"/>
      <c r="R23" s="12" t="s">
        <v>97</v>
      </c>
      <c r="S23" s="12" t="s">
        <v>97</v>
      </c>
      <c r="T23" s="12"/>
      <c r="U23" s="12" t="s">
        <v>110</v>
      </c>
      <c r="V23" s="12"/>
      <c r="W23" s="12" t="s">
        <v>100</v>
      </c>
      <c r="X23" s="12" t="s">
        <v>21</v>
      </c>
      <c r="Y23" s="12" t="s">
        <v>98</v>
      </c>
      <c r="Z23" s="12"/>
      <c r="AA23" s="12" t="s">
        <v>143</v>
      </c>
      <c r="AB23" s="12"/>
      <c r="AC23" s="12">
        <v>29</v>
      </c>
      <c r="AD23" s="12"/>
      <c r="AE23" s="12" t="s">
        <v>143</v>
      </c>
      <c r="AF23" s="12"/>
      <c r="AG23" s="11">
        <v>46183.62672453704</v>
      </c>
      <c r="AH23" s="12" t="s">
        <v>144</v>
      </c>
    </row>
    <row r="24" spans="1:34" ht="29" x14ac:dyDescent="0.35">
      <c r="A24" s="11">
        <v>46181.338217592587</v>
      </c>
      <c r="B24" s="11">
        <v>46188.556851851848</v>
      </c>
      <c r="C24" s="12" t="s">
        <v>87</v>
      </c>
      <c r="D24" s="12" t="s">
        <v>103</v>
      </c>
      <c r="E24" s="12" t="s">
        <v>145</v>
      </c>
      <c r="F24" s="12"/>
      <c r="G24" s="12" t="s">
        <v>146</v>
      </c>
      <c r="H24" s="12" t="s">
        <v>81</v>
      </c>
      <c r="I24" s="12"/>
      <c r="J24" s="12"/>
      <c r="K24" s="12"/>
      <c r="L24" s="12"/>
      <c r="M24" s="12" t="s">
        <v>96</v>
      </c>
      <c r="N24" s="12" t="s">
        <v>96</v>
      </c>
      <c r="O24" s="12"/>
      <c r="P24" s="12" t="s">
        <v>263</v>
      </c>
      <c r="Q24" s="12"/>
      <c r="R24" s="12" t="s">
        <v>97</v>
      </c>
      <c r="S24" s="12" t="s">
        <v>97</v>
      </c>
      <c r="T24" s="12"/>
      <c r="U24" s="12" t="s">
        <v>99</v>
      </c>
      <c r="V24" s="12"/>
      <c r="W24" s="12" t="s">
        <v>100</v>
      </c>
      <c r="X24" s="12" t="s">
        <v>21</v>
      </c>
      <c r="Y24" s="12" t="s">
        <v>98</v>
      </c>
      <c r="Z24" s="12"/>
      <c r="AA24" s="12" t="s">
        <v>147</v>
      </c>
      <c r="AB24" s="12"/>
      <c r="AC24" s="12">
        <v>29</v>
      </c>
      <c r="AD24" s="12"/>
      <c r="AE24" s="12" t="s">
        <v>147</v>
      </c>
      <c r="AF24" s="12"/>
      <c r="AG24" s="11">
        <v>46184.613645833328</v>
      </c>
      <c r="AH24" s="12" t="s">
        <v>148</v>
      </c>
    </row>
    <row r="25" spans="1:34" ht="29" x14ac:dyDescent="0.35">
      <c r="A25" s="11">
        <v>46181.338217592587</v>
      </c>
      <c r="B25" s="11">
        <v>46188.556851851848</v>
      </c>
      <c r="C25" s="12" t="s">
        <v>87</v>
      </c>
      <c r="D25" s="12" t="s">
        <v>103</v>
      </c>
      <c r="E25" s="12" t="s">
        <v>149</v>
      </c>
      <c r="F25" s="12"/>
      <c r="G25" s="12" t="s">
        <v>150</v>
      </c>
      <c r="H25" s="12" t="s">
        <v>81</v>
      </c>
      <c r="I25" s="12"/>
      <c r="J25" s="12"/>
      <c r="K25" s="12"/>
      <c r="L25" s="12"/>
      <c r="M25" s="12" t="s">
        <v>96</v>
      </c>
      <c r="N25" s="12" t="s">
        <v>96</v>
      </c>
      <c r="O25" s="12"/>
      <c r="P25" s="12" t="s">
        <v>263</v>
      </c>
      <c r="Q25" s="12"/>
      <c r="R25" s="12" t="s">
        <v>97</v>
      </c>
      <c r="S25" s="12" t="s">
        <v>97</v>
      </c>
      <c r="T25" s="12"/>
      <c r="U25" s="12" t="s">
        <v>110</v>
      </c>
      <c r="V25" s="12"/>
      <c r="W25" s="12" t="s">
        <v>100</v>
      </c>
      <c r="X25" s="12" t="s">
        <v>21</v>
      </c>
      <c r="Y25" s="12" t="s">
        <v>98</v>
      </c>
      <c r="Z25" s="12"/>
      <c r="AA25" s="12" t="s">
        <v>151</v>
      </c>
      <c r="AB25" s="12"/>
      <c r="AC25" s="12">
        <v>29</v>
      </c>
      <c r="AD25" s="12"/>
      <c r="AE25" s="12" t="s">
        <v>151</v>
      </c>
      <c r="AF25" s="12"/>
      <c r="AG25" s="11">
        <v>46184.515659722223</v>
      </c>
      <c r="AH25" s="12" t="s">
        <v>152</v>
      </c>
    </row>
    <row r="26" spans="1:34" ht="29" x14ac:dyDescent="0.35">
      <c r="A26" s="11">
        <v>46181.338217592587</v>
      </c>
      <c r="B26" s="11">
        <v>46188.556851851848</v>
      </c>
      <c r="C26" s="12" t="s">
        <v>87</v>
      </c>
      <c r="D26" s="12" t="s">
        <v>103</v>
      </c>
      <c r="E26" s="12" t="s">
        <v>153</v>
      </c>
      <c r="F26" s="12"/>
      <c r="G26" s="12" t="s">
        <v>154</v>
      </c>
      <c r="H26" s="12" t="s">
        <v>81</v>
      </c>
      <c r="I26" s="12"/>
      <c r="J26" s="12"/>
      <c r="K26" s="12"/>
      <c r="L26" s="12"/>
      <c r="M26" s="12" t="s">
        <v>96</v>
      </c>
      <c r="N26" s="12" t="s">
        <v>96</v>
      </c>
      <c r="O26" s="12"/>
      <c r="P26" s="12" t="s">
        <v>263</v>
      </c>
      <c r="Q26" s="12"/>
      <c r="R26" s="12" t="s">
        <v>97</v>
      </c>
      <c r="S26" s="12" t="s">
        <v>97</v>
      </c>
      <c r="T26" s="12"/>
      <c r="U26" s="12" t="s">
        <v>99</v>
      </c>
      <c r="V26" s="12"/>
      <c r="W26" s="12" t="s">
        <v>100</v>
      </c>
      <c r="X26" s="12" t="s">
        <v>21</v>
      </c>
      <c r="Y26" s="12" t="s">
        <v>98</v>
      </c>
      <c r="Z26" s="12"/>
      <c r="AA26" s="12" t="s">
        <v>151</v>
      </c>
      <c r="AB26" s="12"/>
      <c r="AC26" s="12">
        <v>29</v>
      </c>
      <c r="AD26" s="12"/>
      <c r="AE26" s="12" t="s">
        <v>151</v>
      </c>
      <c r="AF26" s="12"/>
      <c r="AG26" s="11">
        <v>46184.526597222219</v>
      </c>
      <c r="AH26" s="12" t="s">
        <v>155</v>
      </c>
    </row>
    <row r="27" spans="1:34" ht="29" x14ac:dyDescent="0.35">
      <c r="A27" s="11">
        <v>46181.338217592587</v>
      </c>
      <c r="B27" s="11">
        <v>46188.556851851848</v>
      </c>
      <c r="C27" s="12" t="s">
        <v>87</v>
      </c>
      <c r="D27" s="12" t="s">
        <v>103</v>
      </c>
      <c r="E27" s="12" t="s">
        <v>156</v>
      </c>
      <c r="F27" s="12"/>
      <c r="G27" s="12" t="s">
        <v>157</v>
      </c>
      <c r="H27" s="12" t="s">
        <v>81</v>
      </c>
      <c r="I27" s="12"/>
      <c r="J27" s="12"/>
      <c r="K27" s="12"/>
      <c r="L27" s="12"/>
      <c r="M27" s="12" t="s">
        <v>96</v>
      </c>
      <c r="N27" s="12" t="s">
        <v>96</v>
      </c>
      <c r="O27" s="12"/>
      <c r="P27" s="12" t="s">
        <v>263</v>
      </c>
      <c r="Q27" s="12"/>
      <c r="R27" s="12" t="s">
        <v>97</v>
      </c>
      <c r="S27" s="12" t="s">
        <v>97</v>
      </c>
      <c r="T27" s="12"/>
      <c r="U27" s="12" t="s">
        <v>99</v>
      </c>
      <c r="V27" s="12"/>
      <c r="W27" s="12" t="s">
        <v>100</v>
      </c>
      <c r="X27" s="12" t="s">
        <v>21</v>
      </c>
      <c r="Y27" s="12" t="s">
        <v>98</v>
      </c>
      <c r="Z27" s="12"/>
      <c r="AA27" s="12" t="s">
        <v>158</v>
      </c>
      <c r="AB27" s="12"/>
      <c r="AC27" s="12">
        <v>29</v>
      </c>
      <c r="AD27" s="12"/>
      <c r="AE27" s="12" t="s">
        <v>158</v>
      </c>
      <c r="AF27" s="12"/>
      <c r="AG27" s="11">
        <v>46184.583668981482</v>
      </c>
      <c r="AH27" s="12" t="s">
        <v>159</v>
      </c>
    </row>
    <row r="28" spans="1:34" ht="29" x14ac:dyDescent="0.35">
      <c r="A28" s="11">
        <v>46181.338217592587</v>
      </c>
      <c r="B28" s="11">
        <v>46188.556851851848</v>
      </c>
      <c r="C28" s="12" t="s">
        <v>87</v>
      </c>
      <c r="D28" s="12" t="s">
        <v>103</v>
      </c>
      <c r="E28" s="12" t="s">
        <v>160</v>
      </c>
      <c r="F28" s="12"/>
      <c r="G28" s="12" t="s">
        <v>161</v>
      </c>
      <c r="H28" s="12" t="s">
        <v>81</v>
      </c>
      <c r="I28" s="12"/>
      <c r="J28" s="12"/>
      <c r="K28" s="12"/>
      <c r="L28" s="12"/>
      <c r="M28" s="12" t="s">
        <v>96</v>
      </c>
      <c r="N28" s="12" t="s">
        <v>96</v>
      </c>
      <c r="O28" s="12"/>
      <c r="P28" s="12" t="s">
        <v>263</v>
      </c>
      <c r="Q28" s="12"/>
      <c r="R28" s="12" t="s">
        <v>97</v>
      </c>
      <c r="S28" s="12" t="s">
        <v>97</v>
      </c>
      <c r="T28" s="12"/>
      <c r="U28" s="12" t="s">
        <v>110</v>
      </c>
      <c r="V28" s="12"/>
      <c r="W28" s="12" t="s">
        <v>100</v>
      </c>
      <c r="X28" s="12" t="s">
        <v>21</v>
      </c>
      <c r="Y28" s="12" t="s">
        <v>98</v>
      </c>
      <c r="Z28" s="12"/>
      <c r="AA28" s="12" t="s">
        <v>162</v>
      </c>
      <c r="AB28" s="12"/>
      <c r="AC28" s="12">
        <v>29</v>
      </c>
      <c r="AD28" s="12"/>
      <c r="AE28" s="12" t="s">
        <v>162</v>
      </c>
      <c r="AF28" s="12"/>
      <c r="AG28" s="11">
        <v>46184.596967592603</v>
      </c>
      <c r="AH28" s="12" t="s">
        <v>163</v>
      </c>
    </row>
    <row r="29" spans="1:34" ht="29" x14ac:dyDescent="0.35">
      <c r="A29" s="11">
        <v>46181.338217592587</v>
      </c>
      <c r="B29" s="11">
        <v>46188.556851851848</v>
      </c>
      <c r="C29" s="12" t="s">
        <v>87</v>
      </c>
      <c r="D29" s="12" t="s">
        <v>103</v>
      </c>
      <c r="E29" s="12" t="s">
        <v>388</v>
      </c>
      <c r="F29" s="12"/>
      <c r="G29" s="12" t="s">
        <v>389</v>
      </c>
      <c r="H29" s="12" t="s">
        <v>81</v>
      </c>
      <c r="I29" s="12"/>
      <c r="J29" s="12" t="s">
        <v>347</v>
      </c>
      <c r="K29" s="12" t="s">
        <v>347</v>
      </c>
      <c r="L29" s="12"/>
      <c r="M29" s="12" t="s">
        <v>194</v>
      </c>
      <c r="N29" s="12" t="s">
        <v>194</v>
      </c>
      <c r="O29" s="12"/>
      <c r="P29" s="12" t="s">
        <v>263</v>
      </c>
      <c r="Q29" s="12"/>
      <c r="R29" s="12" t="s">
        <v>228</v>
      </c>
      <c r="S29" s="12" t="s">
        <v>228</v>
      </c>
      <c r="T29" s="12"/>
      <c r="U29" s="12" t="s">
        <v>99</v>
      </c>
      <c r="V29" s="12"/>
      <c r="W29" s="12" t="s">
        <v>100</v>
      </c>
      <c r="X29" s="12" t="s">
        <v>21</v>
      </c>
      <c r="Y29" s="12" t="s">
        <v>98</v>
      </c>
      <c r="Z29" s="12"/>
      <c r="AA29" s="12" t="s">
        <v>390</v>
      </c>
      <c r="AB29" s="12"/>
      <c r="AC29" s="12">
        <v>80</v>
      </c>
      <c r="AD29" s="12"/>
      <c r="AE29" s="12" t="s">
        <v>390</v>
      </c>
      <c r="AF29" s="12"/>
      <c r="AG29" s="11">
        <v>46185.587673611109</v>
      </c>
      <c r="AH29" s="12" t="s">
        <v>391</v>
      </c>
    </row>
    <row r="30" spans="1:34" ht="29" x14ac:dyDescent="0.35">
      <c r="A30" s="11">
        <v>46181.338217592587</v>
      </c>
      <c r="B30" s="11">
        <v>46188.556851851848</v>
      </c>
      <c r="C30" s="12" t="s">
        <v>87</v>
      </c>
      <c r="D30" s="12" t="s">
        <v>103</v>
      </c>
      <c r="E30" s="12" t="s">
        <v>164</v>
      </c>
      <c r="F30" s="12"/>
      <c r="G30" s="12" t="s">
        <v>165</v>
      </c>
      <c r="H30" s="12" t="s">
        <v>81</v>
      </c>
      <c r="I30" s="12"/>
      <c r="J30" s="12"/>
      <c r="K30" s="12"/>
      <c r="L30" s="12"/>
      <c r="M30" s="12" t="s">
        <v>96</v>
      </c>
      <c r="N30" s="12" t="s">
        <v>96</v>
      </c>
      <c r="O30" s="12"/>
      <c r="P30" s="12" t="s">
        <v>263</v>
      </c>
      <c r="Q30" s="12"/>
      <c r="R30" s="12" t="s">
        <v>97</v>
      </c>
      <c r="S30" s="12" t="s">
        <v>97</v>
      </c>
      <c r="T30" s="12"/>
      <c r="U30" s="12" t="s">
        <v>110</v>
      </c>
      <c r="V30" s="12"/>
      <c r="W30" s="12" t="s">
        <v>100</v>
      </c>
      <c r="X30" s="12" t="s">
        <v>21</v>
      </c>
      <c r="Y30" s="12" t="s">
        <v>98</v>
      </c>
      <c r="Z30" s="12"/>
      <c r="AA30" s="12" t="s">
        <v>166</v>
      </c>
      <c r="AB30" s="12"/>
      <c r="AC30" s="12">
        <v>29</v>
      </c>
      <c r="AD30" s="12"/>
      <c r="AE30" s="12" t="s">
        <v>166</v>
      </c>
      <c r="AF30" s="12"/>
      <c r="AG30" s="11">
        <v>46185.367361111108</v>
      </c>
      <c r="AH30" s="12" t="s">
        <v>167</v>
      </c>
    </row>
    <row r="31" spans="1:34" ht="29" x14ac:dyDescent="0.35">
      <c r="A31" s="11">
        <v>46181.338217592587</v>
      </c>
      <c r="B31" s="11">
        <v>46188.556851851848</v>
      </c>
      <c r="C31" s="12" t="s">
        <v>87</v>
      </c>
      <c r="D31" s="12" t="s">
        <v>103</v>
      </c>
      <c r="E31" s="12" t="s">
        <v>168</v>
      </c>
      <c r="F31" s="12"/>
      <c r="G31" s="12" t="s">
        <v>169</v>
      </c>
      <c r="H31" s="12" t="s">
        <v>81</v>
      </c>
      <c r="I31" s="12"/>
      <c r="J31" s="12"/>
      <c r="K31" s="12"/>
      <c r="L31" s="12"/>
      <c r="M31" s="12" t="s">
        <v>96</v>
      </c>
      <c r="N31" s="12" t="s">
        <v>96</v>
      </c>
      <c r="O31" s="12"/>
      <c r="P31" s="12" t="s">
        <v>263</v>
      </c>
      <c r="Q31" s="12"/>
      <c r="R31" s="12" t="s">
        <v>97</v>
      </c>
      <c r="S31" s="12" t="s">
        <v>97</v>
      </c>
      <c r="T31" s="12"/>
      <c r="U31" s="12" t="s">
        <v>99</v>
      </c>
      <c r="V31" s="12"/>
      <c r="W31" s="12" t="s">
        <v>100</v>
      </c>
      <c r="X31" s="12" t="s">
        <v>21</v>
      </c>
      <c r="Y31" s="12" t="s">
        <v>98</v>
      </c>
      <c r="Z31" s="12"/>
      <c r="AA31" s="12" t="s">
        <v>170</v>
      </c>
      <c r="AB31" s="12"/>
      <c r="AC31" s="12">
        <v>29</v>
      </c>
      <c r="AD31" s="12"/>
      <c r="AE31" s="12" t="s">
        <v>170</v>
      </c>
      <c r="AF31" s="12"/>
      <c r="AG31" s="11">
        <v>46185.515381944453</v>
      </c>
      <c r="AH31" s="12" t="s">
        <v>171</v>
      </c>
    </row>
    <row r="32" spans="1:34" ht="29" x14ac:dyDescent="0.35">
      <c r="A32" s="11">
        <v>46181.338217592587</v>
      </c>
      <c r="B32" s="11">
        <v>46188.556851851848</v>
      </c>
      <c r="C32" s="12" t="s">
        <v>87</v>
      </c>
      <c r="D32" s="12" t="s">
        <v>103</v>
      </c>
      <c r="E32" s="12" t="s">
        <v>421</v>
      </c>
      <c r="F32" s="12"/>
      <c r="G32" s="12" t="s">
        <v>422</v>
      </c>
      <c r="H32" s="12" t="s">
        <v>81</v>
      </c>
      <c r="I32" s="12"/>
      <c r="J32" s="12" t="s">
        <v>77</v>
      </c>
      <c r="K32" s="12" t="s">
        <v>77</v>
      </c>
      <c r="L32" s="12"/>
      <c r="M32" s="12" t="s">
        <v>96</v>
      </c>
      <c r="N32" s="12" t="s">
        <v>96</v>
      </c>
      <c r="O32" s="12"/>
      <c r="P32" s="12" t="s">
        <v>263</v>
      </c>
      <c r="Q32" s="12"/>
      <c r="R32" s="12" t="s">
        <v>79</v>
      </c>
      <c r="S32" s="12" t="s">
        <v>79</v>
      </c>
      <c r="T32" s="12"/>
      <c r="U32" s="12" t="s">
        <v>307</v>
      </c>
      <c r="V32" s="12"/>
      <c r="W32" s="12" t="s">
        <v>100</v>
      </c>
      <c r="X32" s="12" t="s">
        <v>21</v>
      </c>
      <c r="Y32" s="12" t="s">
        <v>98</v>
      </c>
      <c r="Z32" s="12"/>
      <c r="AA32" s="12" t="s">
        <v>423</v>
      </c>
      <c r="AB32" s="12"/>
      <c r="AC32" s="12">
        <v>39</v>
      </c>
      <c r="AD32" s="12"/>
      <c r="AE32" s="12" t="s">
        <v>423</v>
      </c>
      <c r="AF32" s="12"/>
      <c r="AG32" s="11">
        <v>46185.542002314818</v>
      </c>
      <c r="AH32" s="12" t="s">
        <v>424</v>
      </c>
    </row>
    <row r="33" spans="1:34" ht="29" x14ac:dyDescent="0.35">
      <c r="A33" s="11">
        <v>46181.338217592587</v>
      </c>
      <c r="B33" s="11">
        <v>46188.556851851848</v>
      </c>
      <c r="C33" s="12" t="s">
        <v>87</v>
      </c>
      <c r="D33" s="12" t="s">
        <v>103</v>
      </c>
      <c r="E33" s="12" t="s">
        <v>172</v>
      </c>
      <c r="F33" s="12"/>
      <c r="G33" s="12" t="s">
        <v>173</v>
      </c>
      <c r="H33" s="12" t="s">
        <v>81</v>
      </c>
      <c r="I33" s="12"/>
      <c r="J33" s="12"/>
      <c r="K33" s="12"/>
      <c r="L33" s="12"/>
      <c r="M33" s="12" t="s">
        <v>96</v>
      </c>
      <c r="N33" s="12" t="s">
        <v>96</v>
      </c>
      <c r="O33" s="12"/>
      <c r="P33" s="12" t="s">
        <v>263</v>
      </c>
      <c r="Q33" s="12"/>
      <c r="R33" s="12" t="s">
        <v>97</v>
      </c>
      <c r="S33" s="12" t="s">
        <v>97</v>
      </c>
      <c r="T33" s="12"/>
      <c r="U33" s="12" t="s">
        <v>99</v>
      </c>
      <c r="V33" s="12"/>
      <c r="W33" s="12" t="s">
        <v>100</v>
      </c>
      <c r="X33" s="12" t="s">
        <v>21</v>
      </c>
      <c r="Y33" s="12" t="s">
        <v>98</v>
      </c>
      <c r="Z33" s="12"/>
      <c r="AA33" s="12" t="s">
        <v>174</v>
      </c>
      <c r="AB33" s="12"/>
      <c r="AC33" s="12">
        <v>29</v>
      </c>
      <c r="AD33" s="12"/>
      <c r="AE33" s="12" t="s">
        <v>174</v>
      </c>
      <c r="AF33" s="12"/>
      <c r="AG33" s="11">
        <v>46185.587673611109</v>
      </c>
      <c r="AH33" s="12" t="s">
        <v>175</v>
      </c>
    </row>
    <row r="34" spans="1:34" ht="43.5" x14ac:dyDescent="0.35">
      <c r="A34" s="11">
        <v>46181.338217592587</v>
      </c>
      <c r="B34" s="11">
        <v>46188.556851851848</v>
      </c>
      <c r="C34" s="12" t="s">
        <v>87</v>
      </c>
      <c r="D34" s="12" t="s">
        <v>103</v>
      </c>
      <c r="E34" s="12" t="s">
        <v>254</v>
      </c>
      <c r="F34" s="12"/>
      <c r="G34" s="12" t="s">
        <v>255</v>
      </c>
      <c r="H34" s="12" t="s">
        <v>81</v>
      </c>
      <c r="I34" s="12"/>
      <c r="J34" s="12"/>
      <c r="K34" s="12"/>
      <c r="L34" s="12"/>
      <c r="M34" s="12" t="s">
        <v>194</v>
      </c>
      <c r="N34" s="12" t="s">
        <v>194</v>
      </c>
      <c r="O34" s="12"/>
      <c r="P34" s="12" t="s">
        <v>263</v>
      </c>
      <c r="Q34" s="12"/>
      <c r="R34" s="12" t="s">
        <v>228</v>
      </c>
      <c r="S34" s="12" t="s">
        <v>228</v>
      </c>
      <c r="T34" s="12"/>
      <c r="U34" s="12" t="s">
        <v>197</v>
      </c>
      <c r="V34" s="12"/>
      <c r="W34" s="12" t="s">
        <v>100</v>
      </c>
      <c r="X34" s="12" t="s">
        <v>21</v>
      </c>
      <c r="Y34" s="12" t="s">
        <v>98</v>
      </c>
      <c r="Z34" s="12"/>
      <c r="AA34" s="12" t="s">
        <v>256</v>
      </c>
      <c r="AB34" s="12"/>
      <c r="AC34" s="12">
        <v>111</v>
      </c>
      <c r="AD34" s="12"/>
      <c r="AE34" s="12" t="s">
        <v>256</v>
      </c>
      <c r="AF34" s="12"/>
      <c r="AG34" s="11">
        <v>46185.597314814811</v>
      </c>
      <c r="AH34" s="12" t="s">
        <v>257</v>
      </c>
    </row>
    <row r="35" spans="1:34" ht="29" x14ac:dyDescent="0.35">
      <c r="A35" s="11">
        <v>46181.338217592587</v>
      </c>
      <c r="B35" s="11">
        <v>46188.556851851848</v>
      </c>
      <c r="C35" s="12" t="s">
        <v>87</v>
      </c>
      <c r="D35" s="12" t="s">
        <v>103</v>
      </c>
      <c r="E35" s="12" t="s">
        <v>176</v>
      </c>
      <c r="F35" s="12"/>
      <c r="G35" s="12" t="s">
        <v>177</v>
      </c>
      <c r="H35" s="12" t="s">
        <v>81</v>
      </c>
      <c r="I35" s="12"/>
      <c r="J35" s="12"/>
      <c r="K35" s="12"/>
      <c r="L35" s="12"/>
      <c r="M35" s="12" t="s">
        <v>96</v>
      </c>
      <c r="N35" s="12" t="s">
        <v>96</v>
      </c>
      <c r="O35" s="12"/>
      <c r="P35" s="12" t="s">
        <v>263</v>
      </c>
      <c r="Q35" s="12"/>
      <c r="R35" s="12" t="s">
        <v>97</v>
      </c>
      <c r="S35" s="12" t="s">
        <v>97</v>
      </c>
      <c r="T35" s="12"/>
      <c r="U35" s="12" t="s">
        <v>99</v>
      </c>
      <c r="V35" s="12"/>
      <c r="W35" s="12" t="s">
        <v>100</v>
      </c>
      <c r="X35" s="12" t="s">
        <v>21</v>
      </c>
      <c r="Y35" s="12" t="s">
        <v>98</v>
      </c>
      <c r="Z35" s="12"/>
      <c r="AA35" s="12" t="s">
        <v>178</v>
      </c>
      <c r="AB35" s="12"/>
      <c r="AC35" s="12">
        <v>29</v>
      </c>
      <c r="AD35" s="12"/>
      <c r="AE35" s="12" t="s">
        <v>178</v>
      </c>
      <c r="AF35" s="12"/>
      <c r="AG35" s="11">
        <v>46185.595775462964</v>
      </c>
      <c r="AH35" s="12" t="s">
        <v>179</v>
      </c>
    </row>
    <row r="36" spans="1:34" ht="29" x14ac:dyDescent="0.35">
      <c r="A36" s="11">
        <v>46181.338217592587</v>
      </c>
      <c r="B36" s="11">
        <v>46188.556851851848</v>
      </c>
      <c r="C36" s="12" t="s">
        <v>87</v>
      </c>
      <c r="D36" s="12" t="s">
        <v>103</v>
      </c>
      <c r="E36" s="12" t="s">
        <v>180</v>
      </c>
      <c r="F36" s="12"/>
      <c r="G36" s="12" t="s">
        <v>181</v>
      </c>
      <c r="H36" s="12" t="s">
        <v>81</v>
      </c>
      <c r="I36" s="12"/>
      <c r="J36" s="12"/>
      <c r="K36" s="12"/>
      <c r="L36" s="12"/>
      <c r="M36" s="12" t="s">
        <v>96</v>
      </c>
      <c r="N36" s="12" t="s">
        <v>96</v>
      </c>
      <c r="O36" s="12"/>
      <c r="P36" s="12" t="s">
        <v>263</v>
      </c>
      <c r="Q36" s="12"/>
      <c r="R36" s="12" t="s">
        <v>97</v>
      </c>
      <c r="S36" s="12" t="s">
        <v>97</v>
      </c>
      <c r="T36" s="12"/>
      <c r="U36" s="12" t="s">
        <v>99</v>
      </c>
      <c r="V36" s="12"/>
      <c r="W36" s="12" t="s">
        <v>100</v>
      </c>
      <c r="X36" s="12" t="s">
        <v>21</v>
      </c>
      <c r="Y36" s="12" t="s">
        <v>98</v>
      </c>
      <c r="Z36" s="12"/>
      <c r="AA36" s="12" t="s">
        <v>182</v>
      </c>
      <c r="AB36" s="12"/>
      <c r="AC36" s="12">
        <v>29</v>
      </c>
      <c r="AD36" s="12"/>
      <c r="AE36" s="12" t="s">
        <v>182</v>
      </c>
      <c r="AF36" s="12"/>
      <c r="AG36" s="11">
        <v>46188.42732638889</v>
      </c>
      <c r="AH36" s="12" t="s">
        <v>183</v>
      </c>
    </row>
    <row r="37" spans="1:34" ht="29" x14ac:dyDescent="0.35">
      <c r="A37" s="11">
        <v>46181.338217592587</v>
      </c>
      <c r="B37" s="11">
        <v>46188.556851851848</v>
      </c>
      <c r="C37" s="12" t="s">
        <v>87</v>
      </c>
      <c r="D37" s="12" t="s">
        <v>103</v>
      </c>
      <c r="E37" s="12" t="s">
        <v>392</v>
      </c>
      <c r="F37" s="12"/>
      <c r="G37" s="12" t="s">
        <v>393</v>
      </c>
      <c r="H37" s="12" t="s">
        <v>81</v>
      </c>
      <c r="I37" s="12"/>
      <c r="J37" s="12" t="s">
        <v>347</v>
      </c>
      <c r="K37" s="12" t="s">
        <v>347</v>
      </c>
      <c r="L37" s="12"/>
      <c r="M37" s="12" t="s">
        <v>194</v>
      </c>
      <c r="N37" s="12" t="s">
        <v>194</v>
      </c>
      <c r="O37" s="12"/>
      <c r="P37" s="12" t="s">
        <v>263</v>
      </c>
      <c r="Q37" s="12"/>
      <c r="R37" s="12" t="s">
        <v>228</v>
      </c>
      <c r="S37" s="12" t="s">
        <v>228</v>
      </c>
      <c r="T37" s="12"/>
      <c r="U37" s="12" t="s">
        <v>99</v>
      </c>
      <c r="V37" s="12"/>
      <c r="W37" s="12" t="s">
        <v>100</v>
      </c>
      <c r="X37" s="12" t="s">
        <v>21</v>
      </c>
      <c r="Y37" s="12" t="s">
        <v>98</v>
      </c>
      <c r="Z37" s="12"/>
      <c r="AA37" s="12" t="s">
        <v>394</v>
      </c>
      <c r="AB37" s="12"/>
      <c r="AC37" s="12">
        <v>89</v>
      </c>
      <c r="AD37" s="12"/>
      <c r="AE37" s="12" t="s">
        <v>394</v>
      </c>
      <c r="AF37" s="12"/>
      <c r="AG37" s="11">
        <v>46188.429606481477</v>
      </c>
      <c r="AH37" s="12" t="s">
        <v>395</v>
      </c>
    </row>
    <row r="38" spans="1:34" ht="29" x14ac:dyDescent="0.35">
      <c r="A38" s="11">
        <v>46181.338217592587</v>
      </c>
      <c r="B38" s="11">
        <v>46188.556851851848</v>
      </c>
      <c r="C38" s="12" t="s">
        <v>87</v>
      </c>
      <c r="D38" s="12" t="s">
        <v>103</v>
      </c>
      <c r="E38" s="12" t="s">
        <v>184</v>
      </c>
      <c r="F38" s="12"/>
      <c r="G38" s="12" t="s">
        <v>185</v>
      </c>
      <c r="H38" s="12" t="s">
        <v>81</v>
      </c>
      <c r="I38" s="12"/>
      <c r="J38" s="12"/>
      <c r="K38" s="12"/>
      <c r="L38" s="12"/>
      <c r="M38" s="12" t="s">
        <v>96</v>
      </c>
      <c r="N38" s="12" t="s">
        <v>96</v>
      </c>
      <c r="O38" s="12"/>
      <c r="P38" s="12" t="s">
        <v>263</v>
      </c>
      <c r="Q38" s="12"/>
      <c r="R38" s="12" t="s">
        <v>97</v>
      </c>
      <c r="S38" s="12" t="s">
        <v>97</v>
      </c>
      <c r="T38" s="12"/>
      <c r="U38" s="12" t="s">
        <v>99</v>
      </c>
      <c r="V38" s="12"/>
      <c r="W38" s="12" t="s">
        <v>100</v>
      </c>
      <c r="X38" s="12" t="s">
        <v>21</v>
      </c>
      <c r="Y38" s="12" t="s">
        <v>98</v>
      </c>
      <c r="Z38" s="12"/>
      <c r="AA38" s="12" t="s">
        <v>186</v>
      </c>
      <c r="AB38" s="12"/>
      <c r="AC38" s="12">
        <v>29</v>
      </c>
      <c r="AD38" s="12"/>
      <c r="AE38" s="12" t="s">
        <v>186</v>
      </c>
      <c r="AF38" s="12"/>
      <c r="AG38" s="11">
        <v>46188.43236111111</v>
      </c>
      <c r="AH38" s="12" t="s">
        <v>187</v>
      </c>
    </row>
    <row r="39" spans="1:34" ht="29" x14ac:dyDescent="0.35">
      <c r="A39" s="11">
        <v>46181.338217592587</v>
      </c>
      <c r="B39" s="11">
        <v>46188.556851851848</v>
      </c>
      <c r="C39" s="12" t="s">
        <v>87</v>
      </c>
      <c r="D39" s="12" t="s">
        <v>103</v>
      </c>
      <c r="E39" s="12" t="s">
        <v>188</v>
      </c>
      <c r="F39" s="12"/>
      <c r="G39" s="12" t="s">
        <v>189</v>
      </c>
      <c r="H39" s="12" t="s">
        <v>81</v>
      </c>
      <c r="I39" s="12"/>
      <c r="J39" s="12"/>
      <c r="K39" s="12"/>
      <c r="L39" s="12"/>
      <c r="M39" s="12" t="s">
        <v>96</v>
      </c>
      <c r="N39" s="12" t="s">
        <v>96</v>
      </c>
      <c r="O39" s="12"/>
      <c r="P39" s="12" t="s">
        <v>263</v>
      </c>
      <c r="Q39" s="12"/>
      <c r="R39" s="12" t="s">
        <v>97</v>
      </c>
      <c r="S39" s="12" t="s">
        <v>97</v>
      </c>
      <c r="T39" s="12"/>
      <c r="U39" s="12" t="s">
        <v>110</v>
      </c>
      <c r="V39" s="12"/>
      <c r="W39" s="12" t="s">
        <v>100</v>
      </c>
      <c r="X39" s="12" t="s">
        <v>21</v>
      </c>
      <c r="Y39" s="12" t="s">
        <v>98</v>
      </c>
      <c r="Z39" s="12"/>
      <c r="AA39" s="12" t="s">
        <v>190</v>
      </c>
      <c r="AB39" s="12"/>
      <c r="AC39" s="12">
        <v>29</v>
      </c>
      <c r="AD39" s="12"/>
      <c r="AE39" s="12" t="s">
        <v>190</v>
      </c>
      <c r="AF39" s="12"/>
      <c r="AG39" s="11">
        <v>46188.53402777778</v>
      </c>
      <c r="AH39" s="12" t="s">
        <v>191</v>
      </c>
    </row>
    <row r="40" spans="1:34" ht="29" x14ac:dyDescent="0.35">
      <c r="A40" s="11">
        <v>46181.338217592587</v>
      </c>
      <c r="B40" s="11">
        <v>46188.556851851848</v>
      </c>
      <c r="C40" s="12" t="s">
        <v>87</v>
      </c>
      <c r="D40" s="12" t="s">
        <v>103</v>
      </c>
      <c r="E40" s="12" t="s">
        <v>396</v>
      </c>
      <c r="F40" s="12"/>
      <c r="G40" s="12" t="s">
        <v>397</v>
      </c>
      <c r="H40" s="12" t="s">
        <v>81</v>
      </c>
      <c r="I40" s="12"/>
      <c r="J40" s="12" t="s">
        <v>347</v>
      </c>
      <c r="K40" s="12" t="s">
        <v>347</v>
      </c>
      <c r="L40" s="12"/>
      <c r="M40" s="12" t="s">
        <v>194</v>
      </c>
      <c r="N40" s="12" t="s">
        <v>194</v>
      </c>
      <c r="O40" s="12"/>
      <c r="P40" s="12" t="s">
        <v>263</v>
      </c>
      <c r="Q40" s="12"/>
      <c r="R40" s="12" t="s">
        <v>228</v>
      </c>
      <c r="S40" s="12" t="s">
        <v>228</v>
      </c>
      <c r="T40" s="12"/>
      <c r="U40" s="12" t="s">
        <v>197</v>
      </c>
      <c r="V40" s="12"/>
      <c r="W40" s="12" t="s">
        <v>100</v>
      </c>
      <c r="X40" s="12" t="s">
        <v>21</v>
      </c>
      <c r="Y40" s="12" t="s">
        <v>98</v>
      </c>
      <c r="Z40" s="12"/>
      <c r="AA40" s="12" t="s">
        <v>398</v>
      </c>
      <c r="AB40" s="12"/>
      <c r="AC40" s="12">
        <v>71</v>
      </c>
      <c r="AD40" s="12"/>
      <c r="AE40" s="12" t="s">
        <v>398</v>
      </c>
      <c r="AF40" s="12"/>
      <c r="AG40" s="11">
        <v>46188.53402777778</v>
      </c>
      <c r="AH40" s="12" t="s">
        <v>399</v>
      </c>
    </row>
    <row r="41" spans="1:34" ht="29" x14ac:dyDescent="0.35">
      <c r="A41" s="11">
        <v>46181.338217592587</v>
      </c>
      <c r="B41" s="11">
        <v>46188.556851851848</v>
      </c>
      <c r="C41" s="12" t="s">
        <v>87</v>
      </c>
      <c r="D41" s="12" t="s">
        <v>103</v>
      </c>
      <c r="E41" s="12" t="s">
        <v>326</v>
      </c>
      <c r="F41" s="12" t="s">
        <v>327</v>
      </c>
      <c r="G41" s="12"/>
      <c r="H41" s="12" t="s">
        <v>81</v>
      </c>
      <c r="I41" s="12" t="s">
        <v>328</v>
      </c>
      <c r="J41" s="12"/>
      <c r="K41" s="12" t="s">
        <v>328</v>
      </c>
      <c r="L41" s="12" t="s">
        <v>329</v>
      </c>
      <c r="M41" s="12"/>
      <c r="N41" s="12" t="s">
        <v>329</v>
      </c>
      <c r="O41" s="12" t="s">
        <v>402</v>
      </c>
      <c r="P41" s="12"/>
      <c r="Q41" s="12" t="s">
        <v>79</v>
      </c>
      <c r="R41" s="12"/>
      <c r="S41" s="12" t="s">
        <v>79</v>
      </c>
      <c r="T41" s="12" t="s">
        <v>99</v>
      </c>
      <c r="U41" s="12"/>
      <c r="V41" s="12" t="s">
        <v>324</v>
      </c>
      <c r="W41" s="12"/>
      <c r="X41" s="12" t="s">
        <v>21</v>
      </c>
      <c r="Y41" s="12" t="s">
        <v>196</v>
      </c>
      <c r="Z41" s="12" t="s">
        <v>330</v>
      </c>
      <c r="AA41" s="12"/>
      <c r="AB41" s="12">
        <v>63</v>
      </c>
      <c r="AC41" s="12"/>
      <c r="AD41" s="12" t="s">
        <v>330</v>
      </c>
      <c r="AE41" s="12"/>
      <c r="AF41" s="11">
        <v>46178.417453703703</v>
      </c>
      <c r="AG41" s="12"/>
      <c r="AH41" s="12" t="s">
        <v>331</v>
      </c>
    </row>
    <row r="42" spans="1:34" ht="29" x14ac:dyDescent="0.35">
      <c r="A42" s="11">
        <v>46181.338217592587</v>
      </c>
      <c r="B42" s="11">
        <v>46188.556851851848</v>
      </c>
      <c r="C42" s="12" t="s">
        <v>87</v>
      </c>
      <c r="D42" s="12" t="s">
        <v>103</v>
      </c>
      <c r="E42" s="12" t="s">
        <v>351</v>
      </c>
      <c r="F42" s="12" t="s">
        <v>352</v>
      </c>
      <c r="G42" s="12"/>
      <c r="H42" s="12" t="s">
        <v>81</v>
      </c>
      <c r="I42" s="12" t="s">
        <v>347</v>
      </c>
      <c r="J42" s="12"/>
      <c r="K42" s="12" t="s">
        <v>347</v>
      </c>
      <c r="L42" s="12" t="s">
        <v>310</v>
      </c>
      <c r="M42" s="12"/>
      <c r="N42" s="12" t="s">
        <v>310</v>
      </c>
      <c r="O42" s="12" t="s">
        <v>402</v>
      </c>
      <c r="P42" s="12"/>
      <c r="Q42" s="12" t="s">
        <v>305</v>
      </c>
      <c r="R42" s="12"/>
      <c r="S42" s="12" t="s">
        <v>305</v>
      </c>
      <c r="T42" s="12" t="s">
        <v>99</v>
      </c>
      <c r="U42" s="12"/>
      <c r="V42" s="12" t="s">
        <v>100</v>
      </c>
      <c r="W42" s="12"/>
      <c r="X42" s="12" t="s">
        <v>21</v>
      </c>
      <c r="Y42" s="12" t="s">
        <v>196</v>
      </c>
      <c r="Z42" s="12" t="s">
        <v>353</v>
      </c>
      <c r="AA42" s="12"/>
      <c r="AB42" s="12">
        <v>57</v>
      </c>
      <c r="AC42" s="12"/>
      <c r="AD42" s="12" t="s">
        <v>353</v>
      </c>
      <c r="AE42" s="12"/>
      <c r="AF42" s="11">
        <v>46175.307106481479</v>
      </c>
      <c r="AG42" s="12"/>
      <c r="AH42" s="12" t="s">
        <v>354</v>
      </c>
    </row>
    <row r="43" spans="1:34" ht="29" x14ac:dyDescent="0.35">
      <c r="A43" s="11">
        <v>46181.338217592587</v>
      </c>
      <c r="B43" s="11">
        <v>46188.556851851848</v>
      </c>
      <c r="C43" s="12" t="s">
        <v>87</v>
      </c>
      <c r="D43" s="12" t="s">
        <v>103</v>
      </c>
      <c r="E43" s="12" t="s">
        <v>192</v>
      </c>
      <c r="F43" s="12" t="s">
        <v>193</v>
      </c>
      <c r="G43" s="12"/>
      <c r="H43" s="12" t="s">
        <v>81</v>
      </c>
      <c r="I43" s="12"/>
      <c r="J43" s="12"/>
      <c r="K43" s="12"/>
      <c r="L43" s="12" t="s">
        <v>194</v>
      </c>
      <c r="M43" s="12"/>
      <c r="N43" s="12" t="s">
        <v>194</v>
      </c>
      <c r="O43" s="12" t="s">
        <v>263</v>
      </c>
      <c r="P43" s="12"/>
      <c r="Q43" s="12" t="s">
        <v>195</v>
      </c>
      <c r="R43" s="12"/>
      <c r="S43" s="12" t="s">
        <v>195</v>
      </c>
      <c r="T43" s="12" t="s">
        <v>197</v>
      </c>
      <c r="U43" s="12"/>
      <c r="V43" s="12" t="s">
        <v>100</v>
      </c>
      <c r="W43" s="12"/>
      <c r="X43" s="12" t="s">
        <v>21</v>
      </c>
      <c r="Y43" s="12" t="s">
        <v>196</v>
      </c>
      <c r="Z43" s="12" t="s">
        <v>198</v>
      </c>
      <c r="AA43" s="12"/>
      <c r="AB43" s="12">
        <v>6</v>
      </c>
      <c r="AC43" s="12"/>
      <c r="AD43" s="12" t="s">
        <v>198</v>
      </c>
      <c r="AE43" s="12"/>
      <c r="AF43" s="11">
        <v>46135.542187500003</v>
      </c>
      <c r="AG43" s="12"/>
      <c r="AH43" s="12" t="s">
        <v>199</v>
      </c>
    </row>
    <row r="44" spans="1:34" ht="29" x14ac:dyDescent="0.35">
      <c r="A44" s="11">
        <v>46181.338217592587</v>
      </c>
      <c r="B44" s="11">
        <v>46188.556851851848</v>
      </c>
      <c r="C44" s="12" t="s">
        <v>87</v>
      </c>
      <c r="D44" s="12" t="s">
        <v>103</v>
      </c>
      <c r="E44" s="12" t="s">
        <v>355</v>
      </c>
      <c r="F44" s="12" t="s">
        <v>356</v>
      </c>
      <c r="G44" s="12"/>
      <c r="H44" s="12" t="s">
        <v>81</v>
      </c>
      <c r="I44" s="12" t="s">
        <v>347</v>
      </c>
      <c r="J44" s="12"/>
      <c r="K44" s="12" t="s">
        <v>347</v>
      </c>
      <c r="L44" s="12" t="s">
        <v>310</v>
      </c>
      <c r="M44" s="12"/>
      <c r="N44" s="12" t="s">
        <v>310</v>
      </c>
      <c r="O44" s="12" t="s">
        <v>402</v>
      </c>
      <c r="P44" s="12"/>
      <c r="Q44" s="12" t="s">
        <v>305</v>
      </c>
      <c r="R44" s="12"/>
      <c r="S44" s="12" t="s">
        <v>305</v>
      </c>
      <c r="T44" s="12" t="s">
        <v>99</v>
      </c>
      <c r="U44" s="12"/>
      <c r="V44" s="12" t="s">
        <v>100</v>
      </c>
      <c r="W44" s="12"/>
      <c r="X44" s="12" t="s">
        <v>21</v>
      </c>
      <c r="Y44" s="12" t="s">
        <v>196</v>
      </c>
      <c r="Z44" s="12" t="s">
        <v>357</v>
      </c>
      <c r="AA44" s="12"/>
      <c r="AB44" s="12">
        <v>54</v>
      </c>
      <c r="AC44" s="12"/>
      <c r="AD44" s="12" t="s">
        <v>357</v>
      </c>
      <c r="AE44" s="12"/>
      <c r="AF44" s="11">
        <v>46175.309444444443</v>
      </c>
      <c r="AG44" s="12"/>
      <c r="AH44" s="12" t="s">
        <v>358</v>
      </c>
    </row>
    <row r="45" spans="1:34" ht="29" x14ac:dyDescent="0.35">
      <c r="A45" s="11">
        <v>46181.338217592587</v>
      </c>
      <c r="B45" s="11">
        <v>46188.556851851848</v>
      </c>
      <c r="C45" s="12" t="s">
        <v>87</v>
      </c>
      <c r="D45" s="12" t="s">
        <v>103</v>
      </c>
      <c r="E45" s="12" t="s">
        <v>359</v>
      </c>
      <c r="F45" s="12" t="s">
        <v>360</v>
      </c>
      <c r="G45" s="12"/>
      <c r="H45" s="12" t="s">
        <v>81</v>
      </c>
      <c r="I45" s="12" t="s">
        <v>347</v>
      </c>
      <c r="J45" s="12"/>
      <c r="K45" s="12" t="s">
        <v>347</v>
      </c>
      <c r="L45" s="12" t="s">
        <v>310</v>
      </c>
      <c r="M45" s="12"/>
      <c r="N45" s="12" t="s">
        <v>310</v>
      </c>
      <c r="O45" s="12" t="s">
        <v>402</v>
      </c>
      <c r="P45" s="12"/>
      <c r="Q45" s="12" t="s">
        <v>305</v>
      </c>
      <c r="R45" s="12"/>
      <c r="S45" s="12" t="s">
        <v>305</v>
      </c>
      <c r="T45" s="12" t="s">
        <v>99</v>
      </c>
      <c r="U45" s="12"/>
      <c r="V45" s="12" t="s">
        <v>100</v>
      </c>
      <c r="W45" s="12"/>
      <c r="X45" s="12" t="s">
        <v>21</v>
      </c>
      <c r="Y45" s="12" t="s">
        <v>196</v>
      </c>
      <c r="Z45" s="12" t="s">
        <v>361</v>
      </c>
      <c r="AA45" s="12"/>
      <c r="AB45" s="12">
        <v>73</v>
      </c>
      <c r="AC45" s="12"/>
      <c r="AD45" s="12" t="s">
        <v>361</v>
      </c>
      <c r="AE45" s="12"/>
      <c r="AF45" s="11">
        <v>46154.349733796298</v>
      </c>
      <c r="AG45" s="12"/>
      <c r="AH45" s="12" t="s">
        <v>362</v>
      </c>
    </row>
    <row r="46" spans="1:34" ht="29" x14ac:dyDescent="0.35">
      <c r="A46" s="11">
        <v>46181.338217592587</v>
      </c>
      <c r="B46" s="11">
        <v>46188.556851851848</v>
      </c>
      <c r="C46" s="12" t="s">
        <v>87</v>
      </c>
      <c r="D46" s="12" t="s">
        <v>103</v>
      </c>
      <c r="E46" s="12" t="s">
        <v>200</v>
      </c>
      <c r="F46" s="12" t="s">
        <v>201</v>
      </c>
      <c r="G46" s="12"/>
      <c r="H46" s="12" t="s">
        <v>81</v>
      </c>
      <c r="I46" s="12"/>
      <c r="J46" s="12"/>
      <c r="K46" s="12"/>
      <c r="L46" s="12" t="s">
        <v>194</v>
      </c>
      <c r="M46" s="12"/>
      <c r="N46" s="12" t="s">
        <v>194</v>
      </c>
      <c r="O46" s="12" t="s">
        <v>263</v>
      </c>
      <c r="P46" s="12"/>
      <c r="Q46" s="12" t="s">
        <v>195</v>
      </c>
      <c r="R46" s="12"/>
      <c r="S46" s="12" t="s">
        <v>195</v>
      </c>
      <c r="T46" s="12" t="s">
        <v>197</v>
      </c>
      <c r="U46" s="12"/>
      <c r="V46" s="12" t="s">
        <v>100</v>
      </c>
      <c r="W46" s="12"/>
      <c r="X46" s="12" t="s">
        <v>21</v>
      </c>
      <c r="Y46" s="12" t="s">
        <v>196</v>
      </c>
      <c r="Z46" s="12" t="s">
        <v>202</v>
      </c>
      <c r="AA46" s="12"/>
      <c r="AB46" s="12">
        <v>33</v>
      </c>
      <c r="AC46" s="12"/>
      <c r="AD46" s="12" t="s">
        <v>202</v>
      </c>
      <c r="AE46" s="12"/>
      <c r="AF46" s="11">
        <v>46154.580949074072</v>
      </c>
      <c r="AG46" s="12"/>
      <c r="AH46" s="12" t="s">
        <v>203</v>
      </c>
    </row>
  </sheetData>
  <autoFilter ref="A1:AH46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87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3" width="11" customWidth="1"/>
    <col min="4" max="4" width="46" customWidth="1"/>
    <col min="5" max="5" width="23" customWidth="1"/>
    <col min="6" max="6" width="16" customWidth="1"/>
    <col min="7" max="7" width="24" customWidth="1"/>
    <col min="8" max="8" width="15" customWidth="1"/>
    <col min="9" max="9" width="46" customWidth="1"/>
    <col min="10" max="11" width="21" customWidth="1"/>
    <col min="12" max="12" width="46" customWidth="1"/>
  </cols>
  <sheetData>
    <row r="1" spans="1:12" x14ac:dyDescent="0.35">
      <c r="A1" s="13" t="s">
        <v>65</v>
      </c>
      <c r="B1" s="13" t="s">
        <v>56</v>
      </c>
      <c r="C1" s="13" t="s">
        <v>68</v>
      </c>
      <c r="D1" s="13" t="s">
        <v>871</v>
      </c>
      <c r="E1" s="13" t="s">
        <v>874</v>
      </c>
      <c r="F1" s="13" t="s">
        <v>879</v>
      </c>
      <c r="G1" s="13" t="s">
        <v>23</v>
      </c>
      <c r="H1" s="13" t="s">
        <v>19</v>
      </c>
      <c r="I1" s="13" t="s">
        <v>890</v>
      </c>
      <c r="J1" s="13" t="s">
        <v>460</v>
      </c>
      <c r="K1" s="13" t="s">
        <v>43</v>
      </c>
      <c r="L1" s="13" t="s">
        <v>59</v>
      </c>
    </row>
    <row r="2" spans="1:12" ht="29" x14ac:dyDescent="0.35">
      <c r="A2" s="12" t="s">
        <v>75</v>
      </c>
      <c r="B2" s="12" t="s">
        <v>76</v>
      </c>
      <c r="C2" s="12" t="s">
        <v>81</v>
      </c>
      <c r="D2" s="12" t="s">
        <v>77</v>
      </c>
      <c r="E2" s="12" t="s">
        <v>93</v>
      </c>
      <c r="F2" s="12" t="s">
        <v>79</v>
      </c>
      <c r="G2" s="12" t="s">
        <v>82</v>
      </c>
      <c r="H2" s="12">
        <v>5</v>
      </c>
      <c r="I2" s="12" t="s">
        <v>891</v>
      </c>
      <c r="J2" s="11">
        <v>46181.338217592587</v>
      </c>
      <c r="K2" s="11">
        <v>46188.556851851848</v>
      </c>
      <c r="L2" s="12" t="s">
        <v>85</v>
      </c>
    </row>
    <row r="3" spans="1:12" ht="29" x14ac:dyDescent="0.35">
      <c r="A3" s="12" t="s">
        <v>271</v>
      </c>
      <c r="B3" s="12" t="s">
        <v>272</v>
      </c>
      <c r="C3" s="12" t="s">
        <v>81</v>
      </c>
      <c r="D3" s="12"/>
      <c r="E3" s="12" t="s">
        <v>260</v>
      </c>
      <c r="F3" s="12" t="s">
        <v>195</v>
      </c>
      <c r="G3" s="12" t="s">
        <v>99</v>
      </c>
      <c r="H3" s="12">
        <v>5</v>
      </c>
      <c r="I3" s="12" t="s">
        <v>892</v>
      </c>
      <c r="J3" s="11">
        <v>46188.556851851848</v>
      </c>
      <c r="K3" s="11">
        <v>46188.556851851848</v>
      </c>
      <c r="L3" s="12" t="s">
        <v>273</v>
      </c>
    </row>
    <row r="4" spans="1:12" ht="29" x14ac:dyDescent="0.35">
      <c r="A4" s="12" t="s">
        <v>274</v>
      </c>
      <c r="B4" s="12" t="s">
        <v>275</v>
      </c>
      <c r="C4" s="12" t="s">
        <v>81</v>
      </c>
      <c r="D4" s="12"/>
      <c r="E4" s="12" t="s">
        <v>260</v>
      </c>
      <c r="F4" s="12" t="s">
        <v>195</v>
      </c>
      <c r="G4" s="12" t="s">
        <v>99</v>
      </c>
      <c r="H4" s="12">
        <v>5</v>
      </c>
      <c r="I4" s="12" t="s">
        <v>892</v>
      </c>
      <c r="J4" s="11">
        <v>46188.556851851848</v>
      </c>
      <c r="K4" s="11">
        <v>46188.556851851848</v>
      </c>
      <c r="L4" s="12" t="s">
        <v>276</v>
      </c>
    </row>
    <row r="5" spans="1:12" ht="29" x14ac:dyDescent="0.35">
      <c r="A5" s="12" t="s">
        <v>280</v>
      </c>
      <c r="B5" s="12" t="s">
        <v>281</v>
      </c>
      <c r="C5" s="12" t="s">
        <v>81</v>
      </c>
      <c r="D5" s="12"/>
      <c r="E5" s="12" t="s">
        <v>260</v>
      </c>
      <c r="F5" s="12" t="s">
        <v>195</v>
      </c>
      <c r="G5" s="12" t="s">
        <v>99</v>
      </c>
      <c r="H5" s="12">
        <v>5</v>
      </c>
      <c r="I5" s="12" t="s">
        <v>892</v>
      </c>
      <c r="J5" s="11">
        <v>46188.556851851848</v>
      </c>
      <c r="K5" s="11">
        <v>46188.556851851848</v>
      </c>
      <c r="L5" s="12" t="s">
        <v>282</v>
      </c>
    </row>
    <row r="6" spans="1:12" ht="29" x14ac:dyDescent="0.35">
      <c r="A6" s="12" t="s">
        <v>286</v>
      </c>
      <c r="B6" s="12" t="s">
        <v>287</v>
      </c>
      <c r="C6" s="12" t="s">
        <v>81</v>
      </c>
      <c r="D6" s="12"/>
      <c r="E6" s="12" t="s">
        <v>260</v>
      </c>
      <c r="F6" s="12" t="s">
        <v>195</v>
      </c>
      <c r="G6" s="12" t="s">
        <v>99</v>
      </c>
      <c r="H6" s="12">
        <v>5</v>
      </c>
      <c r="I6" s="12" t="s">
        <v>892</v>
      </c>
      <c r="J6" s="11">
        <v>46188.556851851848</v>
      </c>
      <c r="K6" s="11">
        <v>46188.556851851848</v>
      </c>
      <c r="L6" s="12" t="s">
        <v>288</v>
      </c>
    </row>
    <row r="7" spans="1:12" ht="29" x14ac:dyDescent="0.35">
      <c r="A7" s="12" t="s">
        <v>289</v>
      </c>
      <c r="B7" s="12" t="s">
        <v>290</v>
      </c>
      <c r="C7" s="12" t="s">
        <v>81</v>
      </c>
      <c r="D7" s="12"/>
      <c r="E7" s="12" t="s">
        <v>260</v>
      </c>
      <c r="F7" s="12" t="s">
        <v>195</v>
      </c>
      <c r="G7" s="12" t="s">
        <v>99</v>
      </c>
      <c r="H7" s="12">
        <v>5</v>
      </c>
      <c r="I7" s="12" t="s">
        <v>892</v>
      </c>
      <c r="J7" s="11">
        <v>46188.556851851848</v>
      </c>
      <c r="K7" s="11">
        <v>46188.556851851848</v>
      </c>
      <c r="L7" s="12" t="s">
        <v>291</v>
      </c>
    </row>
    <row r="8" spans="1:12" ht="29" x14ac:dyDescent="0.35">
      <c r="A8" s="12" t="s">
        <v>295</v>
      </c>
      <c r="B8" s="12" t="s">
        <v>296</v>
      </c>
      <c r="C8" s="12" t="s">
        <v>81</v>
      </c>
      <c r="D8" s="12"/>
      <c r="E8" s="12" t="s">
        <v>260</v>
      </c>
      <c r="F8" s="12" t="s">
        <v>195</v>
      </c>
      <c r="G8" s="12" t="s">
        <v>99</v>
      </c>
      <c r="H8" s="12">
        <v>5</v>
      </c>
      <c r="I8" s="12" t="s">
        <v>892</v>
      </c>
      <c r="J8" s="11">
        <v>46188.556851851848</v>
      </c>
      <c r="K8" s="11">
        <v>46188.556851851848</v>
      </c>
      <c r="L8" s="12" t="s">
        <v>297</v>
      </c>
    </row>
    <row r="9" spans="1:12" ht="29" x14ac:dyDescent="0.35">
      <c r="A9" s="12" t="s">
        <v>258</v>
      </c>
      <c r="B9" s="12" t="s">
        <v>259</v>
      </c>
      <c r="C9" s="12" t="s">
        <v>81</v>
      </c>
      <c r="D9" s="12"/>
      <c r="E9" s="12" t="s">
        <v>260</v>
      </c>
      <c r="F9" s="12" t="s">
        <v>195</v>
      </c>
      <c r="G9" s="12" t="s">
        <v>99</v>
      </c>
      <c r="H9" s="12">
        <v>4</v>
      </c>
      <c r="I9" s="12" t="s">
        <v>893</v>
      </c>
      <c r="J9" s="11">
        <v>46188.556851851848</v>
      </c>
      <c r="K9" s="11">
        <v>46188.556851851848</v>
      </c>
      <c r="L9" s="12" t="s">
        <v>261</v>
      </c>
    </row>
    <row r="10" spans="1:12" ht="29" x14ac:dyDescent="0.35">
      <c r="A10" s="12" t="s">
        <v>268</v>
      </c>
      <c r="B10" s="12" t="s">
        <v>269</v>
      </c>
      <c r="C10" s="12" t="s">
        <v>81</v>
      </c>
      <c r="D10" s="12"/>
      <c r="E10" s="12" t="s">
        <v>260</v>
      </c>
      <c r="F10" s="12" t="s">
        <v>195</v>
      </c>
      <c r="G10" s="12" t="s">
        <v>99</v>
      </c>
      <c r="H10" s="12">
        <v>4</v>
      </c>
      <c r="I10" s="12" t="s">
        <v>893</v>
      </c>
      <c r="J10" s="11">
        <v>46188.556851851848</v>
      </c>
      <c r="K10" s="11">
        <v>46188.556851851848</v>
      </c>
      <c r="L10" s="12" t="s">
        <v>270</v>
      </c>
    </row>
    <row r="11" spans="1:12" ht="29" x14ac:dyDescent="0.35">
      <c r="A11" s="12" t="s">
        <v>277</v>
      </c>
      <c r="B11" s="12" t="s">
        <v>278</v>
      </c>
      <c r="C11" s="12" t="s">
        <v>81</v>
      </c>
      <c r="D11" s="12"/>
      <c r="E11" s="12" t="s">
        <v>260</v>
      </c>
      <c r="F11" s="12" t="s">
        <v>195</v>
      </c>
      <c r="G11" s="12" t="s">
        <v>99</v>
      </c>
      <c r="H11" s="12">
        <v>4</v>
      </c>
      <c r="I11" s="12" t="s">
        <v>893</v>
      </c>
      <c r="J11" s="11">
        <v>46188.556851851848</v>
      </c>
      <c r="K11" s="11">
        <v>46188.556851851848</v>
      </c>
      <c r="L11" s="12" t="s">
        <v>279</v>
      </c>
    </row>
    <row r="12" spans="1:12" ht="29" x14ac:dyDescent="0.35">
      <c r="A12" s="12" t="s">
        <v>283</v>
      </c>
      <c r="B12" s="12" t="s">
        <v>284</v>
      </c>
      <c r="C12" s="12" t="s">
        <v>81</v>
      </c>
      <c r="D12" s="12"/>
      <c r="E12" s="12" t="s">
        <v>260</v>
      </c>
      <c r="F12" s="12" t="s">
        <v>195</v>
      </c>
      <c r="G12" s="12" t="s">
        <v>99</v>
      </c>
      <c r="H12" s="12">
        <v>4</v>
      </c>
      <c r="I12" s="12" t="s">
        <v>893</v>
      </c>
      <c r="J12" s="11">
        <v>46188.556851851848</v>
      </c>
      <c r="K12" s="11">
        <v>46188.556851851848</v>
      </c>
      <c r="L12" s="12" t="s">
        <v>285</v>
      </c>
    </row>
    <row r="13" spans="1:12" ht="29" x14ac:dyDescent="0.35">
      <c r="A13" s="12" t="s">
        <v>292</v>
      </c>
      <c r="B13" s="12" t="s">
        <v>293</v>
      </c>
      <c r="C13" s="12" t="s">
        <v>81</v>
      </c>
      <c r="D13" s="12"/>
      <c r="E13" s="12" t="s">
        <v>260</v>
      </c>
      <c r="F13" s="12" t="s">
        <v>195</v>
      </c>
      <c r="G13" s="12" t="s">
        <v>99</v>
      </c>
      <c r="H13" s="12">
        <v>4</v>
      </c>
      <c r="I13" s="12" t="s">
        <v>893</v>
      </c>
      <c r="J13" s="11">
        <v>46188.556851851848</v>
      </c>
      <c r="K13" s="11">
        <v>46188.556851851848</v>
      </c>
      <c r="L13" s="12" t="s">
        <v>294</v>
      </c>
    </row>
    <row r="14" spans="1:12" ht="29" x14ac:dyDescent="0.35">
      <c r="A14" s="12" t="s">
        <v>298</v>
      </c>
      <c r="B14" s="12" t="s">
        <v>299</v>
      </c>
      <c r="C14" s="12" t="s">
        <v>81</v>
      </c>
      <c r="D14" s="12"/>
      <c r="E14" s="12" t="s">
        <v>260</v>
      </c>
      <c r="F14" s="12" t="s">
        <v>195</v>
      </c>
      <c r="G14" s="12" t="s">
        <v>99</v>
      </c>
      <c r="H14" s="12">
        <v>4</v>
      </c>
      <c r="I14" s="12" t="s">
        <v>893</v>
      </c>
      <c r="J14" s="11">
        <v>46188.556851851848</v>
      </c>
      <c r="K14" s="11">
        <v>46188.556851851848</v>
      </c>
      <c r="L14" s="12" t="s">
        <v>300</v>
      </c>
    </row>
    <row r="15" spans="1:12" ht="29" x14ac:dyDescent="0.35">
      <c r="A15" s="12" t="s">
        <v>400</v>
      </c>
      <c r="B15" s="12" t="s">
        <v>401</v>
      </c>
      <c r="C15" s="12" t="s">
        <v>81</v>
      </c>
      <c r="D15" s="12" t="s">
        <v>347</v>
      </c>
      <c r="E15" s="12" t="s">
        <v>342</v>
      </c>
      <c r="F15" s="12" t="s">
        <v>228</v>
      </c>
      <c r="G15" s="12" t="s">
        <v>99</v>
      </c>
      <c r="H15" s="12">
        <v>4</v>
      </c>
      <c r="I15" s="12" t="s">
        <v>894</v>
      </c>
      <c r="J15" s="11">
        <v>46188.556851851848</v>
      </c>
      <c r="K15" s="11">
        <v>46188.556851851848</v>
      </c>
      <c r="L15" s="12" t="s">
        <v>403</v>
      </c>
    </row>
    <row r="16" spans="1:12" ht="29" x14ac:dyDescent="0.35">
      <c r="A16" s="12" t="s">
        <v>425</v>
      </c>
      <c r="B16" s="12" t="s">
        <v>426</v>
      </c>
      <c r="C16" s="12" t="s">
        <v>81</v>
      </c>
      <c r="D16" s="12" t="s">
        <v>77</v>
      </c>
      <c r="E16" s="12" t="s">
        <v>310</v>
      </c>
      <c r="F16" s="12" t="s">
        <v>228</v>
      </c>
      <c r="G16" s="12" t="s">
        <v>84</v>
      </c>
      <c r="H16" s="12">
        <v>3</v>
      </c>
      <c r="I16" s="12" t="s">
        <v>895</v>
      </c>
      <c r="J16" s="11">
        <v>46188.556851851848</v>
      </c>
      <c r="K16" s="11">
        <v>46188.556851851848</v>
      </c>
      <c r="L16" s="12" t="s">
        <v>427</v>
      </c>
    </row>
    <row r="17" spans="1:12" ht="29" x14ac:dyDescent="0.35">
      <c r="A17" s="12" t="s">
        <v>301</v>
      </c>
      <c r="B17" s="12" t="s">
        <v>302</v>
      </c>
      <c r="C17" s="12" t="s">
        <v>81</v>
      </c>
      <c r="D17" s="12" t="s">
        <v>303</v>
      </c>
      <c r="E17" s="12" t="s">
        <v>304</v>
      </c>
      <c r="F17" s="12" t="s">
        <v>305</v>
      </c>
      <c r="G17" s="12" t="s">
        <v>307</v>
      </c>
      <c r="H17" s="12">
        <v>2</v>
      </c>
      <c r="I17" s="12" t="s">
        <v>896</v>
      </c>
      <c r="J17" s="11">
        <v>46188.556851851848</v>
      </c>
      <c r="K17" s="11">
        <v>46188.556851851848</v>
      </c>
      <c r="L17" s="12" t="s">
        <v>309</v>
      </c>
    </row>
    <row r="18" spans="1:12" ht="29" x14ac:dyDescent="0.35">
      <c r="A18" s="12" t="s">
        <v>436</v>
      </c>
      <c r="B18" s="12" t="s">
        <v>437</v>
      </c>
      <c r="C18" s="12" t="s">
        <v>81</v>
      </c>
      <c r="D18" s="12" t="s">
        <v>77</v>
      </c>
      <c r="E18" s="12" t="s">
        <v>194</v>
      </c>
      <c r="F18" s="12" t="s">
        <v>228</v>
      </c>
      <c r="G18" s="12" t="s">
        <v>110</v>
      </c>
      <c r="H18" s="12">
        <v>2</v>
      </c>
      <c r="I18" s="12" t="s">
        <v>897</v>
      </c>
      <c r="J18" s="11">
        <v>46188.556851851848</v>
      </c>
      <c r="K18" s="11">
        <v>46188.556851851848</v>
      </c>
      <c r="L18" s="12" t="s">
        <v>438</v>
      </c>
    </row>
    <row r="19" spans="1:12" ht="29" x14ac:dyDescent="0.35">
      <c r="A19" s="12" t="s">
        <v>363</v>
      </c>
      <c r="B19" s="12" t="s">
        <v>364</v>
      </c>
      <c r="C19" s="12" t="s">
        <v>81</v>
      </c>
      <c r="D19" s="12" t="s">
        <v>347</v>
      </c>
      <c r="E19" s="12" t="s">
        <v>310</v>
      </c>
      <c r="F19" s="12" t="s">
        <v>305</v>
      </c>
      <c r="G19" s="12" t="s">
        <v>110</v>
      </c>
      <c r="H19" s="12">
        <v>2</v>
      </c>
      <c r="I19" s="12" t="s">
        <v>898</v>
      </c>
      <c r="J19" s="11">
        <v>46188.556851851848</v>
      </c>
      <c r="K19" s="11">
        <v>46188.556851851848</v>
      </c>
      <c r="L19" s="12" t="s">
        <v>366</v>
      </c>
    </row>
    <row r="20" spans="1:12" ht="29" x14ac:dyDescent="0.35">
      <c r="A20" s="12" t="s">
        <v>412</v>
      </c>
      <c r="B20" s="12" t="s">
        <v>413</v>
      </c>
      <c r="C20" s="12" t="s">
        <v>81</v>
      </c>
      <c r="D20" s="12" t="s">
        <v>77</v>
      </c>
      <c r="E20" s="12" t="s">
        <v>96</v>
      </c>
      <c r="F20" s="12" t="s">
        <v>305</v>
      </c>
      <c r="G20" s="12" t="s">
        <v>307</v>
      </c>
      <c r="H20" s="12">
        <v>1</v>
      </c>
      <c r="I20" s="12" t="s">
        <v>22</v>
      </c>
      <c r="J20" s="11">
        <v>46188.556851851848</v>
      </c>
      <c r="K20" s="11">
        <v>46188.556851851848</v>
      </c>
      <c r="L20" s="12" t="s">
        <v>414</v>
      </c>
    </row>
    <row r="21" spans="1:12" ht="29" x14ac:dyDescent="0.35">
      <c r="A21" s="12" t="s">
        <v>445</v>
      </c>
      <c r="B21" s="12" t="s">
        <v>446</v>
      </c>
      <c r="C21" s="12" t="s">
        <v>81</v>
      </c>
      <c r="D21" s="12" t="s">
        <v>77</v>
      </c>
      <c r="E21" s="12" t="s">
        <v>447</v>
      </c>
      <c r="F21" s="12" t="s">
        <v>314</v>
      </c>
      <c r="G21" s="12" t="s">
        <v>82</v>
      </c>
      <c r="H21" s="12">
        <v>1</v>
      </c>
      <c r="I21" s="12" t="s">
        <v>22</v>
      </c>
      <c r="J21" s="11">
        <v>46188.556851851848</v>
      </c>
      <c r="K21" s="11">
        <v>46188.556851851848</v>
      </c>
      <c r="L21" s="12" t="s">
        <v>448</v>
      </c>
    </row>
    <row r="22" spans="1:12" ht="29" x14ac:dyDescent="0.35">
      <c r="A22" s="12" t="s">
        <v>345</v>
      </c>
      <c r="B22" s="12" t="s">
        <v>346</v>
      </c>
      <c r="C22" s="12" t="s">
        <v>81</v>
      </c>
      <c r="D22" s="12" t="s">
        <v>347</v>
      </c>
      <c r="E22" s="12" t="s">
        <v>348</v>
      </c>
      <c r="F22" s="12" t="s">
        <v>79</v>
      </c>
      <c r="G22" s="12" t="s">
        <v>349</v>
      </c>
      <c r="H22" s="12">
        <v>1</v>
      </c>
      <c r="I22" s="12" t="s">
        <v>22</v>
      </c>
      <c r="J22" s="11">
        <v>46188.556851851848</v>
      </c>
      <c r="K22" s="11">
        <v>46188.556851851848</v>
      </c>
      <c r="L22" s="12" t="s">
        <v>350</v>
      </c>
    </row>
    <row r="23" spans="1:12" ht="29" x14ac:dyDescent="0.35">
      <c r="A23" s="12" t="s">
        <v>311</v>
      </c>
      <c r="B23" s="12" t="s">
        <v>312</v>
      </c>
      <c r="C23" s="12" t="s">
        <v>81</v>
      </c>
      <c r="D23" s="12" t="s">
        <v>313</v>
      </c>
      <c r="E23" s="12" t="s">
        <v>93</v>
      </c>
      <c r="F23" s="12" t="s">
        <v>314</v>
      </c>
      <c r="G23" s="12" t="s">
        <v>315</v>
      </c>
      <c r="H23" s="12">
        <v>1</v>
      </c>
      <c r="I23" s="12" t="s">
        <v>22</v>
      </c>
      <c r="J23" s="11">
        <v>46188.556851851848</v>
      </c>
      <c r="K23" s="11">
        <v>46188.556851851848</v>
      </c>
      <c r="L23" s="12" t="s">
        <v>317</v>
      </c>
    </row>
    <row r="24" spans="1:12" ht="29" x14ac:dyDescent="0.35">
      <c r="A24" s="12" t="s">
        <v>318</v>
      </c>
      <c r="B24" s="12" t="s">
        <v>319</v>
      </c>
      <c r="C24" s="12" t="s">
        <v>81</v>
      </c>
      <c r="D24" s="12" t="s">
        <v>313</v>
      </c>
      <c r="E24" s="12" t="s">
        <v>93</v>
      </c>
      <c r="F24" s="12" t="s">
        <v>79</v>
      </c>
      <c r="G24" s="12" t="s">
        <v>84</v>
      </c>
      <c r="H24" s="12">
        <v>1</v>
      </c>
      <c r="I24" s="12" t="s">
        <v>22</v>
      </c>
      <c r="J24" s="11">
        <v>46188.556851851848</v>
      </c>
      <c r="K24" s="11">
        <v>46188.556851851848</v>
      </c>
      <c r="L24" s="12" t="s">
        <v>320</v>
      </c>
    </row>
    <row r="25" spans="1:12" ht="29" x14ac:dyDescent="0.35">
      <c r="A25" s="12" t="s">
        <v>336</v>
      </c>
      <c r="B25" s="12" t="s">
        <v>337</v>
      </c>
      <c r="C25" s="12" t="s">
        <v>81</v>
      </c>
      <c r="D25" s="12" t="s">
        <v>334</v>
      </c>
      <c r="E25" s="12" t="s">
        <v>338</v>
      </c>
      <c r="F25" s="12" t="s">
        <v>314</v>
      </c>
      <c r="G25" s="12" t="s">
        <v>307</v>
      </c>
      <c r="H25" s="12">
        <v>1</v>
      </c>
      <c r="I25" s="12" t="s">
        <v>22</v>
      </c>
      <c r="J25" s="11">
        <v>46188.556851851848</v>
      </c>
      <c r="K25" s="11">
        <v>46188.556851851848</v>
      </c>
      <c r="L25" s="12" t="s">
        <v>339</v>
      </c>
    </row>
    <row r="26" spans="1:12" ht="29" x14ac:dyDescent="0.35">
      <c r="A26" s="12" t="s">
        <v>449</v>
      </c>
      <c r="B26" s="12" t="s">
        <v>450</v>
      </c>
      <c r="C26" s="12" t="s">
        <v>81</v>
      </c>
      <c r="D26" s="12" t="s">
        <v>451</v>
      </c>
      <c r="E26" s="12" t="s">
        <v>96</v>
      </c>
      <c r="F26" s="12" t="s">
        <v>79</v>
      </c>
      <c r="G26" s="12" t="s">
        <v>307</v>
      </c>
      <c r="H26" s="12">
        <v>1</v>
      </c>
      <c r="I26" s="12" t="s">
        <v>22</v>
      </c>
      <c r="J26" s="11">
        <v>46188.556851851848</v>
      </c>
      <c r="K26" s="11">
        <v>46188.556851851848</v>
      </c>
      <c r="L26" s="12" t="s">
        <v>452</v>
      </c>
    </row>
    <row r="27" spans="1:12" ht="29" x14ac:dyDescent="0.35">
      <c r="A27" s="12" t="s">
        <v>321</v>
      </c>
      <c r="B27" s="12" t="s">
        <v>322</v>
      </c>
      <c r="C27" s="12" t="s">
        <v>81</v>
      </c>
      <c r="D27" s="12" t="s">
        <v>323</v>
      </c>
      <c r="E27" s="12" t="s">
        <v>96</v>
      </c>
      <c r="F27" s="12" t="s">
        <v>79</v>
      </c>
      <c r="G27" s="12" t="s">
        <v>307</v>
      </c>
      <c r="H27" s="12">
        <v>1</v>
      </c>
      <c r="I27" s="12" t="s">
        <v>22</v>
      </c>
      <c r="J27" s="11">
        <v>46188.556851851848</v>
      </c>
      <c r="K27" s="11">
        <v>46188.556851851848</v>
      </c>
      <c r="L27" s="12" t="s">
        <v>325</v>
      </c>
    </row>
    <row r="28" spans="1:12" ht="29" x14ac:dyDescent="0.35">
      <c r="A28" s="12" t="s">
        <v>332</v>
      </c>
      <c r="B28" s="12" t="s">
        <v>333</v>
      </c>
      <c r="C28" s="12" t="s">
        <v>81</v>
      </c>
      <c r="D28" s="12" t="s">
        <v>334</v>
      </c>
      <c r="E28" s="12" t="s">
        <v>93</v>
      </c>
      <c r="F28" s="12" t="s">
        <v>79</v>
      </c>
      <c r="G28" s="12" t="s">
        <v>197</v>
      </c>
      <c r="H28" s="12">
        <v>1</v>
      </c>
      <c r="I28" s="12" t="s">
        <v>22</v>
      </c>
      <c r="J28" s="11">
        <v>46188.556851851848</v>
      </c>
      <c r="K28" s="11">
        <v>46188.556851851848</v>
      </c>
      <c r="L28" s="12" t="s">
        <v>335</v>
      </c>
    </row>
    <row r="29" spans="1:12" ht="29" x14ac:dyDescent="0.35">
      <c r="A29" s="12" t="s">
        <v>415</v>
      </c>
      <c r="B29" s="12" t="s">
        <v>416</v>
      </c>
      <c r="C29" s="12" t="s">
        <v>81</v>
      </c>
      <c r="D29" s="12" t="s">
        <v>77</v>
      </c>
      <c r="E29" s="12" t="s">
        <v>96</v>
      </c>
      <c r="F29" s="12" t="s">
        <v>79</v>
      </c>
      <c r="G29" s="12" t="s">
        <v>315</v>
      </c>
      <c r="H29" s="12">
        <v>1</v>
      </c>
      <c r="I29" s="12" t="s">
        <v>22</v>
      </c>
      <c r="J29" s="11">
        <v>46188.556851851848</v>
      </c>
      <c r="K29" s="11">
        <v>46188.556851851848</v>
      </c>
      <c r="L29" s="12" t="s">
        <v>417</v>
      </c>
    </row>
    <row r="30" spans="1:12" ht="29" x14ac:dyDescent="0.35">
      <c r="A30" s="12" t="s">
        <v>326</v>
      </c>
      <c r="B30" s="12" t="s">
        <v>327</v>
      </c>
      <c r="C30" s="12" t="s">
        <v>81</v>
      </c>
      <c r="D30" s="12" t="s">
        <v>328</v>
      </c>
      <c r="E30" s="12" t="s">
        <v>329</v>
      </c>
      <c r="F30" s="12" t="s">
        <v>79</v>
      </c>
      <c r="G30" s="12" t="s">
        <v>99</v>
      </c>
      <c r="H30" s="12">
        <v>1</v>
      </c>
      <c r="I30" s="12" t="s">
        <v>21</v>
      </c>
      <c r="J30" s="11">
        <v>46188.556851851848</v>
      </c>
      <c r="K30" s="11">
        <v>46188.556851851848</v>
      </c>
      <c r="L30" s="12" t="s">
        <v>331</v>
      </c>
    </row>
    <row r="31" spans="1:12" ht="29" x14ac:dyDescent="0.35">
      <c r="A31" s="12" t="s">
        <v>418</v>
      </c>
      <c r="B31" s="12" t="s">
        <v>419</v>
      </c>
      <c r="C31" s="12" t="s">
        <v>81</v>
      </c>
      <c r="D31" s="12" t="s">
        <v>77</v>
      </c>
      <c r="E31" s="12" t="s">
        <v>96</v>
      </c>
      <c r="F31" s="12" t="s">
        <v>79</v>
      </c>
      <c r="G31" s="12" t="s">
        <v>307</v>
      </c>
      <c r="H31" s="12">
        <v>1</v>
      </c>
      <c r="I31" s="12" t="s">
        <v>22</v>
      </c>
      <c r="J31" s="11">
        <v>46188.556851851848</v>
      </c>
      <c r="K31" s="11">
        <v>46188.556851851848</v>
      </c>
      <c r="L31" s="12" t="s">
        <v>420</v>
      </c>
    </row>
    <row r="32" spans="1:12" ht="29" x14ac:dyDescent="0.35">
      <c r="A32" s="12" t="s">
        <v>439</v>
      </c>
      <c r="B32" s="12" t="s">
        <v>440</v>
      </c>
      <c r="C32" s="12" t="s">
        <v>81</v>
      </c>
      <c r="D32" s="12" t="s">
        <v>77</v>
      </c>
      <c r="E32" s="12" t="s">
        <v>194</v>
      </c>
      <c r="F32" s="12" t="s">
        <v>228</v>
      </c>
      <c r="G32" s="12" t="s">
        <v>110</v>
      </c>
      <c r="H32" s="12">
        <v>1</v>
      </c>
      <c r="I32" s="12" t="s">
        <v>22</v>
      </c>
      <c r="J32" s="11">
        <v>46188.556851851848</v>
      </c>
      <c r="K32" s="11">
        <v>46188.556851851848</v>
      </c>
      <c r="L32" s="12" t="s">
        <v>441</v>
      </c>
    </row>
    <row r="33" spans="1:12" ht="29" x14ac:dyDescent="0.35">
      <c r="A33" s="12" t="s">
        <v>430</v>
      </c>
      <c r="B33" s="12" t="s">
        <v>431</v>
      </c>
      <c r="C33" s="12" t="s">
        <v>81</v>
      </c>
      <c r="D33" s="12" t="s">
        <v>77</v>
      </c>
      <c r="E33" s="12" t="s">
        <v>310</v>
      </c>
      <c r="F33" s="12" t="s">
        <v>228</v>
      </c>
      <c r="G33" s="12" t="s">
        <v>110</v>
      </c>
      <c r="H33" s="12">
        <v>1</v>
      </c>
      <c r="I33" s="12" t="s">
        <v>22</v>
      </c>
      <c r="J33" s="11">
        <v>46188.556851851848</v>
      </c>
      <c r="K33" s="11">
        <v>46188.556851851848</v>
      </c>
      <c r="L33" s="12" t="s">
        <v>432</v>
      </c>
    </row>
    <row r="34" spans="1:12" ht="29" x14ac:dyDescent="0.35">
      <c r="A34" s="12" t="s">
        <v>351</v>
      </c>
      <c r="B34" s="12" t="s">
        <v>352</v>
      </c>
      <c r="C34" s="12" t="s">
        <v>81</v>
      </c>
      <c r="D34" s="12" t="s">
        <v>347</v>
      </c>
      <c r="E34" s="12" t="s">
        <v>310</v>
      </c>
      <c r="F34" s="12" t="s">
        <v>305</v>
      </c>
      <c r="G34" s="12" t="s">
        <v>99</v>
      </c>
      <c r="H34" s="12">
        <v>1</v>
      </c>
      <c r="I34" s="12" t="s">
        <v>21</v>
      </c>
      <c r="J34" s="11">
        <v>46188.556851851848</v>
      </c>
      <c r="K34" s="11">
        <v>46188.556851851848</v>
      </c>
      <c r="L34" s="12" t="s">
        <v>354</v>
      </c>
    </row>
    <row r="35" spans="1:12" ht="29" x14ac:dyDescent="0.35">
      <c r="A35" s="12" t="s">
        <v>192</v>
      </c>
      <c r="B35" s="12" t="s">
        <v>193</v>
      </c>
      <c r="C35" s="12" t="s">
        <v>81</v>
      </c>
      <c r="D35" s="12"/>
      <c r="E35" s="12" t="s">
        <v>194</v>
      </c>
      <c r="F35" s="12" t="s">
        <v>195</v>
      </c>
      <c r="G35" s="12" t="s">
        <v>197</v>
      </c>
      <c r="H35" s="12">
        <v>1</v>
      </c>
      <c r="I35" s="12" t="s">
        <v>21</v>
      </c>
      <c r="J35" s="11">
        <v>46188.556851851848</v>
      </c>
      <c r="K35" s="11">
        <v>46188.556851851848</v>
      </c>
      <c r="L35" s="12" t="s">
        <v>199</v>
      </c>
    </row>
    <row r="36" spans="1:12" ht="29" x14ac:dyDescent="0.35">
      <c r="A36" s="12" t="s">
        <v>355</v>
      </c>
      <c r="B36" s="12" t="s">
        <v>356</v>
      </c>
      <c r="C36" s="12" t="s">
        <v>81</v>
      </c>
      <c r="D36" s="12" t="s">
        <v>347</v>
      </c>
      <c r="E36" s="12" t="s">
        <v>310</v>
      </c>
      <c r="F36" s="12" t="s">
        <v>305</v>
      </c>
      <c r="G36" s="12" t="s">
        <v>99</v>
      </c>
      <c r="H36" s="12">
        <v>1</v>
      </c>
      <c r="I36" s="12" t="s">
        <v>21</v>
      </c>
      <c r="J36" s="11">
        <v>46188.556851851848</v>
      </c>
      <c r="K36" s="11">
        <v>46188.556851851848</v>
      </c>
      <c r="L36" s="12" t="s">
        <v>358</v>
      </c>
    </row>
    <row r="37" spans="1:12" ht="29" x14ac:dyDescent="0.35">
      <c r="A37" s="12" t="s">
        <v>359</v>
      </c>
      <c r="B37" s="12" t="s">
        <v>360</v>
      </c>
      <c r="C37" s="12" t="s">
        <v>81</v>
      </c>
      <c r="D37" s="12" t="s">
        <v>347</v>
      </c>
      <c r="E37" s="12" t="s">
        <v>310</v>
      </c>
      <c r="F37" s="12" t="s">
        <v>305</v>
      </c>
      <c r="G37" s="12" t="s">
        <v>99</v>
      </c>
      <c r="H37" s="12">
        <v>1</v>
      </c>
      <c r="I37" s="12" t="s">
        <v>21</v>
      </c>
      <c r="J37" s="11">
        <v>46188.556851851848</v>
      </c>
      <c r="K37" s="11">
        <v>46188.556851851848</v>
      </c>
      <c r="L37" s="12" t="s">
        <v>362</v>
      </c>
    </row>
    <row r="38" spans="1:12" ht="29" x14ac:dyDescent="0.35">
      <c r="A38" s="12" t="s">
        <v>442</v>
      </c>
      <c r="B38" s="12" t="s">
        <v>443</v>
      </c>
      <c r="C38" s="12" t="s">
        <v>81</v>
      </c>
      <c r="D38" s="12" t="s">
        <v>77</v>
      </c>
      <c r="E38" s="12" t="s">
        <v>194</v>
      </c>
      <c r="F38" s="12" t="s">
        <v>228</v>
      </c>
      <c r="G38" s="12" t="s">
        <v>307</v>
      </c>
      <c r="H38" s="12">
        <v>1</v>
      </c>
      <c r="I38" s="12" t="s">
        <v>22</v>
      </c>
      <c r="J38" s="11">
        <v>46188.556851851848</v>
      </c>
      <c r="K38" s="11">
        <v>46188.556851851848</v>
      </c>
      <c r="L38" s="12" t="s">
        <v>444</v>
      </c>
    </row>
    <row r="39" spans="1:12" ht="29" x14ac:dyDescent="0.35">
      <c r="A39" s="12" t="s">
        <v>200</v>
      </c>
      <c r="B39" s="12" t="s">
        <v>201</v>
      </c>
      <c r="C39" s="12" t="s">
        <v>81</v>
      </c>
      <c r="D39" s="12"/>
      <c r="E39" s="12" t="s">
        <v>194</v>
      </c>
      <c r="F39" s="12" t="s">
        <v>195</v>
      </c>
      <c r="G39" s="12" t="s">
        <v>197</v>
      </c>
      <c r="H39" s="12">
        <v>1</v>
      </c>
      <c r="I39" s="12" t="s">
        <v>21</v>
      </c>
      <c r="J39" s="11">
        <v>46188.556851851848</v>
      </c>
      <c r="K39" s="11">
        <v>46188.556851851848</v>
      </c>
      <c r="L39" s="12" t="s">
        <v>203</v>
      </c>
    </row>
    <row r="40" spans="1:12" ht="29" x14ac:dyDescent="0.35">
      <c r="A40" s="12" t="s">
        <v>340</v>
      </c>
      <c r="B40" s="12" t="s">
        <v>341</v>
      </c>
      <c r="C40" s="12" t="s">
        <v>81</v>
      </c>
      <c r="D40" s="12" t="s">
        <v>334</v>
      </c>
      <c r="E40" s="12" t="s">
        <v>342</v>
      </c>
      <c r="F40" s="12" t="s">
        <v>228</v>
      </c>
      <c r="G40" s="12" t="s">
        <v>343</v>
      </c>
      <c r="H40" s="12">
        <v>1</v>
      </c>
      <c r="I40" s="12" t="s">
        <v>22</v>
      </c>
      <c r="J40" s="11">
        <v>46188.556851851848</v>
      </c>
      <c r="K40" s="11">
        <v>46188.556851851848</v>
      </c>
      <c r="L40" s="12" t="s">
        <v>344</v>
      </c>
    </row>
    <row r="41" spans="1:12" ht="29" x14ac:dyDescent="0.35">
      <c r="A41" s="12" t="s">
        <v>433</v>
      </c>
      <c r="B41" s="12" t="s">
        <v>434</v>
      </c>
      <c r="C41" s="12" t="s">
        <v>81</v>
      </c>
      <c r="D41" s="12" t="s">
        <v>77</v>
      </c>
      <c r="E41" s="12" t="s">
        <v>310</v>
      </c>
      <c r="F41" s="12" t="s">
        <v>228</v>
      </c>
      <c r="G41" s="12" t="s">
        <v>110</v>
      </c>
      <c r="H41" s="12">
        <v>1</v>
      </c>
      <c r="I41" s="12" t="s">
        <v>22</v>
      </c>
      <c r="J41" s="11">
        <v>46188.556851851848</v>
      </c>
      <c r="K41" s="11">
        <v>46188.556851851848</v>
      </c>
      <c r="L41" s="12" t="s">
        <v>435</v>
      </c>
    </row>
    <row r="42" spans="1:12" ht="29" x14ac:dyDescent="0.35">
      <c r="A42" s="12" t="s">
        <v>204</v>
      </c>
      <c r="B42" s="12" t="s">
        <v>205</v>
      </c>
      <c r="C42" s="12" t="s">
        <v>81</v>
      </c>
      <c r="D42" s="12"/>
      <c r="E42" s="12" t="s">
        <v>194</v>
      </c>
      <c r="F42" s="12" t="s">
        <v>195</v>
      </c>
      <c r="G42" s="12" t="s">
        <v>197</v>
      </c>
      <c r="H42" s="12">
        <v>1</v>
      </c>
      <c r="I42" s="12" t="s">
        <v>27</v>
      </c>
      <c r="J42" s="11">
        <v>46188.556851851848</v>
      </c>
      <c r="K42" s="11">
        <v>46188.556851851848</v>
      </c>
      <c r="L42" s="12" t="s">
        <v>209</v>
      </c>
    </row>
    <row r="43" spans="1:12" ht="29" x14ac:dyDescent="0.35">
      <c r="A43" s="12" t="s">
        <v>210</v>
      </c>
      <c r="B43" s="12" t="s">
        <v>211</v>
      </c>
      <c r="C43" s="12" t="s">
        <v>81</v>
      </c>
      <c r="D43" s="12"/>
      <c r="E43" s="12" t="s">
        <v>194</v>
      </c>
      <c r="F43" s="12" t="s">
        <v>195</v>
      </c>
      <c r="G43" s="12" t="s">
        <v>99</v>
      </c>
      <c r="H43" s="12">
        <v>1</v>
      </c>
      <c r="I43" s="12" t="s">
        <v>23</v>
      </c>
      <c r="J43" s="11">
        <v>46188.556851851848</v>
      </c>
      <c r="K43" s="11">
        <v>46188.556851851848</v>
      </c>
      <c r="L43" s="12" t="s">
        <v>212</v>
      </c>
    </row>
    <row r="44" spans="1:12" ht="29" x14ac:dyDescent="0.35">
      <c r="A44" s="12" t="s">
        <v>213</v>
      </c>
      <c r="B44" s="12" t="s">
        <v>214</v>
      </c>
      <c r="C44" s="12" t="s">
        <v>81</v>
      </c>
      <c r="D44" s="12"/>
      <c r="E44" s="12" t="s">
        <v>194</v>
      </c>
      <c r="F44" s="12" t="s">
        <v>195</v>
      </c>
      <c r="G44" s="12" t="s">
        <v>197</v>
      </c>
      <c r="H44" s="12">
        <v>1</v>
      </c>
      <c r="I44" s="12" t="s">
        <v>27</v>
      </c>
      <c r="J44" s="11">
        <v>46188.556851851848</v>
      </c>
      <c r="K44" s="11">
        <v>46188.556851851848</v>
      </c>
      <c r="L44" s="12" t="s">
        <v>216</v>
      </c>
    </row>
    <row r="45" spans="1:12" ht="29" x14ac:dyDescent="0.35">
      <c r="A45" s="12" t="s">
        <v>217</v>
      </c>
      <c r="B45" s="12" t="s">
        <v>218</v>
      </c>
      <c r="C45" s="12" t="s">
        <v>81</v>
      </c>
      <c r="D45" s="12"/>
      <c r="E45" s="12" t="s">
        <v>194</v>
      </c>
      <c r="F45" s="12" t="s">
        <v>195</v>
      </c>
      <c r="G45" s="12" t="s">
        <v>197</v>
      </c>
      <c r="H45" s="12">
        <v>1</v>
      </c>
      <c r="I45" s="12" t="s">
        <v>27</v>
      </c>
      <c r="J45" s="11">
        <v>46188.556851851848</v>
      </c>
      <c r="K45" s="11">
        <v>46188.556851851848</v>
      </c>
      <c r="L45" s="12" t="s">
        <v>219</v>
      </c>
    </row>
    <row r="46" spans="1:12" ht="29" x14ac:dyDescent="0.35">
      <c r="A46" s="12" t="s">
        <v>220</v>
      </c>
      <c r="B46" s="12" t="s">
        <v>221</v>
      </c>
      <c r="C46" s="12" t="s">
        <v>81</v>
      </c>
      <c r="D46" s="12"/>
      <c r="E46" s="12" t="s">
        <v>194</v>
      </c>
      <c r="F46" s="12" t="s">
        <v>195</v>
      </c>
      <c r="G46" s="12" t="s">
        <v>197</v>
      </c>
      <c r="H46" s="12">
        <v>1</v>
      </c>
      <c r="I46" s="12" t="s">
        <v>27</v>
      </c>
      <c r="J46" s="11">
        <v>46188.556851851848</v>
      </c>
      <c r="K46" s="11">
        <v>46188.556851851848</v>
      </c>
      <c r="L46" s="12" t="s">
        <v>222</v>
      </c>
    </row>
    <row r="47" spans="1:12" ht="29" x14ac:dyDescent="0.35">
      <c r="A47" s="12" t="s">
        <v>223</v>
      </c>
      <c r="B47" s="12" t="s">
        <v>224</v>
      </c>
      <c r="C47" s="12" t="s">
        <v>81</v>
      </c>
      <c r="D47" s="12"/>
      <c r="E47" s="12" t="s">
        <v>194</v>
      </c>
      <c r="F47" s="12" t="s">
        <v>195</v>
      </c>
      <c r="G47" s="12" t="s">
        <v>99</v>
      </c>
      <c r="H47" s="12">
        <v>1</v>
      </c>
      <c r="I47" s="12" t="s">
        <v>23</v>
      </c>
      <c r="J47" s="11">
        <v>46188.556851851848</v>
      </c>
      <c r="K47" s="11">
        <v>46188.556851851848</v>
      </c>
      <c r="L47" s="12" t="s">
        <v>225</v>
      </c>
    </row>
    <row r="48" spans="1:12" ht="29" x14ac:dyDescent="0.35">
      <c r="A48" s="12" t="s">
        <v>226</v>
      </c>
      <c r="B48" s="12" t="s">
        <v>227</v>
      </c>
      <c r="C48" s="12" t="s">
        <v>81</v>
      </c>
      <c r="D48" s="12"/>
      <c r="E48" s="12" t="s">
        <v>194</v>
      </c>
      <c r="F48" s="12" t="s">
        <v>228</v>
      </c>
      <c r="G48" s="12" t="s">
        <v>197</v>
      </c>
      <c r="H48" s="12">
        <v>1</v>
      </c>
      <c r="I48" s="12" t="s">
        <v>31</v>
      </c>
      <c r="J48" s="11">
        <v>46188.556851851848</v>
      </c>
      <c r="K48" s="11">
        <v>46188.556851851848</v>
      </c>
      <c r="L48" s="12" t="s">
        <v>232</v>
      </c>
    </row>
    <row r="49" spans="1:12" ht="29" x14ac:dyDescent="0.35">
      <c r="A49" s="12" t="s">
        <v>94</v>
      </c>
      <c r="B49" s="12" t="s">
        <v>95</v>
      </c>
      <c r="C49" s="12" t="s">
        <v>81</v>
      </c>
      <c r="D49" s="12"/>
      <c r="E49" s="12" t="s">
        <v>96</v>
      </c>
      <c r="F49" s="12" t="s">
        <v>97</v>
      </c>
      <c r="G49" s="12" t="s">
        <v>99</v>
      </c>
      <c r="H49" s="12">
        <v>1</v>
      </c>
      <c r="I49" s="12" t="s">
        <v>21</v>
      </c>
      <c r="J49" s="11">
        <v>46188.556851851848</v>
      </c>
      <c r="K49" s="11">
        <v>46188.556851851848</v>
      </c>
      <c r="L49" s="12" t="s">
        <v>102</v>
      </c>
    </row>
    <row r="50" spans="1:12" ht="29" x14ac:dyDescent="0.35">
      <c r="A50" s="12" t="s">
        <v>104</v>
      </c>
      <c r="B50" s="12" t="s">
        <v>105</v>
      </c>
      <c r="C50" s="12" t="s">
        <v>81</v>
      </c>
      <c r="D50" s="12"/>
      <c r="E50" s="12" t="s">
        <v>96</v>
      </c>
      <c r="F50" s="12" t="s">
        <v>97</v>
      </c>
      <c r="G50" s="12" t="s">
        <v>99</v>
      </c>
      <c r="H50" s="12">
        <v>1</v>
      </c>
      <c r="I50" s="12" t="s">
        <v>21</v>
      </c>
      <c r="J50" s="11">
        <v>46188.556851851848</v>
      </c>
      <c r="K50" s="11">
        <v>46188.556851851848</v>
      </c>
      <c r="L50" s="12" t="s">
        <v>107</v>
      </c>
    </row>
    <row r="51" spans="1:12" ht="29" x14ac:dyDescent="0.35">
      <c r="A51" s="12" t="s">
        <v>233</v>
      </c>
      <c r="B51" s="12" t="s">
        <v>234</v>
      </c>
      <c r="C51" s="12" t="s">
        <v>81</v>
      </c>
      <c r="D51" s="12"/>
      <c r="E51" s="12" t="s">
        <v>194</v>
      </c>
      <c r="F51" s="12" t="s">
        <v>228</v>
      </c>
      <c r="G51" s="12" t="s">
        <v>197</v>
      </c>
      <c r="H51" s="12">
        <v>1</v>
      </c>
      <c r="I51" s="12" t="s">
        <v>21</v>
      </c>
      <c r="J51" s="11">
        <v>46188.556851851848</v>
      </c>
      <c r="K51" s="11">
        <v>46188.556851851848</v>
      </c>
      <c r="L51" s="12" t="s">
        <v>236</v>
      </c>
    </row>
    <row r="52" spans="1:12" ht="29" x14ac:dyDescent="0.35">
      <c r="A52" s="12" t="s">
        <v>108</v>
      </c>
      <c r="B52" s="12" t="s">
        <v>109</v>
      </c>
      <c r="C52" s="12" t="s">
        <v>81</v>
      </c>
      <c r="D52" s="12"/>
      <c r="E52" s="12" t="s">
        <v>96</v>
      </c>
      <c r="F52" s="12" t="s">
        <v>97</v>
      </c>
      <c r="G52" s="12" t="s">
        <v>110</v>
      </c>
      <c r="H52" s="12">
        <v>1</v>
      </c>
      <c r="I52" s="12" t="s">
        <v>21</v>
      </c>
      <c r="J52" s="11">
        <v>46188.556851851848</v>
      </c>
      <c r="K52" s="11">
        <v>46188.556851851848</v>
      </c>
      <c r="L52" s="12" t="s">
        <v>112</v>
      </c>
    </row>
    <row r="53" spans="1:12" ht="29" x14ac:dyDescent="0.35">
      <c r="A53" s="12" t="s">
        <v>237</v>
      </c>
      <c r="B53" s="12" t="s">
        <v>238</v>
      </c>
      <c r="C53" s="12" t="s">
        <v>81</v>
      </c>
      <c r="D53" s="12"/>
      <c r="E53" s="12" t="s">
        <v>194</v>
      </c>
      <c r="F53" s="12" t="s">
        <v>195</v>
      </c>
      <c r="G53" s="12" t="s">
        <v>197</v>
      </c>
      <c r="H53" s="12">
        <v>1</v>
      </c>
      <c r="I53" s="12" t="s">
        <v>21</v>
      </c>
      <c r="J53" s="11">
        <v>46188.556851851848</v>
      </c>
      <c r="K53" s="11">
        <v>46188.556851851848</v>
      </c>
      <c r="L53" s="12" t="s">
        <v>240</v>
      </c>
    </row>
    <row r="54" spans="1:12" ht="29" x14ac:dyDescent="0.35">
      <c r="A54" s="12" t="s">
        <v>241</v>
      </c>
      <c r="B54" s="12" t="s">
        <v>242</v>
      </c>
      <c r="C54" s="12" t="s">
        <v>81</v>
      </c>
      <c r="D54" s="12"/>
      <c r="E54" s="12" t="s">
        <v>194</v>
      </c>
      <c r="F54" s="12" t="s">
        <v>195</v>
      </c>
      <c r="G54" s="12" t="s">
        <v>197</v>
      </c>
      <c r="H54" s="12">
        <v>1</v>
      </c>
      <c r="I54" s="12" t="s">
        <v>21</v>
      </c>
      <c r="J54" s="11">
        <v>46188.556851851848</v>
      </c>
      <c r="K54" s="11">
        <v>46188.556851851848</v>
      </c>
      <c r="L54" s="12" t="s">
        <v>243</v>
      </c>
    </row>
    <row r="55" spans="1:12" ht="29" x14ac:dyDescent="0.35">
      <c r="A55" s="12" t="s">
        <v>244</v>
      </c>
      <c r="B55" s="12" t="s">
        <v>245</v>
      </c>
      <c r="C55" s="12" t="s">
        <v>81</v>
      </c>
      <c r="D55" s="12"/>
      <c r="E55" s="12" t="s">
        <v>194</v>
      </c>
      <c r="F55" s="12" t="s">
        <v>195</v>
      </c>
      <c r="G55" s="12" t="s">
        <v>197</v>
      </c>
      <c r="H55" s="12">
        <v>1</v>
      </c>
      <c r="I55" s="12" t="s">
        <v>21</v>
      </c>
      <c r="J55" s="11">
        <v>46188.556851851848</v>
      </c>
      <c r="K55" s="11">
        <v>46188.556851851848</v>
      </c>
      <c r="L55" s="12" t="s">
        <v>246</v>
      </c>
    </row>
    <row r="56" spans="1:12" ht="29" x14ac:dyDescent="0.35">
      <c r="A56" s="12" t="s">
        <v>247</v>
      </c>
      <c r="B56" s="12" t="s">
        <v>248</v>
      </c>
      <c r="C56" s="12" t="s">
        <v>81</v>
      </c>
      <c r="D56" s="12"/>
      <c r="E56" s="12" t="s">
        <v>194</v>
      </c>
      <c r="F56" s="12" t="s">
        <v>195</v>
      </c>
      <c r="G56" s="12" t="s">
        <v>197</v>
      </c>
      <c r="H56" s="12">
        <v>1</v>
      </c>
      <c r="I56" s="12" t="s">
        <v>21</v>
      </c>
      <c r="J56" s="11">
        <v>46188.556851851848</v>
      </c>
      <c r="K56" s="11">
        <v>46188.556851851848</v>
      </c>
      <c r="L56" s="12" t="s">
        <v>249</v>
      </c>
    </row>
    <row r="57" spans="1:12" ht="29" x14ac:dyDescent="0.35">
      <c r="A57" s="12" t="s">
        <v>372</v>
      </c>
      <c r="B57" s="12" t="s">
        <v>373</v>
      </c>
      <c r="C57" s="12" t="s">
        <v>81</v>
      </c>
      <c r="D57" s="12" t="s">
        <v>347</v>
      </c>
      <c r="E57" s="12" t="s">
        <v>310</v>
      </c>
      <c r="F57" s="12" t="s">
        <v>305</v>
      </c>
      <c r="G57" s="12" t="s">
        <v>99</v>
      </c>
      <c r="H57" s="12">
        <v>1</v>
      </c>
      <c r="I57" s="12" t="s">
        <v>21</v>
      </c>
      <c r="J57" s="11">
        <v>46188.556851851848</v>
      </c>
      <c r="K57" s="11">
        <v>46188.556851851848</v>
      </c>
      <c r="L57" s="12" t="s">
        <v>375</v>
      </c>
    </row>
    <row r="58" spans="1:12" ht="29" x14ac:dyDescent="0.35">
      <c r="A58" s="12" t="s">
        <v>113</v>
      </c>
      <c r="B58" s="12" t="s">
        <v>114</v>
      </c>
      <c r="C58" s="12" t="s">
        <v>81</v>
      </c>
      <c r="D58" s="12"/>
      <c r="E58" s="12" t="s">
        <v>96</v>
      </c>
      <c r="F58" s="12" t="s">
        <v>97</v>
      </c>
      <c r="G58" s="12" t="s">
        <v>110</v>
      </c>
      <c r="H58" s="12">
        <v>1</v>
      </c>
      <c r="I58" s="12" t="s">
        <v>21</v>
      </c>
      <c r="J58" s="11">
        <v>46188.556851851848</v>
      </c>
      <c r="K58" s="11">
        <v>46188.556851851848</v>
      </c>
      <c r="L58" s="12" t="s">
        <v>116</v>
      </c>
    </row>
    <row r="59" spans="1:12" ht="29" x14ac:dyDescent="0.35">
      <c r="A59" s="12" t="s">
        <v>376</v>
      </c>
      <c r="B59" s="12" t="s">
        <v>377</v>
      </c>
      <c r="C59" s="12" t="s">
        <v>81</v>
      </c>
      <c r="D59" s="12" t="s">
        <v>347</v>
      </c>
      <c r="E59" s="12" t="s">
        <v>310</v>
      </c>
      <c r="F59" s="12" t="s">
        <v>228</v>
      </c>
      <c r="G59" s="12" t="s">
        <v>110</v>
      </c>
      <c r="H59" s="12">
        <v>1</v>
      </c>
      <c r="I59" s="12" t="s">
        <v>21</v>
      </c>
      <c r="J59" s="11">
        <v>46188.556851851848</v>
      </c>
      <c r="K59" s="11">
        <v>46188.556851851848</v>
      </c>
      <c r="L59" s="12" t="s">
        <v>379</v>
      </c>
    </row>
    <row r="60" spans="1:12" ht="29" x14ac:dyDescent="0.35">
      <c r="A60" s="12" t="s">
        <v>117</v>
      </c>
      <c r="B60" s="12" t="s">
        <v>118</v>
      </c>
      <c r="C60" s="12" t="s">
        <v>81</v>
      </c>
      <c r="D60" s="12"/>
      <c r="E60" s="12" t="s">
        <v>96</v>
      </c>
      <c r="F60" s="12" t="s">
        <v>97</v>
      </c>
      <c r="G60" s="12" t="s">
        <v>99</v>
      </c>
      <c r="H60" s="12">
        <v>1</v>
      </c>
      <c r="I60" s="12" t="s">
        <v>21</v>
      </c>
      <c r="J60" s="11">
        <v>46188.556851851848</v>
      </c>
      <c r="K60" s="11">
        <v>46188.556851851848</v>
      </c>
      <c r="L60" s="12" t="s">
        <v>120</v>
      </c>
    </row>
    <row r="61" spans="1:12" ht="29" x14ac:dyDescent="0.35">
      <c r="A61" s="12" t="s">
        <v>380</v>
      </c>
      <c r="B61" s="12" t="s">
        <v>381</v>
      </c>
      <c r="C61" s="12" t="s">
        <v>81</v>
      </c>
      <c r="D61" s="12" t="s">
        <v>347</v>
      </c>
      <c r="E61" s="12" t="s">
        <v>194</v>
      </c>
      <c r="F61" s="12" t="s">
        <v>228</v>
      </c>
      <c r="G61" s="12" t="s">
        <v>99</v>
      </c>
      <c r="H61" s="12">
        <v>1</v>
      </c>
      <c r="I61" s="12" t="s">
        <v>21</v>
      </c>
      <c r="J61" s="11">
        <v>46188.556851851848</v>
      </c>
      <c r="K61" s="11">
        <v>46188.556851851848</v>
      </c>
      <c r="L61" s="12" t="s">
        <v>383</v>
      </c>
    </row>
    <row r="62" spans="1:12" ht="29" x14ac:dyDescent="0.35">
      <c r="A62" s="12" t="s">
        <v>121</v>
      </c>
      <c r="B62" s="12" t="s">
        <v>122</v>
      </c>
      <c r="C62" s="12" t="s">
        <v>81</v>
      </c>
      <c r="D62" s="12"/>
      <c r="E62" s="12" t="s">
        <v>96</v>
      </c>
      <c r="F62" s="12" t="s">
        <v>97</v>
      </c>
      <c r="G62" s="12" t="s">
        <v>110</v>
      </c>
      <c r="H62" s="12">
        <v>1</v>
      </c>
      <c r="I62" s="12" t="s">
        <v>21</v>
      </c>
      <c r="J62" s="11">
        <v>46188.556851851848</v>
      </c>
      <c r="K62" s="11">
        <v>46188.556851851848</v>
      </c>
      <c r="L62" s="12" t="s">
        <v>124</v>
      </c>
    </row>
    <row r="63" spans="1:12" ht="29" x14ac:dyDescent="0.35">
      <c r="A63" s="12" t="s">
        <v>125</v>
      </c>
      <c r="B63" s="12" t="s">
        <v>126</v>
      </c>
      <c r="C63" s="12" t="s">
        <v>81</v>
      </c>
      <c r="D63" s="12"/>
      <c r="E63" s="12" t="s">
        <v>96</v>
      </c>
      <c r="F63" s="12" t="s">
        <v>97</v>
      </c>
      <c r="G63" s="12" t="s">
        <v>99</v>
      </c>
      <c r="H63" s="12">
        <v>1</v>
      </c>
      <c r="I63" s="12" t="s">
        <v>21</v>
      </c>
      <c r="J63" s="11">
        <v>46188.556851851848</v>
      </c>
      <c r="K63" s="11">
        <v>46188.556851851848</v>
      </c>
      <c r="L63" s="12" t="s">
        <v>128</v>
      </c>
    </row>
    <row r="64" spans="1:12" ht="29" x14ac:dyDescent="0.35">
      <c r="A64" s="12" t="s">
        <v>408</v>
      </c>
      <c r="B64" s="12" t="s">
        <v>409</v>
      </c>
      <c r="C64" s="12" t="s">
        <v>81</v>
      </c>
      <c r="D64" s="12" t="s">
        <v>347</v>
      </c>
      <c r="E64" s="12" t="s">
        <v>342</v>
      </c>
      <c r="F64" s="12" t="s">
        <v>228</v>
      </c>
      <c r="G64" s="12" t="s">
        <v>99</v>
      </c>
      <c r="H64" s="12">
        <v>1</v>
      </c>
      <c r="I64" s="12" t="s">
        <v>21</v>
      </c>
      <c r="J64" s="11">
        <v>46188.556851851848</v>
      </c>
      <c r="K64" s="11">
        <v>46188.556851851848</v>
      </c>
      <c r="L64" s="12" t="s">
        <v>411</v>
      </c>
    </row>
    <row r="65" spans="1:12" ht="29" x14ac:dyDescent="0.35">
      <c r="A65" s="12" t="s">
        <v>129</v>
      </c>
      <c r="B65" s="12" t="s">
        <v>130</v>
      </c>
      <c r="C65" s="12" t="s">
        <v>81</v>
      </c>
      <c r="D65" s="12"/>
      <c r="E65" s="12" t="s">
        <v>96</v>
      </c>
      <c r="F65" s="12" t="s">
        <v>97</v>
      </c>
      <c r="G65" s="12" t="s">
        <v>99</v>
      </c>
      <c r="H65" s="12">
        <v>1</v>
      </c>
      <c r="I65" s="12" t="s">
        <v>21</v>
      </c>
      <c r="J65" s="11">
        <v>46188.556851851848</v>
      </c>
      <c r="K65" s="11">
        <v>46188.556851851848</v>
      </c>
      <c r="L65" s="12" t="s">
        <v>132</v>
      </c>
    </row>
    <row r="66" spans="1:12" ht="29" x14ac:dyDescent="0.35">
      <c r="A66" s="12" t="s">
        <v>133</v>
      </c>
      <c r="B66" s="12" t="s">
        <v>134</v>
      </c>
      <c r="C66" s="12" t="s">
        <v>81</v>
      </c>
      <c r="D66" s="12"/>
      <c r="E66" s="12" t="s">
        <v>96</v>
      </c>
      <c r="F66" s="12" t="s">
        <v>97</v>
      </c>
      <c r="G66" s="12" t="s">
        <v>99</v>
      </c>
      <c r="H66" s="12">
        <v>1</v>
      </c>
      <c r="I66" s="12" t="s">
        <v>21</v>
      </c>
      <c r="J66" s="11">
        <v>46188.556851851848</v>
      </c>
      <c r="K66" s="11">
        <v>46188.556851851848</v>
      </c>
      <c r="L66" s="12" t="s">
        <v>136</v>
      </c>
    </row>
    <row r="67" spans="1:12" ht="29" x14ac:dyDescent="0.35">
      <c r="A67" s="12" t="s">
        <v>384</v>
      </c>
      <c r="B67" s="12" t="s">
        <v>385</v>
      </c>
      <c r="C67" s="12" t="s">
        <v>81</v>
      </c>
      <c r="D67" s="12" t="s">
        <v>347</v>
      </c>
      <c r="E67" s="12" t="s">
        <v>194</v>
      </c>
      <c r="F67" s="12" t="s">
        <v>228</v>
      </c>
      <c r="G67" s="12" t="s">
        <v>99</v>
      </c>
      <c r="H67" s="12">
        <v>1</v>
      </c>
      <c r="I67" s="12" t="s">
        <v>21</v>
      </c>
      <c r="J67" s="11">
        <v>46188.556851851848</v>
      </c>
      <c r="K67" s="11">
        <v>46188.556851851848</v>
      </c>
      <c r="L67" s="12" t="s">
        <v>387</v>
      </c>
    </row>
    <row r="68" spans="1:12" ht="29" x14ac:dyDescent="0.35">
      <c r="A68" s="12" t="s">
        <v>250</v>
      </c>
      <c r="B68" s="12" t="s">
        <v>251</v>
      </c>
      <c r="C68" s="12" t="s">
        <v>81</v>
      </c>
      <c r="D68" s="12"/>
      <c r="E68" s="12" t="s">
        <v>194</v>
      </c>
      <c r="F68" s="12" t="s">
        <v>228</v>
      </c>
      <c r="G68" s="12" t="s">
        <v>197</v>
      </c>
      <c r="H68" s="12">
        <v>1</v>
      </c>
      <c r="I68" s="12" t="s">
        <v>21</v>
      </c>
      <c r="J68" s="11">
        <v>46188.556851851848</v>
      </c>
      <c r="K68" s="11">
        <v>46188.556851851848</v>
      </c>
      <c r="L68" s="12" t="s">
        <v>253</v>
      </c>
    </row>
    <row r="69" spans="1:12" ht="29" x14ac:dyDescent="0.35">
      <c r="A69" s="12" t="s">
        <v>137</v>
      </c>
      <c r="B69" s="12" t="s">
        <v>138</v>
      </c>
      <c r="C69" s="12" t="s">
        <v>81</v>
      </c>
      <c r="D69" s="12"/>
      <c r="E69" s="12" t="s">
        <v>96</v>
      </c>
      <c r="F69" s="12" t="s">
        <v>97</v>
      </c>
      <c r="G69" s="12" t="s">
        <v>110</v>
      </c>
      <c r="H69" s="12">
        <v>1</v>
      </c>
      <c r="I69" s="12" t="s">
        <v>21</v>
      </c>
      <c r="J69" s="11">
        <v>46188.556851851848</v>
      </c>
      <c r="K69" s="11">
        <v>46188.556851851848</v>
      </c>
      <c r="L69" s="12" t="s">
        <v>140</v>
      </c>
    </row>
    <row r="70" spans="1:12" ht="29" x14ac:dyDescent="0.35">
      <c r="A70" s="12" t="s">
        <v>141</v>
      </c>
      <c r="B70" s="12" t="s">
        <v>142</v>
      </c>
      <c r="C70" s="12" t="s">
        <v>81</v>
      </c>
      <c r="D70" s="12"/>
      <c r="E70" s="12" t="s">
        <v>96</v>
      </c>
      <c r="F70" s="12" t="s">
        <v>97</v>
      </c>
      <c r="G70" s="12" t="s">
        <v>110</v>
      </c>
      <c r="H70" s="12">
        <v>1</v>
      </c>
      <c r="I70" s="12" t="s">
        <v>21</v>
      </c>
      <c r="J70" s="11">
        <v>46188.556851851848</v>
      </c>
      <c r="K70" s="11">
        <v>46188.556851851848</v>
      </c>
      <c r="L70" s="12" t="s">
        <v>144</v>
      </c>
    </row>
    <row r="71" spans="1:12" ht="29" x14ac:dyDescent="0.35">
      <c r="A71" s="12" t="s">
        <v>145</v>
      </c>
      <c r="B71" s="12" t="s">
        <v>146</v>
      </c>
      <c r="C71" s="12" t="s">
        <v>81</v>
      </c>
      <c r="D71" s="12"/>
      <c r="E71" s="12" t="s">
        <v>96</v>
      </c>
      <c r="F71" s="12" t="s">
        <v>97</v>
      </c>
      <c r="G71" s="12" t="s">
        <v>99</v>
      </c>
      <c r="H71" s="12">
        <v>1</v>
      </c>
      <c r="I71" s="12" t="s">
        <v>21</v>
      </c>
      <c r="J71" s="11">
        <v>46188.556851851848</v>
      </c>
      <c r="K71" s="11">
        <v>46188.556851851848</v>
      </c>
      <c r="L71" s="12" t="s">
        <v>148</v>
      </c>
    </row>
    <row r="72" spans="1:12" ht="29" x14ac:dyDescent="0.35">
      <c r="A72" s="12" t="s">
        <v>149</v>
      </c>
      <c r="B72" s="12" t="s">
        <v>150</v>
      </c>
      <c r="C72" s="12" t="s">
        <v>81</v>
      </c>
      <c r="D72" s="12"/>
      <c r="E72" s="12" t="s">
        <v>96</v>
      </c>
      <c r="F72" s="12" t="s">
        <v>97</v>
      </c>
      <c r="G72" s="12" t="s">
        <v>110</v>
      </c>
      <c r="H72" s="12">
        <v>1</v>
      </c>
      <c r="I72" s="12" t="s">
        <v>21</v>
      </c>
      <c r="J72" s="11">
        <v>46188.556851851848</v>
      </c>
      <c r="K72" s="11">
        <v>46188.556851851848</v>
      </c>
      <c r="L72" s="12" t="s">
        <v>152</v>
      </c>
    </row>
    <row r="73" spans="1:12" ht="29" x14ac:dyDescent="0.35">
      <c r="A73" s="12" t="s">
        <v>153</v>
      </c>
      <c r="B73" s="12" t="s">
        <v>154</v>
      </c>
      <c r="C73" s="12" t="s">
        <v>81</v>
      </c>
      <c r="D73" s="12"/>
      <c r="E73" s="12" t="s">
        <v>96</v>
      </c>
      <c r="F73" s="12" t="s">
        <v>97</v>
      </c>
      <c r="G73" s="12" t="s">
        <v>99</v>
      </c>
      <c r="H73" s="12">
        <v>1</v>
      </c>
      <c r="I73" s="12" t="s">
        <v>21</v>
      </c>
      <c r="J73" s="11">
        <v>46188.556851851848</v>
      </c>
      <c r="K73" s="11">
        <v>46188.556851851848</v>
      </c>
      <c r="L73" s="12" t="s">
        <v>155</v>
      </c>
    </row>
    <row r="74" spans="1:12" ht="29" x14ac:dyDescent="0.35">
      <c r="A74" s="12" t="s">
        <v>156</v>
      </c>
      <c r="B74" s="12" t="s">
        <v>157</v>
      </c>
      <c r="C74" s="12" t="s">
        <v>81</v>
      </c>
      <c r="D74" s="12"/>
      <c r="E74" s="12" t="s">
        <v>96</v>
      </c>
      <c r="F74" s="12" t="s">
        <v>97</v>
      </c>
      <c r="G74" s="12" t="s">
        <v>99</v>
      </c>
      <c r="H74" s="12">
        <v>1</v>
      </c>
      <c r="I74" s="12" t="s">
        <v>21</v>
      </c>
      <c r="J74" s="11">
        <v>46188.556851851848</v>
      </c>
      <c r="K74" s="11">
        <v>46188.556851851848</v>
      </c>
      <c r="L74" s="12" t="s">
        <v>159</v>
      </c>
    </row>
    <row r="75" spans="1:12" ht="29" x14ac:dyDescent="0.35">
      <c r="A75" s="12" t="s">
        <v>160</v>
      </c>
      <c r="B75" s="12" t="s">
        <v>161</v>
      </c>
      <c r="C75" s="12" t="s">
        <v>81</v>
      </c>
      <c r="D75" s="12"/>
      <c r="E75" s="12" t="s">
        <v>96</v>
      </c>
      <c r="F75" s="12" t="s">
        <v>97</v>
      </c>
      <c r="G75" s="12" t="s">
        <v>110</v>
      </c>
      <c r="H75" s="12">
        <v>1</v>
      </c>
      <c r="I75" s="12" t="s">
        <v>21</v>
      </c>
      <c r="J75" s="11">
        <v>46188.556851851848</v>
      </c>
      <c r="K75" s="11">
        <v>46188.556851851848</v>
      </c>
      <c r="L75" s="12" t="s">
        <v>163</v>
      </c>
    </row>
    <row r="76" spans="1:12" ht="29" x14ac:dyDescent="0.35">
      <c r="A76" s="12" t="s">
        <v>388</v>
      </c>
      <c r="B76" s="12" t="s">
        <v>389</v>
      </c>
      <c r="C76" s="12" t="s">
        <v>81</v>
      </c>
      <c r="D76" s="12" t="s">
        <v>347</v>
      </c>
      <c r="E76" s="12" t="s">
        <v>194</v>
      </c>
      <c r="F76" s="12" t="s">
        <v>228</v>
      </c>
      <c r="G76" s="12" t="s">
        <v>99</v>
      </c>
      <c r="H76" s="12">
        <v>1</v>
      </c>
      <c r="I76" s="12" t="s">
        <v>21</v>
      </c>
      <c r="J76" s="11">
        <v>46188.556851851848</v>
      </c>
      <c r="K76" s="11">
        <v>46188.556851851848</v>
      </c>
      <c r="L76" s="12" t="s">
        <v>391</v>
      </c>
    </row>
    <row r="77" spans="1:12" ht="29" x14ac:dyDescent="0.35">
      <c r="A77" s="12" t="s">
        <v>164</v>
      </c>
      <c r="B77" s="12" t="s">
        <v>165</v>
      </c>
      <c r="C77" s="12" t="s">
        <v>81</v>
      </c>
      <c r="D77" s="12"/>
      <c r="E77" s="12" t="s">
        <v>96</v>
      </c>
      <c r="F77" s="12" t="s">
        <v>97</v>
      </c>
      <c r="G77" s="12" t="s">
        <v>110</v>
      </c>
      <c r="H77" s="12">
        <v>1</v>
      </c>
      <c r="I77" s="12" t="s">
        <v>21</v>
      </c>
      <c r="J77" s="11">
        <v>46188.556851851848</v>
      </c>
      <c r="K77" s="11">
        <v>46188.556851851848</v>
      </c>
      <c r="L77" s="12" t="s">
        <v>167</v>
      </c>
    </row>
    <row r="78" spans="1:12" ht="29" x14ac:dyDescent="0.35">
      <c r="A78" s="12" t="s">
        <v>168</v>
      </c>
      <c r="B78" s="12" t="s">
        <v>169</v>
      </c>
      <c r="C78" s="12" t="s">
        <v>81</v>
      </c>
      <c r="D78" s="12"/>
      <c r="E78" s="12" t="s">
        <v>96</v>
      </c>
      <c r="F78" s="12" t="s">
        <v>97</v>
      </c>
      <c r="G78" s="12" t="s">
        <v>99</v>
      </c>
      <c r="H78" s="12">
        <v>1</v>
      </c>
      <c r="I78" s="12" t="s">
        <v>21</v>
      </c>
      <c r="J78" s="11">
        <v>46188.556851851848</v>
      </c>
      <c r="K78" s="11">
        <v>46188.556851851848</v>
      </c>
      <c r="L78" s="12" t="s">
        <v>171</v>
      </c>
    </row>
    <row r="79" spans="1:12" ht="29" x14ac:dyDescent="0.35">
      <c r="A79" s="12" t="s">
        <v>421</v>
      </c>
      <c r="B79" s="12" t="s">
        <v>422</v>
      </c>
      <c r="C79" s="12" t="s">
        <v>81</v>
      </c>
      <c r="D79" s="12" t="s">
        <v>77</v>
      </c>
      <c r="E79" s="12" t="s">
        <v>96</v>
      </c>
      <c r="F79" s="12" t="s">
        <v>79</v>
      </c>
      <c r="G79" s="12" t="s">
        <v>307</v>
      </c>
      <c r="H79" s="12">
        <v>1</v>
      </c>
      <c r="I79" s="12" t="s">
        <v>21</v>
      </c>
      <c r="J79" s="11">
        <v>46188.556851851848</v>
      </c>
      <c r="K79" s="11">
        <v>46188.556851851848</v>
      </c>
      <c r="L79" s="12" t="s">
        <v>424</v>
      </c>
    </row>
    <row r="80" spans="1:12" ht="29" x14ac:dyDescent="0.35">
      <c r="A80" s="12" t="s">
        <v>172</v>
      </c>
      <c r="B80" s="12" t="s">
        <v>173</v>
      </c>
      <c r="C80" s="12" t="s">
        <v>81</v>
      </c>
      <c r="D80" s="12"/>
      <c r="E80" s="12" t="s">
        <v>96</v>
      </c>
      <c r="F80" s="12" t="s">
        <v>97</v>
      </c>
      <c r="G80" s="12" t="s">
        <v>99</v>
      </c>
      <c r="H80" s="12">
        <v>1</v>
      </c>
      <c r="I80" s="12" t="s">
        <v>21</v>
      </c>
      <c r="J80" s="11">
        <v>46188.556851851848</v>
      </c>
      <c r="K80" s="11">
        <v>46188.556851851848</v>
      </c>
      <c r="L80" s="12" t="s">
        <v>175</v>
      </c>
    </row>
    <row r="81" spans="1:12" ht="29" x14ac:dyDescent="0.35">
      <c r="A81" s="12" t="s">
        <v>254</v>
      </c>
      <c r="B81" s="12" t="s">
        <v>255</v>
      </c>
      <c r="C81" s="12" t="s">
        <v>81</v>
      </c>
      <c r="D81" s="12"/>
      <c r="E81" s="12" t="s">
        <v>194</v>
      </c>
      <c r="F81" s="12" t="s">
        <v>228</v>
      </c>
      <c r="G81" s="12" t="s">
        <v>197</v>
      </c>
      <c r="H81" s="12">
        <v>1</v>
      </c>
      <c r="I81" s="12" t="s">
        <v>21</v>
      </c>
      <c r="J81" s="11">
        <v>46188.556851851848</v>
      </c>
      <c r="K81" s="11">
        <v>46188.556851851848</v>
      </c>
      <c r="L81" s="12" t="s">
        <v>257</v>
      </c>
    </row>
    <row r="82" spans="1:12" ht="29" x14ac:dyDescent="0.35">
      <c r="A82" s="12" t="s">
        <v>176</v>
      </c>
      <c r="B82" s="12" t="s">
        <v>177</v>
      </c>
      <c r="C82" s="12" t="s">
        <v>81</v>
      </c>
      <c r="D82" s="12"/>
      <c r="E82" s="12" t="s">
        <v>96</v>
      </c>
      <c r="F82" s="12" t="s">
        <v>97</v>
      </c>
      <c r="G82" s="12" t="s">
        <v>99</v>
      </c>
      <c r="H82" s="12">
        <v>1</v>
      </c>
      <c r="I82" s="12" t="s">
        <v>21</v>
      </c>
      <c r="J82" s="11">
        <v>46188.556851851848</v>
      </c>
      <c r="K82" s="11">
        <v>46188.556851851848</v>
      </c>
      <c r="L82" s="12" t="s">
        <v>179</v>
      </c>
    </row>
    <row r="83" spans="1:12" ht="29" x14ac:dyDescent="0.35">
      <c r="A83" s="12" t="s">
        <v>180</v>
      </c>
      <c r="B83" s="12" t="s">
        <v>181</v>
      </c>
      <c r="C83" s="12" t="s">
        <v>81</v>
      </c>
      <c r="D83" s="12"/>
      <c r="E83" s="12" t="s">
        <v>96</v>
      </c>
      <c r="F83" s="12" t="s">
        <v>97</v>
      </c>
      <c r="G83" s="12" t="s">
        <v>99</v>
      </c>
      <c r="H83" s="12">
        <v>1</v>
      </c>
      <c r="I83" s="12" t="s">
        <v>21</v>
      </c>
      <c r="J83" s="11">
        <v>46188.556851851848</v>
      </c>
      <c r="K83" s="11">
        <v>46188.556851851848</v>
      </c>
      <c r="L83" s="12" t="s">
        <v>183</v>
      </c>
    </row>
    <row r="84" spans="1:12" ht="29" x14ac:dyDescent="0.35">
      <c r="A84" s="12" t="s">
        <v>392</v>
      </c>
      <c r="B84" s="12" t="s">
        <v>393</v>
      </c>
      <c r="C84" s="12" t="s">
        <v>81</v>
      </c>
      <c r="D84" s="12" t="s">
        <v>347</v>
      </c>
      <c r="E84" s="12" t="s">
        <v>194</v>
      </c>
      <c r="F84" s="12" t="s">
        <v>228</v>
      </c>
      <c r="G84" s="12" t="s">
        <v>99</v>
      </c>
      <c r="H84" s="12">
        <v>1</v>
      </c>
      <c r="I84" s="12" t="s">
        <v>21</v>
      </c>
      <c r="J84" s="11">
        <v>46188.556851851848</v>
      </c>
      <c r="K84" s="11">
        <v>46188.556851851848</v>
      </c>
      <c r="L84" s="12" t="s">
        <v>395</v>
      </c>
    </row>
    <row r="85" spans="1:12" ht="29" x14ac:dyDescent="0.35">
      <c r="A85" s="12" t="s">
        <v>184</v>
      </c>
      <c r="B85" s="12" t="s">
        <v>185</v>
      </c>
      <c r="C85" s="12" t="s">
        <v>81</v>
      </c>
      <c r="D85" s="12"/>
      <c r="E85" s="12" t="s">
        <v>96</v>
      </c>
      <c r="F85" s="12" t="s">
        <v>97</v>
      </c>
      <c r="G85" s="12" t="s">
        <v>99</v>
      </c>
      <c r="H85" s="12">
        <v>1</v>
      </c>
      <c r="I85" s="12" t="s">
        <v>21</v>
      </c>
      <c r="J85" s="11">
        <v>46188.556851851848</v>
      </c>
      <c r="K85" s="11">
        <v>46188.556851851848</v>
      </c>
      <c r="L85" s="12" t="s">
        <v>187</v>
      </c>
    </row>
    <row r="86" spans="1:12" ht="29" x14ac:dyDescent="0.35">
      <c r="A86" s="12" t="s">
        <v>188</v>
      </c>
      <c r="B86" s="12" t="s">
        <v>189</v>
      </c>
      <c r="C86" s="12" t="s">
        <v>81</v>
      </c>
      <c r="D86" s="12"/>
      <c r="E86" s="12" t="s">
        <v>96</v>
      </c>
      <c r="F86" s="12" t="s">
        <v>97</v>
      </c>
      <c r="G86" s="12" t="s">
        <v>110</v>
      </c>
      <c r="H86" s="12">
        <v>1</v>
      </c>
      <c r="I86" s="12" t="s">
        <v>21</v>
      </c>
      <c r="J86" s="11">
        <v>46188.556851851848</v>
      </c>
      <c r="K86" s="11">
        <v>46188.556851851848</v>
      </c>
      <c r="L86" s="12" t="s">
        <v>191</v>
      </c>
    </row>
    <row r="87" spans="1:12" ht="29" x14ac:dyDescent="0.35">
      <c r="A87" s="12" t="s">
        <v>396</v>
      </c>
      <c r="B87" s="12" t="s">
        <v>397</v>
      </c>
      <c r="C87" s="12" t="s">
        <v>81</v>
      </c>
      <c r="D87" s="12" t="s">
        <v>347</v>
      </c>
      <c r="E87" s="12" t="s">
        <v>194</v>
      </c>
      <c r="F87" s="12" t="s">
        <v>228</v>
      </c>
      <c r="G87" s="12" t="s">
        <v>197</v>
      </c>
      <c r="H87" s="12">
        <v>1</v>
      </c>
      <c r="I87" s="12" t="s">
        <v>21</v>
      </c>
      <c r="J87" s="11">
        <v>46188.556851851848</v>
      </c>
      <c r="K87" s="11">
        <v>46188.556851851848</v>
      </c>
      <c r="L87" s="12" t="s">
        <v>399</v>
      </c>
    </row>
  </sheetData>
  <autoFilter ref="A1:L87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1" customWidth="1"/>
    <col min="2" max="2" width="21" customWidth="1"/>
    <col min="3" max="3" width="30" customWidth="1"/>
    <col min="4" max="4" width="31" customWidth="1"/>
    <col min="5" max="5" width="46" customWidth="1"/>
    <col min="6" max="7" width="11" customWidth="1"/>
  </cols>
  <sheetData>
    <row r="1" spans="1:7" x14ac:dyDescent="0.35">
      <c r="A1" s="13" t="s">
        <v>899</v>
      </c>
      <c r="B1" s="13" t="s">
        <v>900</v>
      </c>
      <c r="C1" s="13" t="s">
        <v>901</v>
      </c>
      <c r="D1" s="13" t="s">
        <v>902</v>
      </c>
      <c r="E1" s="13" t="s">
        <v>903</v>
      </c>
      <c r="F1" s="13" t="s">
        <v>904</v>
      </c>
      <c r="G1" s="13" t="s">
        <v>905</v>
      </c>
    </row>
    <row r="2" spans="1:7" ht="29" x14ac:dyDescent="0.35">
      <c r="A2" s="12">
        <v>1</v>
      </c>
      <c r="B2" s="11">
        <v>46178.648101851853</v>
      </c>
      <c r="C2" s="12" t="s">
        <v>906</v>
      </c>
      <c r="D2" s="12" t="s">
        <v>86</v>
      </c>
      <c r="E2" s="12" t="s">
        <v>907</v>
      </c>
      <c r="F2" s="12">
        <v>176</v>
      </c>
      <c r="G2" s="12"/>
    </row>
    <row r="3" spans="1:7" ht="29" x14ac:dyDescent="0.35">
      <c r="A3" s="12">
        <v>2</v>
      </c>
      <c r="B3" s="11">
        <v>46181.338217592587</v>
      </c>
      <c r="C3" s="12" t="s">
        <v>908</v>
      </c>
      <c r="D3" s="12" t="s">
        <v>87</v>
      </c>
      <c r="E3" s="12" t="s">
        <v>909</v>
      </c>
      <c r="F3" s="12">
        <v>176</v>
      </c>
      <c r="G3" s="12"/>
    </row>
    <row r="4" spans="1:7" ht="29" x14ac:dyDescent="0.35">
      <c r="A4" s="12">
        <v>3</v>
      </c>
      <c r="B4" s="11">
        <v>46188.556851851848</v>
      </c>
      <c r="C4" s="12" t="s">
        <v>910</v>
      </c>
      <c r="D4" s="12" t="s">
        <v>103</v>
      </c>
      <c r="E4" s="12" t="s">
        <v>911</v>
      </c>
      <c r="F4" s="12">
        <v>209</v>
      </c>
      <c r="G4" s="12"/>
    </row>
  </sheetData>
  <autoFilter ref="A1:G4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210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3" width="11" customWidth="1"/>
    <col min="4" max="4" width="46" customWidth="1"/>
    <col min="5" max="5" width="23" customWidth="1"/>
    <col min="6" max="7" width="18" customWidth="1"/>
    <col min="8" max="8" width="11" customWidth="1"/>
    <col min="9" max="9" width="24" customWidth="1"/>
    <col min="10" max="10" width="46" customWidth="1"/>
    <col min="11" max="12" width="21" customWidth="1"/>
    <col min="13" max="13" width="11" customWidth="1"/>
    <col min="14" max="14" width="21" customWidth="1"/>
    <col min="15" max="15" width="12" customWidth="1"/>
    <col min="16" max="16" width="42" customWidth="1"/>
    <col min="17" max="17" width="14" customWidth="1"/>
    <col min="18" max="18" width="16" customWidth="1"/>
    <col min="19" max="19" width="28" customWidth="1"/>
    <col min="20" max="20" width="46" customWidth="1"/>
  </cols>
  <sheetData>
    <row r="1" spans="1:20" x14ac:dyDescent="0.35">
      <c r="A1" s="13" t="s">
        <v>65</v>
      </c>
      <c r="B1" s="13" t="s">
        <v>56</v>
      </c>
      <c r="C1" s="13" t="s">
        <v>68</v>
      </c>
      <c r="D1" s="13" t="s">
        <v>22</v>
      </c>
      <c r="E1" s="13" t="s">
        <v>24</v>
      </c>
      <c r="F1" s="13" t="s">
        <v>25</v>
      </c>
      <c r="G1" s="13" t="s">
        <v>66</v>
      </c>
      <c r="H1" s="13" t="s">
        <v>69</v>
      </c>
      <c r="I1" s="13" t="s">
        <v>23</v>
      </c>
      <c r="J1" s="13" t="s">
        <v>31</v>
      </c>
      <c r="K1" s="13" t="s">
        <v>912</v>
      </c>
      <c r="L1" s="13" t="s">
        <v>913</v>
      </c>
      <c r="M1" s="13" t="s">
        <v>914</v>
      </c>
      <c r="N1" s="13" t="s">
        <v>915</v>
      </c>
      <c r="O1" s="13" t="s">
        <v>916</v>
      </c>
      <c r="P1" s="13" t="s">
        <v>917</v>
      </c>
      <c r="Q1" s="13" t="s">
        <v>28</v>
      </c>
      <c r="R1" s="13" t="s">
        <v>918</v>
      </c>
      <c r="S1" s="13" t="s">
        <v>27</v>
      </c>
      <c r="T1" s="13" t="s">
        <v>59</v>
      </c>
    </row>
    <row r="2" spans="1:20" ht="29" x14ac:dyDescent="0.35">
      <c r="A2" s="12" t="s">
        <v>919</v>
      </c>
      <c r="B2" s="12" t="s">
        <v>920</v>
      </c>
      <c r="C2" s="12" t="s">
        <v>81</v>
      </c>
      <c r="D2" s="12"/>
      <c r="E2" s="12" t="s">
        <v>338</v>
      </c>
      <c r="F2" s="12" t="s">
        <v>263</v>
      </c>
      <c r="G2" s="12" t="s">
        <v>314</v>
      </c>
      <c r="H2" s="12" t="s">
        <v>921</v>
      </c>
      <c r="I2" s="12" t="s">
        <v>922</v>
      </c>
      <c r="J2" s="12" t="s">
        <v>923</v>
      </c>
      <c r="K2" s="11">
        <v>45573.370729166672</v>
      </c>
      <c r="L2" s="11">
        <v>45833.337280092594</v>
      </c>
      <c r="M2" s="15">
        <v>615.19000000000005</v>
      </c>
      <c r="N2" s="15">
        <v>355.22</v>
      </c>
      <c r="O2" s="12" t="b">
        <v>1</v>
      </c>
      <c r="P2" s="12" t="s">
        <v>924</v>
      </c>
      <c r="Q2" s="12">
        <v>5</v>
      </c>
      <c r="R2" s="12">
        <v>0</v>
      </c>
      <c r="S2" s="12">
        <v>2</v>
      </c>
      <c r="T2" s="12" t="s">
        <v>925</v>
      </c>
    </row>
    <row r="3" spans="1:20" ht="29" x14ac:dyDescent="0.35">
      <c r="A3" s="12" t="s">
        <v>926</v>
      </c>
      <c r="B3" s="12" t="s">
        <v>927</v>
      </c>
      <c r="C3" s="12" t="s">
        <v>81</v>
      </c>
      <c r="D3" s="12" t="s">
        <v>77</v>
      </c>
      <c r="E3" s="12" t="s">
        <v>310</v>
      </c>
      <c r="F3" s="12" t="s">
        <v>402</v>
      </c>
      <c r="G3" s="12" t="s">
        <v>305</v>
      </c>
      <c r="H3" s="12" t="s">
        <v>324</v>
      </c>
      <c r="I3" s="12" t="s">
        <v>928</v>
      </c>
      <c r="J3" s="12" t="s">
        <v>929</v>
      </c>
      <c r="K3" s="11">
        <v>45754.418657407397</v>
      </c>
      <c r="L3" s="11">
        <v>46148.332928240743</v>
      </c>
      <c r="M3" s="15">
        <v>434.14</v>
      </c>
      <c r="N3" s="15">
        <v>40.22</v>
      </c>
      <c r="O3" s="12" t="b">
        <v>0</v>
      </c>
      <c r="P3" s="12" t="s">
        <v>930</v>
      </c>
      <c r="Q3" s="12">
        <v>8</v>
      </c>
      <c r="R3" s="12">
        <v>0</v>
      </c>
      <c r="S3" s="12">
        <v>1</v>
      </c>
      <c r="T3" s="12" t="s">
        <v>931</v>
      </c>
    </row>
    <row r="4" spans="1:20" ht="29" x14ac:dyDescent="0.35">
      <c r="A4" s="12" t="s">
        <v>932</v>
      </c>
      <c r="B4" s="12" t="s">
        <v>933</v>
      </c>
      <c r="C4" s="12" t="s">
        <v>81</v>
      </c>
      <c r="D4" s="12"/>
      <c r="E4" s="12" t="s">
        <v>96</v>
      </c>
      <c r="F4" s="12" t="s">
        <v>263</v>
      </c>
      <c r="G4" s="12" t="s">
        <v>314</v>
      </c>
      <c r="H4" s="12" t="s">
        <v>100</v>
      </c>
      <c r="I4" s="12" t="s">
        <v>99</v>
      </c>
      <c r="J4" s="12" t="s">
        <v>934</v>
      </c>
      <c r="K4" s="11">
        <v>45756.823472222219</v>
      </c>
      <c r="L4" s="11">
        <v>45756.825775462959</v>
      </c>
      <c r="M4" s="15">
        <v>431.73</v>
      </c>
      <c r="N4" s="15">
        <v>431.73</v>
      </c>
      <c r="O4" s="12" t="b">
        <v>0</v>
      </c>
      <c r="P4" s="12" t="s">
        <v>930</v>
      </c>
      <c r="Q4" s="12">
        <v>4</v>
      </c>
      <c r="R4" s="12">
        <v>1</v>
      </c>
      <c r="S4" s="12">
        <v>1</v>
      </c>
      <c r="T4" s="12" t="s">
        <v>935</v>
      </c>
    </row>
    <row r="5" spans="1:20" ht="29" x14ac:dyDescent="0.35">
      <c r="A5" s="12" t="s">
        <v>936</v>
      </c>
      <c r="B5" s="12" t="s">
        <v>937</v>
      </c>
      <c r="C5" s="12" t="s">
        <v>81</v>
      </c>
      <c r="D5" s="12"/>
      <c r="E5" s="12" t="s">
        <v>96</v>
      </c>
      <c r="F5" s="12" t="s">
        <v>263</v>
      </c>
      <c r="G5" s="12" t="s">
        <v>79</v>
      </c>
      <c r="H5" s="12" t="s">
        <v>324</v>
      </c>
      <c r="I5" s="12" t="s">
        <v>82</v>
      </c>
      <c r="J5" s="12" t="s">
        <v>938</v>
      </c>
      <c r="K5" s="11">
        <v>45770.574224537027</v>
      </c>
      <c r="L5" s="11">
        <v>46078.397824074083</v>
      </c>
      <c r="M5" s="15">
        <v>417.98</v>
      </c>
      <c r="N5" s="15">
        <v>110.16</v>
      </c>
      <c r="O5" s="12" t="b">
        <v>1</v>
      </c>
      <c r="P5" s="12" t="s">
        <v>924</v>
      </c>
      <c r="Q5" s="12">
        <v>6</v>
      </c>
      <c r="R5" s="12">
        <v>0</v>
      </c>
      <c r="S5" s="12">
        <v>0</v>
      </c>
      <c r="T5" s="12" t="s">
        <v>939</v>
      </c>
    </row>
    <row r="6" spans="1:20" ht="29" x14ac:dyDescent="0.35">
      <c r="A6" s="12" t="s">
        <v>940</v>
      </c>
      <c r="B6" s="12" t="s">
        <v>941</v>
      </c>
      <c r="C6" s="12" t="s">
        <v>81</v>
      </c>
      <c r="D6" s="12"/>
      <c r="E6" s="12" t="s">
        <v>96</v>
      </c>
      <c r="F6" s="12" t="s">
        <v>263</v>
      </c>
      <c r="G6" s="12" t="s">
        <v>79</v>
      </c>
      <c r="H6" s="12" t="s">
        <v>83</v>
      </c>
      <c r="I6" s="12" t="s">
        <v>307</v>
      </c>
      <c r="J6" s="12" t="s">
        <v>942</v>
      </c>
      <c r="K6" s="11">
        <v>45804.498541666668</v>
      </c>
      <c r="L6" s="11">
        <v>46129.350636574083</v>
      </c>
      <c r="M6" s="15">
        <v>384.06</v>
      </c>
      <c r="N6" s="15">
        <v>59.21</v>
      </c>
      <c r="O6" s="12" t="b">
        <v>1</v>
      </c>
      <c r="P6" s="12" t="s">
        <v>924</v>
      </c>
      <c r="Q6" s="12">
        <v>7</v>
      </c>
      <c r="R6" s="12">
        <v>0</v>
      </c>
      <c r="S6" s="12">
        <v>0</v>
      </c>
      <c r="T6" s="12" t="s">
        <v>943</v>
      </c>
    </row>
    <row r="7" spans="1:20" ht="29" x14ac:dyDescent="0.35">
      <c r="A7" s="12" t="s">
        <v>944</v>
      </c>
      <c r="B7" s="12" t="s">
        <v>945</v>
      </c>
      <c r="C7" s="12" t="s">
        <v>81</v>
      </c>
      <c r="D7" s="12"/>
      <c r="E7" s="12" t="s">
        <v>96</v>
      </c>
      <c r="F7" s="12" t="s">
        <v>263</v>
      </c>
      <c r="G7" s="12" t="s">
        <v>314</v>
      </c>
      <c r="H7" s="12" t="s">
        <v>100</v>
      </c>
      <c r="I7" s="12" t="s">
        <v>922</v>
      </c>
      <c r="J7" s="12" t="s">
        <v>946</v>
      </c>
      <c r="K7" s="11">
        <v>45805.280902777777</v>
      </c>
      <c r="L7" s="11">
        <v>46127.347928240742</v>
      </c>
      <c r="M7" s="15">
        <v>383.28</v>
      </c>
      <c r="N7" s="15">
        <v>61.21</v>
      </c>
      <c r="O7" s="12" t="b">
        <v>1</v>
      </c>
      <c r="P7" s="12" t="s">
        <v>947</v>
      </c>
      <c r="Q7" s="12">
        <v>3</v>
      </c>
      <c r="R7" s="12">
        <v>0</v>
      </c>
      <c r="S7" s="12">
        <v>0</v>
      </c>
      <c r="T7" s="12" t="s">
        <v>948</v>
      </c>
    </row>
    <row r="8" spans="1:20" ht="29" x14ac:dyDescent="0.35">
      <c r="A8" s="12" t="s">
        <v>949</v>
      </c>
      <c r="B8" s="12" t="s">
        <v>950</v>
      </c>
      <c r="C8" s="12" t="s">
        <v>81</v>
      </c>
      <c r="D8" s="12"/>
      <c r="E8" s="12" t="s">
        <v>96</v>
      </c>
      <c r="F8" s="12" t="s">
        <v>263</v>
      </c>
      <c r="G8" s="12" t="s">
        <v>314</v>
      </c>
      <c r="H8" s="12" t="s">
        <v>100</v>
      </c>
      <c r="I8" s="12" t="s">
        <v>315</v>
      </c>
      <c r="J8" s="12" t="s">
        <v>951</v>
      </c>
      <c r="K8" s="11">
        <v>45805.285833333342</v>
      </c>
      <c r="L8" s="11">
        <v>46127.348599537043</v>
      </c>
      <c r="M8" s="15">
        <v>383.27</v>
      </c>
      <c r="N8" s="15">
        <v>61.21</v>
      </c>
      <c r="O8" s="12" t="b">
        <v>0</v>
      </c>
      <c r="P8" s="12" t="s">
        <v>930</v>
      </c>
      <c r="Q8" s="12">
        <v>2</v>
      </c>
      <c r="R8" s="12">
        <v>0</v>
      </c>
      <c r="S8" s="12">
        <v>0</v>
      </c>
      <c r="T8" s="12" t="s">
        <v>952</v>
      </c>
    </row>
    <row r="9" spans="1:20" ht="29" x14ac:dyDescent="0.35">
      <c r="A9" s="12" t="s">
        <v>953</v>
      </c>
      <c r="B9" s="12" t="s">
        <v>954</v>
      </c>
      <c r="C9" s="12" t="s">
        <v>81</v>
      </c>
      <c r="D9" s="12"/>
      <c r="E9" s="12" t="s">
        <v>348</v>
      </c>
      <c r="F9" s="12" t="s">
        <v>402</v>
      </c>
      <c r="G9" s="12" t="s">
        <v>314</v>
      </c>
      <c r="H9" s="12" t="s">
        <v>100</v>
      </c>
      <c r="I9" s="12" t="s">
        <v>82</v>
      </c>
      <c r="J9" s="12" t="s">
        <v>955</v>
      </c>
      <c r="K9" s="11">
        <v>45805.290763888886</v>
      </c>
      <c r="L9" s="11">
        <v>46092.383819444447</v>
      </c>
      <c r="M9" s="15">
        <v>383.27</v>
      </c>
      <c r="N9" s="15">
        <v>96.17</v>
      </c>
      <c r="O9" s="12" t="b">
        <v>0</v>
      </c>
      <c r="P9" s="12" t="s">
        <v>930</v>
      </c>
      <c r="Q9" s="12">
        <v>4</v>
      </c>
      <c r="R9" s="12">
        <v>1</v>
      </c>
      <c r="S9" s="12">
        <v>0</v>
      </c>
      <c r="T9" s="12" t="s">
        <v>956</v>
      </c>
    </row>
    <row r="10" spans="1:20" ht="29" x14ac:dyDescent="0.35">
      <c r="A10" s="12" t="s">
        <v>957</v>
      </c>
      <c r="B10" s="12" t="s">
        <v>958</v>
      </c>
      <c r="C10" s="12" t="s">
        <v>81</v>
      </c>
      <c r="D10" s="12"/>
      <c r="E10" s="12" t="s">
        <v>96</v>
      </c>
      <c r="F10" s="12" t="s">
        <v>263</v>
      </c>
      <c r="G10" s="12" t="s">
        <v>314</v>
      </c>
      <c r="H10" s="12" t="s">
        <v>100</v>
      </c>
      <c r="I10" s="12" t="s">
        <v>922</v>
      </c>
      <c r="J10" s="12" t="s">
        <v>959</v>
      </c>
      <c r="K10" s="11">
        <v>45805.353692129633</v>
      </c>
      <c r="L10" s="11">
        <v>46127.348171296297</v>
      </c>
      <c r="M10" s="15">
        <v>383.2</v>
      </c>
      <c r="N10" s="15">
        <v>61.21</v>
      </c>
      <c r="O10" s="12" t="b">
        <v>0</v>
      </c>
      <c r="P10" s="12" t="s">
        <v>930</v>
      </c>
      <c r="Q10" s="12">
        <v>0</v>
      </c>
      <c r="R10" s="12">
        <v>0</v>
      </c>
      <c r="S10" s="12">
        <v>0</v>
      </c>
      <c r="T10" s="12" t="s">
        <v>960</v>
      </c>
    </row>
    <row r="11" spans="1:20" ht="29" x14ac:dyDescent="0.35">
      <c r="A11" s="12" t="s">
        <v>412</v>
      </c>
      <c r="B11" s="12" t="s">
        <v>413</v>
      </c>
      <c r="C11" s="12" t="s">
        <v>81</v>
      </c>
      <c r="D11" s="12" t="s">
        <v>77</v>
      </c>
      <c r="E11" s="12" t="s">
        <v>96</v>
      </c>
      <c r="F11" s="12" t="s">
        <v>263</v>
      </c>
      <c r="G11" s="12" t="s">
        <v>305</v>
      </c>
      <c r="H11" s="12" t="s">
        <v>324</v>
      </c>
      <c r="I11" s="12" t="s">
        <v>307</v>
      </c>
      <c r="J11" s="12" t="s">
        <v>961</v>
      </c>
      <c r="K11" s="11">
        <v>45812.603425925918</v>
      </c>
      <c r="L11" s="11">
        <v>46182.372557870367</v>
      </c>
      <c r="M11" s="15">
        <v>375.95</v>
      </c>
      <c r="N11" s="15">
        <v>6.18</v>
      </c>
      <c r="O11" s="12" t="b">
        <v>1</v>
      </c>
      <c r="P11" s="12" t="s">
        <v>924</v>
      </c>
      <c r="Q11" s="12">
        <v>8</v>
      </c>
      <c r="R11" s="12">
        <v>0</v>
      </c>
      <c r="S11" s="12">
        <v>2</v>
      </c>
      <c r="T11" s="12" t="s">
        <v>414</v>
      </c>
    </row>
    <row r="12" spans="1:20" ht="29" x14ac:dyDescent="0.35">
      <c r="A12" s="12" t="s">
        <v>962</v>
      </c>
      <c r="B12" s="12" t="s">
        <v>963</v>
      </c>
      <c r="C12" s="12" t="s">
        <v>81</v>
      </c>
      <c r="D12" s="12"/>
      <c r="E12" s="12" t="s">
        <v>96</v>
      </c>
      <c r="F12" s="12" t="s">
        <v>263</v>
      </c>
      <c r="G12" s="12" t="s">
        <v>305</v>
      </c>
      <c r="H12" s="12" t="s">
        <v>100</v>
      </c>
      <c r="I12" s="12" t="s">
        <v>964</v>
      </c>
      <c r="J12" s="12" t="s">
        <v>965</v>
      </c>
      <c r="K12" s="11">
        <v>45833.500300925924</v>
      </c>
      <c r="L12" s="11">
        <v>45833.500335648147</v>
      </c>
      <c r="M12" s="15">
        <v>355.06</v>
      </c>
      <c r="N12" s="15">
        <v>355.06</v>
      </c>
      <c r="O12" s="12" t="b">
        <v>0</v>
      </c>
      <c r="P12" s="12" t="s">
        <v>930</v>
      </c>
      <c r="Q12" s="12">
        <v>0</v>
      </c>
      <c r="R12" s="12">
        <v>0</v>
      </c>
      <c r="S12" s="12">
        <v>0</v>
      </c>
      <c r="T12" s="12" t="s">
        <v>966</v>
      </c>
    </row>
    <row r="13" spans="1:20" ht="29" x14ac:dyDescent="0.35">
      <c r="A13" s="12" t="s">
        <v>445</v>
      </c>
      <c r="B13" s="12" t="s">
        <v>446</v>
      </c>
      <c r="C13" s="12" t="s">
        <v>81</v>
      </c>
      <c r="D13" s="12" t="s">
        <v>77</v>
      </c>
      <c r="E13" s="12" t="s">
        <v>447</v>
      </c>
      <c r="F13" s="12" t="s">
        <v>263</v>
      </c>
      <c r="G13" s="12" t="s">
        <v>314</v>
      </c>
      <c r="H13" s="12" t="s">
        <v>83</v>
      </c>
      <c r="I13" s="12" t="s">
        <v>82</v>
      </c>
      <c r="J13" s="12" t="s">
        <v>967</v>
      </c>
      <c r="K13" s="11">
        <v>45848.637129629627</v>
      </c>
      <c r="L13" s="11">
        <v>46182.372233796297</v>
      </c>
      <c r="M13" s="15">
        <v>339.92</v>
      </c>
      <c r="N13" s="15">
        <v>6.18</v>
      </c>
      <c r="O13" s="12" t="b">
        <v>1</v>
      </c>
      <c r="P13" s="12" t="s">
        <v>924</v>
      </c>
      <c r="Q13" s="12">
        <v>4</v>
      </c>
      <c r="R13" s="12">
        <v>0</v>
      </c>
      <c r="S13" s="12">
        <v>0</v>
      </c>
      <c r="T13" s="12" t="s">
        <v>448</v>
      </c>
    </row>
    <row r="14" spans="1:20" ht="43.5" x14ac:dyDescent="0.35">
      <c r="A14" s="12" t="s">
        <v>968</v>
      </c>
      <c r="B14" s="12" t="s">
        <v>969</v>
      </c>
      <c r="C14" s="12" t="s">
        <v>81</v>
      </c>
      <c r="D14" s="12" t="s">
        <v>453</v>
      </c>
      <c r="E14" s="12" t="s">
        <v>93</v>
      </c>
      <c r="F14" s="12" t="s">
        <v>402</v>
      </c>
      <c r="G14" s="12" t="s">
        <v>79</v>
      </c>
      <c r="H14" s="12" t="s">
        <v>324</v>
      </c>
      <c r="I14" s="12" t="s">
        <v>307</v>
      </c>
      <c r="J14" s="12" t="s">
        <v>970</v>
      </c>
      <c r="K14" s="11">
        <v>45849.570069444453</v>
      </c>
      <c r="L14" s="11">
        <v>46148.347453703696</v>
      </c>
      <c r="M14" s="15">
        <v>338.99</v>
      </c>
      <c r="N14" s="15">
        <v>40.21</v>
      </c>
      <c r="O14" s="12" t="b">
        <v>0</v>
      </c>
      <c r="P14" s="12" t="s">
        <v>930</v>
      </c>
      <c r="Q14" s="12">
        <v>4</v>
      </c>
      <c r="R14" s="12">
        <v>0</v>
      </c>
      <c r="S14" s="12">
        <v>1</v>
      </c>
      <c r="T14" s="12" t="s">
        <v>971</v>
      </c>
    </row>
    <row r="15" spans="1:20" ht="29" x14ac:dyDescent="0.35">
      <c r="A15" s="12" t="s">
        <v>345</v>
      </c>
      <c r="B15" s="12" t="s">
        <v>346</v>
      </c>
      <c r="C15" s="12" t="s">
        <v>81</v>
      </c>
      <c r="D15" s="12" t="s">
        <v>347</v>
      </c>
      <c r="E15" s="12" t="s">
        <v>348</v>
      </c>
      <c r="F15" s="12" t="s">
        <v>402</v>
      </c>
      <c r="G15" s="12" t="s">
        <v>79</v>
      </c>
      <c r="H15" s="12" t="s">
        <v>324</v>
      </c>
      <c r="I15" s="12" t="s">
        <v>349</v>
      </c>
      <c r="J15" s="12" t="s">
        <v>972</v>
      </c>
      <c r="K15" s="11">
        <v>45933.636863425927</v>
      </c>
      <c r="L15" s="11">
        <v>46182.37090277778</v>
      </c>
      <c r="M15" s="15">
        <v>254.92</v>
      </c>
      <c r="N15" s="15">
        <v>6.19</v>
      </c>
      <c r="O15" s="12" t="b">
        <v>1</v>
      </c>
      <c r="P15" s="12" t="s">
        <v>924</v>
      </c>
      <c r="Q15" s="12">
        <v>7</v>
      </c>
      <c r="R15" s="12">
        <v>1</v>
      </c>
      <c r="S15" s="12">
        <v>0</v>
      </c>
      <c r="T15" s="12" t="s">
        <v>350</v>
      </c>
    </row>
    <row r="16" spans="1:20" ht="29" x14ac:dyDescent="0.35">
      <c r="A16" s="12" t="s">
        <v>973</v>
      </c>
      <c r="B16" s="12" t="s">
        <v>974</v>
      </c>
      <c r="C16" s="12" t="s">
        <v>81</v>
      </c>
      <c r="D16" s="12"/>
      <c r="E16" s="12" t="s">
        <v>96</v>
      </c>
      <c r="F16" s="12" t="s">
        <v>263</v>
      </c>
      <c r="G16" s="12" t="s">
        <v>79</v>
      </c>
      <c r="H16" s="12" t="s">
        <v>83</v>
      </c>
      <c r="I16" s="12" t="s">
        <v>922</v>
      </c>
      <c r="J16" s="12" t="s">
        <v>975</v>
      </c>
      <c r="K16" s="11">
        <v>45937.491076388891</v>
      </c>
      <c r="L16" s="11">
        <v>45938.319212962961</v>
      </c>
      <c r="M16" s="15">
        <v>251.07</v>
      </c>
      <c r="N16" s="15">
        <v>250.24</v>
      </c>
      <c r="O16" s="12" t="b">
        <v>0</v>
      </c>
      <c r="P16" s="12" t="s">
        <v>930</v>
      </c>
      <c r="Q16" s="12">
        <v>0</v>
      </c>
      <c r="R16" s="12">
        <v>0</v>
      </c>
      <c r="S16" s="12">
        <v>0</v>
      </c>
      <c r="T16" s="12" t="s">
        <v>976</v>
      </c>
    </row>
    <row r="17" spans="1:20" ht="29" x14ac:dyDescent="0.35">
      <c r="A17" s="12" t="s">
        <v>977</v>
      </c>
      <c r="B17" s="12" t="s">
        <v>978</v>
      </c>
      <c r="C17" s="12" t="s">
        <v>81</v>
      </c>
      <c r="D17" s="12"/>
      <c r="E17" s="12" t="s">
        <v>96</v>
      </c>
      <c r="F17" s="12" t="s">
        <v>263</v>
      </c>
      <c r="G17" s="12" t="s">
        <v>79</v>
      </c>
      <c r="H17" s="12" t="s">
        <v>83</v>
      </c>
      <c r="I17" s="12" t="s">
        <v>922</v>
      </c>
      <c r="J17" s="12" t="s">
        <v>979</v>
      </c>
      <c r="K17" s="11">
        <v>45937.516631944447</v>
      </c>
      <c r="L17" s="11">
        <v>45938.326562499999</v>
      </c>
      <c r="M17" s="15">
        <v>251.04</v>
      </c>
      <c r="N17" s="15">
        <v>250.23</v>
      </c>
      <c r="O17" s="12" t="b">
        <v>0</v>
      </c>
      <c r="P17" s="12" t="s">
        <v>930</v>
      </c>
      <c r="Q17" s="12">
        <v>0</v>
      </c>
      <c r="R17" s="12">
        <v>0</v>
      </c>
      <c r="S17" s="12">
        <v>0</v>
      </c>
      <c r="T17" s="12" t="s">
        <v>980</v>
      </c>
    </row>
    <row r="18" spans="1:20" ht="29" x14ac:dyDescent="0.35">
      <c r="A18" s="12" t="s">
        <v>981</v>
      </c>
      <c r="B18" s="12" t="s">
        <v>982</v>
      </c>
      <c r="C18" s="12" t="s">
        <v>81</v>
      </c>
      <c r="D18" s="12"/>
      <c r="E18" s="12" t="s">
        <v>96</v>
      </c>
      <c r="F18" s="12" t="s">
        <v>263</v>
      </c>
      <c r="G18" s="12" t="s">
        <v>79</v>
      </c>
      <c r="H18" s="12" t="s">
        <v>83</v>
      </c>
      <c r="I18" s="12" t="s">
        <v>922</v>
      </c>
      <c r="J18" s="12" t="s">
        <v>983</v>
      </c>
      <c r="K18" s="11">
        <v>45937.517893518518</v>
      </c>
      <c r="L18" s="11">
        <v>45938.326284722221</v>
      </c>
      <c r="M18" s="15">
        <v>251.04</v>
      </c>
      <c r="N18" s="15">
        <v>250.23</v>
      </c>
      <c r="O18" s="12" t="b">
        <v>0</v>
      </c>
      <c r="P18" s="12" t="s">
        <v>930</v>
      </c>
      <c r="Q18" s="12">
        <v>0</v>
      </c>
      <c r="R18" s="12">
        <v>0</v>
      </c>
      <c r="S18" s="12">
        <v>0</v>
      </c>
      <c r="T18" s="12" t="s">
        <v>984</v>
      </c>
    </row>
    <row r="19" spans="1:20" ht="29" x14ac:dyDescent="0.35">
      <c r="A19" s="12" t="s">
        <v>985</v>
      </c>
      <c r="B19" s="12" t="s">
        <v>986</v>
      </c>
      <c r="C19" s="12" t="s">
        <v>81</v>
      </c>
      <c r="D19" s="12"/>
      <c r="E19" s="12" t="s">
        <v>96</v>
      </c>
      <c r="F19" s="12" t="s">
        <v>263</v>
      </c>
      <c r="G19" s="12" t="s">
        <v>79</v>
      </c>
      <c r="H19" s="12" t="s">
        <v>83</v>
      </c>
      <c r="I19" s="12" t="s">
        <v>922</v>
      </c>
      <c r="J19" s="12" t="s">
        <v>987</v>
      </c>
      <c r="K19" s="11">
        <v>45937.518750000003</v>
      </c>
      <c r="L19" s="11">
        <v>45938.324861111112</v>
      </c>
      <c r="M19" s="15">
        <v>251.04</v>
      </c>
      <c r="N19" s="15">
        <v>250.23</v>
      </c>
      <c r="O19" s="12" t="b">
        <v>0</v>
      </c>
      <c r="P19" s="12" t="s">
        <v>930</v>
      </c>
      <c r="Q19" s="12">
        <v>0</v>
      </c>
      <c r="R19" s="12">
        <v>0</v>
      </c>
      <c r="S19" s="12">
        <v>0</v>
      </c>
      <c r="T19" s="12" t="s">
        <v>988</v>
      </c>
    </row>
    <row r="20" spans="1:20" ht="29" x14ac:dyDescent="0.35">
      <c r="A20" s="12" t="s">
        <v>989</v>
      </c>
      <c r="B20" s="12" t="s">
        <v>990</v>
      </c>
      <c r="C20" s="12" t="s">
        <v>81</v>
      </c>
      <c r="D20" s="12"/>
      <c r="E20" s="12" t="s">
        <v>96</v>
      </c>
      <c r="F20" s="12" t="s">
        <v>263</v>
      </c>
      <c r="G20" s="12" t="s">
        <v>79</v>
      </c>
      <c r="H20" s="12" t="s">
        <v>83</v>
      </c>
      <c r="I20" s="12" t="s">
        <v>922</v>
      </c>
      <c r="J20" s="12" t="s">
        <v>991</v>
      </c>
      <c r="K20" s="11">
        <v>45937.51934027778</v>
      </c>
      <c r="L20" s="11">
        <v>45938.319594907407</v>
      </c>
      <c r="M20" s="15">
        <v>251.04</v>
      </c>
      <c r="N20" s="15">
        <v>250.24</v>
      </c>
      <c r="O20" s="12" t="b">
        <v>0</v>
      </c>
      <c r="P20" s="12" t="s">
        <v>930</v>
      </c>
      <c r="Q20" s="12">
        <v>0</v>
      </c>
      <c r="R20" s="12">
        <v>0</v>
      </c>
      <c r="S20" s="12">
        <v>0</v>
      </c>
      <c r="T20" s="12" t="s">
        <v>992</v>
      </c>
    </row>
    <row r="21" spans="1:20" ht="29" x14ac:dyDescent="0.35">
      <c r="A21" s="12" t="s">
        <v>993</v>
      </c>
      <c r="B21" s="12" t="s">
        <v>994</v>
      </c>
      <c r="C21" s="12" t="s">
        <v>81</v>
      </c>
      <c r="D21" s="12" t="s">
        <v>77</v>
      </c>
      <c r="E21" s="12" t="s">
        <v>93</v>
      </c>
      <c r="F21" s="12" t="s">
        <v>402</v>
      </c>
      <c r="G21" s="12" t="s">
        <v>79</v>
      </c>
      <c r="H21" s="12" t="s">
        <v>324</v>
      </c>
      <c r="I21" s="12" t="s">
        <v>307</v>
      </c>
      <c r="J21" s="12" t="s">
        <v>995</v>
      </c>
      <c r="K21" s="11">
        <v>45943.528379629628</v>
      </c>
      <c r="L21" s="11">
        <v>46178.403425925928</v>
      </c>
      <c r="M21" s="15">
        <v>245.03</v>
      </c>
      <c r="N21" s="15">
        <v>10.15</v>
      </c>
      <c r="O21" s="12" t="b">
        <v>0</v>
      </c>
      <c r="P21" s="12" t="s">
        <v>930</v>
      </c>
      <c r="Q21" s="12">
        <v>2</v>
      </c>
      <c r="R21" s="12">
        <v>0</v>
      </c>
      <c r="S21" s="12">
        <v>0</v>
      </c>
      <c r="T21" s="12" t="s">
        <v>996</v>
      </c>
    </row>
    <row r="22" spans="1:20" ht="29" x14ac:dyDescent="0.35">
      <c r="A22" s="12" t="s">
        <v>301</v>
      </c>
      <c r="B22" s="12" t="s">
        <v>302</v>
      </c>
      <c r="C22" s="12" t="s">
        <v>81</v>
      </c>
      <c r="D22" s="12" t="s">
        <v>303</v>
      </c>
      <c r="E22" s="12" t="s">
        <v>304</v>
      </c>
      <c r="F22" s="12" t="s">
        <v>402</v>
      </c>
      <c r="G22" s="12" t="s">
        <v>305</v>
      </c>
      <c r="H22" s="12" t="s">
        <v>100</v>
      </c>
      <c r="I22" s="12" t="s">
        <v>307</v>
      </c>
      <c r="J22" s="12" t="s">
        <v>997</v>
      </c>
      <c r="K22" s="11">
        <v>45957.56658564815</v>
      </c>
      <c r="L22" s="11">
        <v>46182.384837962964</v>
      </c>
      <c r="M22" s="15">
        <v>230.99</v>
      </c>
      <c r="N22" s="15">
        <v>6.17</v>
      </c>
      <c r="O22" s="12" t="b">
        <v>1</v>
      </c>
      <c r="P22" s="12" t="s">
        <v>924</v>
      </c>
      <c r="Q22" s="12">
        <v>0</v>
      </c>
      <c r="R22" s="12">
        <v>0</v>
      </c>
      <c r="S22" s="12">
        <v>0</v>
      </c>
      <c r="T22" s="12" t="s">
        <v>309</v>
      </c>
    </row>
    <row r="23" spans="1:20" ht="29" x14ac:dyDescent="0.35">
      <c r="A23" s="12" t="s">
        <v>998</v>
      </c>
      <c r="B23" s="12" t="s">
        <v>999</v>
      </c>
      <c r="C23" s="12" t="s">
        <v>81</v>
      </c>
      <c r="D23" s="12" t="s">
        <v>77</v>
      </c>
      <c r="E23" s="12" t="s">
        <v>96</v>
      </c>
      <c r="F23" s="12" t="s">
        <v>263</v>
      </c>
      <c r="G23" s="12" t="s">
        <v>79</v>
      </c>
      <c r="H23" s="12" t="s">
        <v>1000</v>
      </c>
      <c r="I23" s="12" t="s">
        <v>315</v>
      </c>
      <c r="J23" s="12" t="s">
        <v>1001</v>
      </c>
      <c r="K23" s="11">
        <v>45959.560636574082</v>
      </c>
      <c r="L23" s="11">
        <v>46175.413726851853</v>
      </c>
      <c r="M23" s="15">
        <v>229</v>
      </c>
      <c r="N23" s="15">
        <v>13.14</v>
      </c>
      <c r="O23" s="12" t="b">
        <v>1</v>
      </c>
      <c r="P23" s="12" t="s">
        <v>924</v>
      </c>
      <c r="Q23" s="12">
        <v>5</v>
      </c>
      <c r="R23" s="12">
        <v>0</v>
      </c>
      <c r="S23" s="12">
        <v>2</v>
      </c>
      <c r="T23" s="12" t="s">
        <v>1002</v>
      </c>
    </row>
    <row r="24" spans="1:20" ht="29" x14ac:dyDescent="0.35">
      <c r="A24" s="12" t="s">
        <v>311</v>
      </c>
      <c r="B24" s="12" t="s">
        <v>312</v>
      </c>
      <c r="C24" s="12" t="s">
        <v>81</v>
      </c>
      <c r="D24" s="12" t="s">
        <v>313</v>
      </c>
      <c r="E24" s="12" t="s">
        <v>93</v>
      </c>
      <c r="F24" s="12" t="s">
        <v>402</v>
      </c>
      <c r="G24" s="12" t="s">
        <v>314</v>
      </c>
      <c r="H24" s="12" t="s">
        <v>83</v>
      </c>
      <c r="I24" s="12" t="s">
        <v>315</v>
      </c>
      <c r="J24" s="12" t="s">
        <v>1003</v>
      </c>
      <c r="K24" s="11">
        <v>45960.691921296297</v>
      </c>
      <c r="L24" s="11">
        <v>46182.374085648153</v>
      </c>
      <c r="M24" s="15">
        <v>227.86</v>
      </c>
      <c r="N24" s="15">
        <v>6.18</v>
      </c>
      <c r="O24" s="12" t="b">
        <v>1</v>
      </c>
      <c r="P24" s="12" t="s">
        <v>924</v>
      </c>
      <c r="Q24" s="12">
        <v>1</v>
      </c>
      <c r="R24" s="12">
        <v>0</v>
      </c>
      <c r="S24" s="12">
        <v>1</v>
      </c>
      <c r="T24" s="12" t="s">
        <v>317</v>
      </c>
    </row>
    <row r="25" spans="1:20" ht="29" x14ac:dyDescent="0.35">
      <c r="A25" s="12" t="s">
        <v>318</v>
      </c>
      <c r="B25" s="12" t="s">
        <v>319</v>
      </c>
      <c r="C25" s="12" t="s">
        <v>81</v>
      </c>
      <c r="D25" s="12" t="s">
        <v>313</v>
      </c>
      <c r="E25" s="12" t="s">
        <v>93</v>
      </c>
      <c r="F25" s="12" t="s">
        <v>402</v>
      </c>
      <c r="G25" s="12" t="s">
        <v>79</v>
      </c>
      <c r="H25" s="12" t="s">
        <v>100</v>
      </c>
      <c r="I25" s="12" t="s">
        <v>84</v>
      </c>
      <c r="J25" s="12" t="s">
        <v>1004</v>
      </c>
      <c r="K25" s="11">
        <v>45987.293020833327</v>
      </c>
      <c r="L25" s="11">
        <v>46182.374097222222</v>
      </c>
      <c r="M25" s="15">
        <v>201.26</v>
      </c>
      <c r="N25" s="15">
        <v>6.18</v>
      </c>
      <c r="O25" s="12" t="b">
        <v>0</v>
      </c>
      <c r="P25" s="12" t="s">
        <v>930</v>
      </c>
      <c r="Q25" s="12">
        <v>3</v>
      </c>
      <c r="R25" s="12">
        <v>0</v>
      </c>
      <c r="S25" s="12">
        <v>0</v>
      </c>
      <c r="T25" s="12" t="s">
        <v>320</v>
      </c>
    </row>
    <row r="26" spans="1:20" ht="29" x14ac:dyDescent="0.35">
      <c r="A26" s="12" t="s">
        <v>1005</v>
      </c>
      <c r="B26" s="12" t="s">
        <v>1006</v>
      </c>
      <c r="C26" s="12" t="s">
        <v>81</v>
      </c>
      <c r="D26" s="12"/>
      <c r="E26" s="12" t="s">
        <v>96</v>
      </c>
      <c r="F26" s="12" t="s">
        <v>263</v>
      </c>
      <c r="G26" s="12" t="s">
        <v>79</v>
      </c>
      <c r="H26" s="12" t="s">
        <v>100</v>
      </c>
      <c r="I26" s="12" t="s">
        <v>99</v>
      </c>
      <c r="J26" s="12" t="s">
        <v>1007</v>
      </c>
      <c r="K26" s="11">
        <v>45989.369872685187</v>
      </c>
      <c r="L26" s="11">
        <v>45992.483483796299</v>
      </c>
      <c r="M26" s="15">
        <v>199.19</v>
      </c>
      <c r="N26" s="15">
        <v>196.07</v>
      </c>
      <c r="O26" s="12" t="b">
        <v>0</v>
      </c>
      <c r="P26" s="12" t="s">
        <v>930</v>
      </c>
      <c r="Q26" s="12">
        <v>0</v>
      </c>
      <c r="R26" s="12">
        <v>0</v>
      </c>
      <c r="S26" s="12">
        <v>0</v>
      </c>
      <c r="T26" s="12" t="s">
        <v>1008</v>
      </c>
    </row>
    <row r="27" spans="1:20" ht="29" x14ac:dyDescent="0.35">
      <c r="A27" s="12" t="s">
        <v>1009</v>
      </c>
      <c r="B27" s="12" t="s">
        <v>1010</v>
      </c>
      <c r="C27" s="12" t="s">
        <v>81</v>
      </c>
      <c r="D27" s="12"/>
      <c r="E27" s="12" t="s">
        <v>447</v>
      </c>
      <c r="F27" s="12" t="s">
        <v>263</v>
      </c>
      <c r="G27" s="12" t="s">
        <v>314</v>
      </c>
      <c r="H27" s="12" t="s">
        <v>83</v>
      </c>
      <c r="I27" s="12" t="s">
        <v>82</v>
      </c>
      <c r="J27" s="12" t="s">
        <v>1011</v>
      </c>
      <c r="K27" s="11">
        <v>46002.446770833332</v>
      </c>
      <c r="L27" s="11">
        <v>46090.402905092589</v>
      </c>
      <c r="M27" s="15">
        <v>186.11</v>
      </c>
      <c r="N27" s="15">
        <v>98.15</v>
      </c>
      <c r="O27" s="12" t="b">
        <v>1</v>
      </c>
      <c r="P27" s="12" t="s">
        <v>924</v>
      </c>
      <c r="Q27" s="12">
        <v>4</v>
      </c>
      <c r="R27" s="12">
        <v>1</v>
      </c>
      <c r="S27" s="12">
        <v>0</v>
      </c>
      <c r="T27" s="12" t="s">
        <v>1012</v>
      </c>
    </row>
    <row r="28" spans="1:20" ht="29" x14ac:dyDescent="0.35">
      <c r="A28" s="12" t="s">
        <v>1013</v>
      </c>
      <c r="B28" s="12" t="s">
        <v>1014</v>
      </c>
      <c r="C28" s="12" t="s">
        <v>81</v>
      </c>
      <c r="D28" s="12"/>
      <c r="E28" s="12" t="s">
        <v>96</v>
      </c>
      <c r="F28" s="12" t="s">
        <v>263</v>
      </c>
      <c r="G28" s="12" t="s">
        <v>79</v>
      </c>
      <c r="H28" s="12" t="s">
        <v>100</v>
      </c>
      <c r="I28" s="12" t="s">
        <v>197</v>
      </c>
      <c r="J28" s="12" t="s">
        <v>1015</v>
      </c>
      <c r="K28" s="11">
        <v>46002.458553240736</v>
      </c>
      <c r="L28" s="11">
        <v>46002.45857638889</v>
      </c>
      <c r="M28" s="15">
        <v>186.1</v>
      </c>
      <c r="N28" s="15">
        <v>186.1</v>
      </c>
      <c r="O28" s="12" t="b">
        <v>1</v>
      </c>
      <c r="P28" s="12" t="s">
        <v>924</v>
      </c>
      <c r="Q28" s="12">
        <v>0</v>
      </c>
      <c r="R28" s="12">
        <v>0</v>
      </c>
      <c r="S28" s="12">
        <v>0</v>
      </c>
      <c r="T28" s="12" t="s">
        <v>1016</v>
      </c>
    </row>
    <row r="29" spans="1:20" ht="29" x14ac:dyDescent="0.35">
      <c r="A29" s="12" t="s">
        <v>1017</v>
      </c>
      <c r="B29" s="12" t="s">
        <v>1018</v>
      </c>
      <c r="C29" s="12" t="s">
        <v>81</v>
      </c>
      <c r="D29" s="12" t="s">
        <v>1019</v>
      </c>
      <c r="E29" s="12" t="s">
        <v>194</v>
      </c>
      <c r="F29" s="12" t="s">
        <v>263</v>
      </c>
      <c r="G29" s="12" t="s">
        <v>228</v>
      </c>
      <c r="H29" s="12" t="s">
        <v>324</v>
      </c>
      <c r="I29" s="12" t="s">
        <v>110</v>
      </c>
      <c r="J29" s="12" t="s">
        <v>1020</v>
      </c>
      <c r="K29" s="11">
        <v>46006.429942129631</v>
      </c>
      <c r="L29" s="11">
        <v>46133.410844907397</v>
      </c>
      <c r="M29" s="15">
        <v>182.13</v>
      </c>
      <c r="N29" s="15">
        <v>55.15</v>
      </c>
      <c r="O29" s="12" t="b">
        <v>1</v>
      </c>
      <c r="P29" s="12" t="s">
        <v>924</v>
      </c>
      <c r="Q29" s="12">
        <v>10</v>
      </c>
      <c r="R29" s="12">
        <v>1</v>
      </c>
      <c r="S29" s="12">
        <v>1</v>
      </c>
      <c r="T29" s="12" t="s">
        <v>1021</v>
      </c>
    </row>
    <row r="30" spans="1:20" ht="29" x14ac:dyDescent="0.35">
      <c r="A30" s="12" t="s">
        <v>1022</v>
      </c>
      <c r="B30" s="12" t="s">
        <v>1023</v>
      </c>
      <c r="C30" s="12" t="s">
        <v>81</v>
      </c>
      <c r="D30" s="12"/>
      <c r="E30" s="12" t="s">
        <v>96</v>
      </c>
      <c r="F30" s="12" t="s">
        <v>263</v>
      </c>
      <c r="G30" s="12" t="s">
        <v>79</v>
      </c>
      <c r="H30" s="12" t="s">
        <v>921</v>
      </c>
      <c r="I30" s="12" t="s">
        <v>307</v>
      </c>
      <c r="J30" s="12" t="s">
        <v>1024</v>
      </c>
      <c r="K30" s="11">
        <v>46007.686574074083</v>
      </c>
      <c r="L30" s="11">
        <v>46078.412430555552</v>
      </c>
      <c r="M30" s="15">
        <v>180.87</v>
      </c>
      <c r="N30" s="15">
        <v>110.14</v>
      </c>
      <c r="O30" s="12" t="b">
        <v>0</v>
      </c>
      <c r="P30" s="12" t="s">
        <v>930</v>
      </c>
      <c r="Q30" s="12">
        <v>3</v>
      </c>
      <c r="R30" s="12">
        <v>1</v>
      </c>
      <c r="S30" s="12">
        <v>0</v>
      </c>
      <c r="T30" s="12" t="s">
        <v>1025</v>
      </c>
    </row>
    <row r="31" spans="1:20" ht="29" x14ac:dyDescent="0.35">
      <c r="A31" s="12" t="s">
        <v>1026</v>
      </c>
      <c r="B31" s="12" t="s">
        <v>1027</v>
      </c>
      <c r="C31" s="12" t="s">
        <v>81</v>
      </c>
      <c r="D31" s="12"/>
      <c r="E31" s="12" t="s">
        <v>96</v>
      </c>
      <c r="F31" s="12" t="s">
        <v>263</v>
      </c>
      <c r="G31" s="12" t="s">
        <v>79</v>
      </c>
      <c r="H31" s="12" t="s">
        <v>100</v>
      </c>
      <c r="I31" s="12" t="s">
        <v>307</v>
      </c>
      <c r="J31" s="12" t="s">
        <v>1028</v>
      </c>
      <c r="K31" s="11">
        <v>46007.68891203704</v>
      </c>
      <c r="L31" s="11">
        <v>46106.39335648148</v>
      </c>
      <c r="M31" s="15">
        <v>180.87</v>
      </c>
      <c r="N31" s="15">
        <v>82.16</v>
      </c>
      <c r="O31" s="12" t="b">
        <v>0</v>
      </c>
      <c r="P31" s="12" t="s">
        <v>930</v>
      </c>
      <c r="Q31" s="12">
        <v>1</v>
      </c>
      <c r="R31" s="12">
        <v>0</v>
      </c>
      <c r="S31" s="12">
        <v>0</v>
      </c>
      <c r="T31" s="12" t="s">
        <v>1029</v>
      </c>
    </row>
    <row r="32" spans="1:20" ht="29" x14ac:dyDescent="0.35">
      <c r="A32" s="12" t="s">
        <v>1030</v>
      </c>
      <c r="B32" s="12" t="s">
        <v>1031</v>
      </c>
      <c r="C32" s="12" t="s">
        <v>81</v>
      </c>
      <c r="D32" s="12"/>
      <c r="E32" s="12" t="s">
        <v>96</v>
      </c>
      <c r="F32" s="12" t="s">
        <v>263</v>
      </c>
      <c r="G32" s="12" t="s">
        <v>305</v>
      </c>
      <c r="H32" s="12" t="s">
        <v>100</v>
      </c>
      <c r="I32" s="12" t="s">
        <v>197</v>
      </c>
      <c r="J32" s="12" t="s">
        <v>1032</v>
      </c>
      <c r="K32" s="11">
        <v>46014.621631944443</v>
      </c>
      <c r="L32" s="11">
        <v>46014.621655092589</v>
      </c>
      <c r="M32" s="15">
        <v>173.94</v>
      </c>
      <c r="N32" s="15">
        <v>173.94</v>
      </c>
      <c r="O32" s="12" t="b">
        <v>0</v>
      </c>
      <c r="P32" s="12" t="s">
        <v>930</v>
      </c>
      <c r="Q32" s="12">
        <v>0</v>
      </c>
      <c r="R32" s="12">
        <v>0</v>
      </c>
      <c r="S32" s="12">
        <v>0</v>
      </c>
      <c r="T32" s="12" t="s">
        <v>1033</v>
      </c>
    </row>
    <row r="33" spans="1:20" ht="29" x14ac:dyDescent="0.35">
      <c r="A33" s="12" t="s">
        <v>1034</v>
      </c>
      <c r="B33" s="12" t="s">
        <v>1035</v>
      </c>
      <c r="C33" s="12" t="s">
        <v>81</v>
      </c>
      <c r="D33" s="12" t="s">
        <v>347</v>
      </c>
      <c r="E33" s="12" t="s">
        <v>342</v>
      </c>
      <c r="F33" s="12" t="s">
        <v>402</v>
      </c>
      <c r="G33" s="12" t="s">
        <v>228</v>
      </c>
      <c r="H33" s="12" t="s">
        <v>100</v>
      </c>
      <c r="I33" s="12" t="s">
        <v>99</v>
      </c>
      <c r="J33" s="12" t="s">
        <v>1036</v>
      </c>
      <c r="K33" s="11">
        <v>46030.528877314813</v>
      </c>
      <c r="L33" s="11">
        <v>46178.570613425924</v>
      </c>
      <c r="M33" s="15">
        <v>158.03</v>
      </c>
      <c r="N33" s="15">
        <v>9.99</v>
      </c>
      <c r="O33" s="12" t="b">
        <v>0</v>
      </c>
      <c r="P33" s="12" t="s">
        <v>930</v>
      </c>
      <c r="Q33" s="12">
        <v>3</v>
      </c>
      <c r="R33" s="12">
        <v>1</v>
      </c>
      <c r="S33" s="12">
        <v>0</v>
      </c>
      <c r="T33" s="12" t="s">
        <v>1037</v>
      </c>
    </row>
    <row r="34" spans="1:20" ht="29" x14ac:dyDescent="0.35">
      <c r="A34" s="12" t="s">
        <v>1038</v>
      </c>
      <c r="B34" s="12" t="s">
        <v>1039</v>
      </c>
      <c r="C34" s="12" t="s">
        <v>81</v>
      </c>
      <c r="D34" s="12"/>
      <c r="E34" s="12" t="s">
        <v>96</v>
      </c>
      <c r="F34" s="12" t="s">
        <v>263</v>
      </c>
      <c r="G34" s="12" t="s">
        <v>79</v>
      </c>
      <c r="H34" s="12" t="s">
        <v>921</v>
      </c>
      <c r="I34" s="12" t="s">
        <v>84</v>
      </c>
      <c r="J34" s="12" t="s">
        <v>1040</v>
      </c>
      <c r="K34" s="11">
        <v>46031.369837962957</v>
      </c>
      <c r="L34" s="11">
        <v>46031.36986111111</v>
      </c>
      <c r="M34" s="15">
        <v>157.19</v>
      </c>
      <c r="N34" s="15">
        <v>157.19</v>
      </c>
      <c r="O34" s="12" t="b">
        <v>0</v>
      </c>
      <c r="P34" s="12" t="s">
        <v>930</v>
      </c>
      <c r="Q34" s="12">
        <v>0</v>
      </c>
      <c r="R34" s="12">
        <v>0</v>
      </c>
      <c r="S34" s="12">
        <v>0</v>
      </c>
      <c r="T34" s="12" t="s">
        <v>1041</v>
      </c>
    </row>
    <row r="35" spans="1:20" ht="29" x14ac:dyDescent="0.35">
      <c r="A35" s="12" t="s">
        <v>336</v>
      </c>
      <c r="B35" s="12" t="s">
        <v>337</v>
      </c>
      <c r="C35" s="12" t="s">
        <v>81</v>
      </c>
      <c r="D35" s="12" t="s">
        <v>334</v>
      </c>
      <c r="E35" s="12" t="s">
        <v>338</v>
      </c>
      <c r="F35" s="12" t="s">
        <v>263</v>
      </c>
      <c r="G35" s="12" t="s">
        <v>314</v>
      </c>
      <c r="H35" s="12" t="s">
        <v>83</v>
      </c>
      <c r="I35" s="12" t="s">
        <v>307</v>
      </c>
      <c r="J35" s="12" t="s">
        <v>1042</v>
      </c>
      <c r="K35" s="11">
        <v>46031.654513888891</v>
      </c>
      <c r="L35" s="11">
        <v>46182.374108796299</v>
      </c>
      <c r="M35" s="15">
        <v>156.9</v>
      </c>
      <c r="N35" s="15">
        <v>6.18</v>
      </c>
      <c r="O35" s="12" t="b">
        <v>1</v>
      </c>
      <c r="P35" s="12" t="s">
        <v>924</v>
      </c>
      <c r="Q35" s="12">
        <v>2</v>
      </c>
      <c r="R35" s="12">
        <v>0</v>
      </c>
      <c r="S35" s="12">
        <v>0</v>
      </c>
      <c r="T35" s="12" t="s">
        <v>339</v>
      </c>
    </row>
    <row r="36" spans="1:20" ht="29" x14ac:dyDescent="0.35">
      <c r="A36" s="12" t="s">
        <v>1043</v>
      </c>
      <c r="B36" s="12" t="s">
        <v>1044</v>
      </c>
      <c r="C36" s="12" t="s">
        <v>81</v>
      </c>
      <c r="D36" s="12"/>
      <c r="E36" s="12" t="s">
        <v>96</v>
      </c>
      <c r="F36" s="12" t="s">
        <v>263</v>
      </c>
      <c r="G36" s="12" t="s">
        <v>1045</v>
      </c>
      <c r="H36" s="12" t="s">
        <v>100</v>
      </c>
      <c r="I36" s="12" t="s">
        <v>197</v>
      </c>
      <c r="J36" s="12" t="s">
        <v>1046</v>
      </c>
      <c r="K36" s="11">
        <v>46036.531145833331</v>
      </c>
      <c r="L36" s="11">
        <v>46037.597303240742</v>
      </c>
      <c r="M36" s="15">
        <v>152.03</v>
      </c>
      <c r="N36" s="15">
        <v>150.96</v>
      </c>
      <c r="O36" s="12" t="b">
        <v>0</v>
      </c>
      <c r="P36" s="12" t="s">
        <v>930</v>
      </c>
      <c r="Q36" s="12">
        <v>0</v>
      </c>
      <c r="R36" s="12">
        <v>0</v>
      </c>
      <c r="S36" s="12">
        <v>0</v>
      </c>
      <c r="T36" s="12" t="s">
        <v>1047</v>
      </c>
    </row>
    <row r="37" spans="1:20" ht="43.5" x14ac:dyDescent="0.35">
      <c r="A37" s="12" t="s">
        <v>425</v>
      </c>
      <c r="B37" s="12" t="s">
        <v>426</v>
      </c>
      <c r="C37" s="12" t="s">
        <v>81</v>
      </c>
      <c r="D37" s="12" t="s">
        <v>77</v>
      </c>
      <c r="E37" s="12" t="s">
        <v>310</v>
      </c>
      <c r="F37" s="12" t="s">
        <v>402</v>
      </c>
      <c r="G37" s="12" t="s">
        <v>228</v>
      </c>
      <c r="H37" s="12" t="s">
        <v>324</v>
      </c>
      <c r="I37" s="12" t="s">
        <v>84</v>
      </c>
      <c r="J37" s="12" t="s">
        <v>1048</v>
      </c>
      <c r="K37" s="11">
        <v>46037.462465277778</v>
      </c>
      <c r="L37" s="11">
        <v>46182.376087962963</v>
      </c>
      <c r="M37" s="15">
        <v>151.09</v>
      </c>
      <c r="N37" s="15">
        <v>6.18</v>
      </c>
      <c r="O37" s="12" t="b">
        <v>1</v>
      </c>
      <c r="P37" s="12" t="s">
        <v>924</v>
      </c>
      <c r="Q37" s="12">
        <v>7</v>
      </c>
      <c r="R37" s="12">
        <v>4</v>
      </c>
      <c r="S37" s="12">
        <v>0</v>
      </c>
      <c r="T37" s="12" t="s">
        <v>427</v>
      </c>
    </row>
    <row r="38" spans="1:20" ht="29" x14ac:dyDescent="0.35">
      <c r="A38" s="12" t="s">
        <v>1049</v>
      </c>
      <c r="B38" s="12" t="s">
        <v>1050</v>
      </c>
      <c r="C38" s="12" t="s">
        <v>81</v>
      </c>
      <c r="D38" s="12" t="s">
        <v>77</v>
      </c>
      <c r="E38" s="12" t="s">
        <v>96</v>
      </c>
      <c r="F38" s="12" t="s">
        <v>263</v>
      </c>
      <c r="G38" s="12" t="s">
        <v>305</v>
      </c>
      <c r="H38" s="12" t="s">
        <v>100</v>
      </c>
      <c r="I38" s="12" t="s">
        <v>197</v>
      </c>
      <c r="J38" s="12" t="s">
        <v>1051</v>
      </c>
      <c r="K38" s="11">
        <v>46043.538715277777</v>
      </c>
      <c r="L38" s="11">
        <v>46113.355636574073</v>
      </c>
      <c r="M38" s="15">
        <v>145.02000000000001</v>
      </c>
      <c r="N38" s="15">
        <v>75.2</v>
      </c>
      <c r="O38" s="12" t="b">
        <v>0</v>
      </c>
      <c r="P38" s="12" t="s">
        <v>930</v>
      </c>
      <c r="Q38" s="12">
        <v>1</v>
      </c>
      <c r="R38" s="12">
        <v>1</v>
      </c>
      <c r="S38" s="12">
        <v>0</v>
      </c>
      <c r="T38" s="12" t="s">
        <v>1052</v>
      </c>
    </row>
    <row r="39" spans="1:20" ht="29" x14ac:dyDescent="0.35">
      <c r="A39" s="12" t="s">
        <v>1053</v>
      </c>
      <c r="B39" s="12" t="s">
        <v>1054</v>
      </c>
      <c r="C39" s="12" t="s">
        <v>81</v>
      </c>
      <c r="D39" s="12"/>
      <c r="E39" s="12" t="s">
        <v>447</v>
      </c>
      <c r="F39" s="12" t="s">
        <v>263</v>
      </c>
      <c r="G39" s="12" t="s">
        <v>79</v>
      </c>
      <c r="H39" s="12" t="s">
        <v>921</v>
      </c>
      <c r="I39" s="12" t="s">
        <v>99</v>
      </c>
      <c r="J39" s="12" t="s">
        <v>1055</v>
      </c>
      <c r="K39" s="11">
        <v>46050.360775462963</v>
      </c>
      <c r="L39" s="11">
        <v>46092.582789351851</v>
      </c>
      <c r="M39" s="15">
        <v>138.19999999999999</v>
      </c>
      <c r="N39" s="15">
        <v>95.97</v>
      </c>
      <c r="O39" s="12" t="b">
        <v>1</v>
      </c>
      <c r="P39" s="12" t="s">
        <v>924</v>
      </c>
      <c r="Q39" s="12">
        <v>0</v>
      </c>
      <c r="R39" s="12">
        <v>1</v>
      </c>
      <c r="S39" s="12">
        <v>1</v>
      </c>
      <c r="T39" s="12" t="s">
        <v>1056</v>
      </c>
    </row>
    <row r="40" spans="1:20" ht="29" x14ac:dyDescent="0.35">
      <c r="A40" s="12" t="s">
        <v>449</v>
      </c>
      <c r="B40" s="12" t="s">
        <v>450</v>
      </c>
      <c r="C40" s="12" t="s">
        <v>81</v>
      </c>
      <c r="D40" s="12" t="s">
        <v>451</v>
      </c>
      <c r="E40" s="12" t="s">
        <v>96</v>
      </c>
      <c r="F40" s="12" t="s">
        <v>263</v>
      </c>
      <c r="G40" s="12" t="s">
        <v>79</v>
      </c>
      <c r="H40" s="12" t="s">
        <v>100</v>
      </c>
      <c r="I40" s="12" t="s">
        <v>307</v>
      </c>
      <c r="J40" s="12" t="s">
        <v>1057</v>
      </c>
      <c r="K40" s="11">
        <v>46070.43891203704</v>
      </c>
      <c r="L40" s="11">
        <v>46182.372754629629</v>
      </c>
      <c r="M40" s="15">
        <v>118.12</v>
      </c>
      <c r="N40" s="15">
        <v>6.18</v>
      </c>
      <c r="O40" s="12" t="b">
        <v>0</v>
      </c>
      <c r="P40" s="12" t="s">
        <v>930</v>
      </c>
      <c r="Q40" s="12">
        <v>3</v>
      </c>
      <c r="R40" s="12">
        <v>0</v>
      </c>
      <c r="S40" s="12">
        <v>0</v>
      </c>
      <c r="T40" s="12" t="s">
        <v>452</v>
      </c>
    </row>
    <row r="41" spans="1:20" ht="43.5" x14ac:dyDescent="0.35">
      <c r="A41" s="12" t="s">
        <v>1058</v>
      </c>
      <c r="B41" s="12" t="s">
        <v>1059</v>
      </c>
      <c r="C41" s="12" t="s">
        <v>81</v>
      </c>
      <c r="D41" s="12"/>
      <c r="E41" s="12" t="s">
        <v>194</v>
      </c>
      <c r="F41" s="12" t="s">
        <v>263</v>
      </c>
      <c r="G41" s="12" t="s">
        <v>228</v>
      </c>
      <c r="H41" s="12" t="s">
        <v>100</v>
      </c>
      <c r="I41" s="12" t="s">
        <v>82</v>
      </c>
      <c r="J41" s="12" t="s">
        <v>1060</v>
      </c>
      <c r="K41" s="11">
        <v>46071.481712962966</v>
      </c>
      <c r="L41" s="11">
        <v>46140.416145833333</v>
      </c>
      <c r="M41" s="15">
        <v>117.08</v>
      </c>
      <c r="N41" s="15">
        <v>48.14</v>
      </c>
      <c r="O41" s="12" t="b">
        <v>0</v>
      </c>
      <c r="P41" s="12" t="s">
        <v>930</v>
      </c>
      <c r="Q41" s="12">
        <v>0</v>
      </c>
      <c r="R41" s="12">
        <v>0</v>
      </c>
      <c r="S41" s="12">
        <v>0</v>
      </c>
      <c r="T41" s="12" t="s">
        <v>1061</v>
      </c>
    </row>
    <row r="42" spans="1:20" ht="29" x14ac:dyDescent="0.35">
      <c r="A42" s="12" t="s">
        <v>1062</v>
      </c>
      <c r="B42" s="12" t="s">
        <v>1063</v>
      </c>
      <c r="C42" s="12" t="s">
        <v>81</v>
      </c>
      <c r="D42" s="12" t="s">
        <v>77</v>
      </c>
      <c r="E42" s="12" t="s">
        <v>96</v>
      </c>
      <c r="F42" s="12" t="s">
        <v>263</v>
      </c>
      <c r="G42" s="12" t="s">
        <v>79</v>
      </c>
      <c r="H42" s="12" t="s">
        <v>100</v>
      </c>
      <c r="I42" s="12" t="s">
        <v>307</v>
      </c>
      <c r="J42" s="12" t="s">
        <v>1064</v>
      </c>
      <c r="K42" s="11">
        <v>46076.562175925923</v>
      </c>
      <c r="L42" s="11">
        <v>46106.382928240739</v>
      </c>
      <c r="M42" s="15">
        <v>111.99</v>
      </c>
      <c r="N42" s="15">
        <v>82.17</v>
      </c>
      <c r="O42" s="12" t="b">
        <v>0</v>
      </c>
      <c r="P42" s="12" t="s">
        <v>930</v>
      </c>
      <c r="Q42" s="12">
        <v>0</v>
      </c>
      <c r="R42" s="12">
        <v>0</v>
      </c>
      <c r="S42" s="12">
        <v>0</v>
      </c>
      <c r="T42" s="12" t="s">
        <v>1065</v>
      </c>
    </row>
    <row r="43" spans="1:20" ht="43.5" x14ac:dyDescent="0.35">
      <c r="A43" s="12" t="s">
        <v>1066</v>
      </c>
      <c r="B43" s="12" t="s">
        <v>1067</v>
      </c>
      <c r="C43" s="12" t="s">
        <v>81</v>
      </c>
      <c r="D43" s="12"/>
      <c r="E43" s="12" t="s">
        <v>194</v>
      </c>
      <c r="F43" s="12" t="s">
        <v>263</v>
      </c>
      <c r="G43" s="12" t="s">
        <v>228</v>
      </c>
      <c r="H43" s="12" t="s">
        <v>100</v>
      </c>
      <c r="I43" s="12" t="s">
        <v>110</v>
      </c>
      <c r="J43" s="12" t="s">
        <v>1068</v>
      </c>
      <c r="K43" s="11">
        <v>46076.646724537037</v>
      </c>
      <c r="L43" s="11">
        <v>46133.413124999999</v>
      </c>
      <c r="M43" s="15">
        <v>111.91</v>
      </c>
      <c r="N43" s="15">
        <v>55.14</v>
      </c>
      <c r="O43" s="12" t="b">
        <v>0</v>
      </c>
      <c r="P43" s="12" t="s">
        <v>930</v>
      </c>
      <c r="Q43" s="12">
        <v>0</v>
      </c>
      <c r="R43" s="12">
        <v>0</v>
      </c>
      <c r="S43" s="12">
        <v>0</v>
      </c>
      <c r="T43" s="12" t="s">
        <v>1069</v>
      </c>
    </row>
    <row r="44" spans="1:20" ht="29" x14ac:dyDescent="0.35">
      <c r="A44" s="12" t="s">
        <v>321</v>
      </c>
      <c r="B44" s="12" t="s">
        <v>322</v>
      </c>
      <c r="C44" s="12" t="s">
        <v>81</v>
      </c>
      <c r="D44" s="12" t="s">
        <v>323</v>
      </c>
      <c r="E44" s="12" t="s">
        <v>96</v>
      </c>
      <c r="F44" s="12" t="s">
        <v>263</v>
      </c>
      <c r="G44" s="12" t="s">
        <v>79</v>
      </c>
      <c r="H44" s="12" t="s">
        <v>324</v>
      </c>
      <c r="I44" s="12" t="s">
        <v>307</v>
      </c>
      <c r="J44" s="12" t="s">
        <v>1070</v>
      </c>
      <c r="K44" s="11">
        <v>46077.451886574083</v>
      </c>
      <c r="L44" s="11">
        <v>46182.372395833343</v>
      </c>
      <c r="M44" s="15">
        <v>111.1</v>
      </c>
      <c r="N44" s="15">
        <v>6.18</v>
      </c>
      <c r="O44" s="12" t="b">
        <v>0</v>
      </c>
      <c r="P44" s="12" t="s">
        <v>930</v>
      </c>
      <c r="Q44" s="12">
        <v>0</v>
      </c>
      <c r="R44" s="12">
        <v>3</v>
      </c>
      <c r="S44" s="12">
        <v>1</v>
      </c>
      <c r="T44" s="12" t="s">
        <v>325</v>
      </c>
    </row>
    <row r="45" spans="1:20" ht="29" x14ac:dyDescent="0.35">
      <c r="A45" s="12" t="s">
        <v>1071</v>
      </c>
      <c r="B45" s="12" t="s">
        <v>1072</v>
      </c>
      <c r="C45" s="12" t="s">
        <v>81</v>
      </c>
      <c r="D45" s="12" t="s">
        <v>77</v>
      </c>
      <c r="E45" s="12" t="s">
        <v>447</v>
      </c>
      <c r="F45" s="12" t="s">
        <v>263</v>
      </c>
      <c r="G45" s="12" t="s">
        <v>79</v>
      </c>
      <c r="H45" s="12" t="s">
        <v>324</v>
      </c>
      <c r="I45" s="12" t="s">
        <v>82</v>
      </c>
      <c r="J45" s="12" t="s">
        <v>1073</v>
      </c>
      <c r="K45" s="11">
        <v>46077.667604166672</v>
      </c>
      <c r="L45" s="11">
        <v>46146.619722222233</v>
      </c>
      <c r="M45" s="15">
        <v>110.89</v>
      </c>
      <c r="N45" s="15">
        <v>41.94</v>
      </c>
      <c r="O45" s="12" t="b">
        <v>1</v>
      </c>
      <c r="P45" s="12" t="s">
        <v>924</v>
      </c>
      <c r="Q45" s="12">
        <v>0</v>
      </c>
      <c r="R45" s="12">
        <v>2</v>
      </c>
      <c r="S45" s="12">
        <v>0</v>
      </c>
      <c r="T45" s="12" t="s">
        <v>1074</v>
      </c>
    </row>
    <row r="46" spans="1:20" ht="29" x14ac:dyDescent="0.35">
      <c r="A46" s="12" t="s">
        <v>1075</v>
      </c>
      <c r="B46" s="12" t="s">
        <v>1076</v>
      </c>
      <c r="C46" s="12" t="s">
        <v>81</v>
      </c>
      <c r="D46" s="12" t="s">
        <v>77</v>
      </c>
      <c r="E46" s="12" t="s">
        <v>96</v>
      </c>
      <c r="F46" s="12" t="s">
        <v>263</v>
      </c>
      <c r="G46" s="12" t="s">
        <v>79</v>
      </c>
      <c r="H46" s="12" t="s">
        <v>100</v>
      </c>
      <c r="I46" s="12" t="s">
        <v>84</v>
      </c>
      <c r="J46" s="12" t="s">
        <v>1077</v>
      </c>
      <c r="K46" s="11">
        <v>46077.715520833342</v>
      </c>
      <c r="L46" s="11">
        <v>46141.502800925933</v>
      </c>
      <c r="M46" s="15">
        <v>110.84</v>
      </c>
      <c r="N46" s="15">
        <v>47.05</v>
      </c>
      <c r="O46" s="12" t="b">
        <v>1</v>
      </c>
      <c r="P46" s="12" t="s">
        <v>947</v>
      </c>
      <c r="Q46" s="12">
        <v>0</v>
      </c>
      <c r="R46" s="12">
        <v>0</v>
      </c>
      <c r="S46" s="12">
        <v>0</v>
      </c>
      <c r="T46" s="12" t="s">
        <v>1078</v>
      </c>
    </row>
    <row r="47" spans="1:20" ht="29" x14ac:dyDescent="0.35">
      <c r="A47" s="12" t="s">
        <v>1079</v>
      </c>
      <c r="B47" s="12" t="s">
        <v>1080</v>
      </c>
      <c r="C47" s="12" t="s">
        <v>81</v>
      </c>
      <c r="D47" s="12" t="s">
        <v>77</v>
      </c>
      <c r="E47" s="12" t="s">
        <v>96</v>
      </c>
      <c r="F47" s="12" t="s">
        <v>263</v>
      </c>
      <c r="G47" s="12" t="s">
        <v>79</v>
      </c>
      <c r="H47" s="12" t="s">
        <v>100</v>
      </c>
      <c r="I47" s="12" t="s">
        <v>84</v>
      </c>
      <c r="J47" s="12" t="s">
        <v>1081</v>
      </c>
      <c r="K47" s="11">
        <v>46077.719467592593</v>
      </c>
      <c r="L47" s="11">
        <v>46141.502905092602</v>
      </c>
      <c r="M47" s="15">
        <v>110.84</v>
      </c>
      <c r="N47" s="15">
        <v>47.05</v>
      </c>
      <c r="O47" s="12" t="b">
        <v>1</v>
      </c>
      <c r="P47" s="12" t="s">
        <v>947</v>
      </c>
      <c r="Q47" s="12">
        <v>0</v>
      </c>
      <c r="R47" s="12">
        <v>0</v>
      </c>
      <c r="S47" s="12">
        <v>0</v>
      </c>
      <c r="T47" s="12" t="s">
        <v>1082</v>
      </c>
    </row>
    <row r="48" spans="1:20" ht="29" x14ac:dyDescent="0.35">
      <c r="A48" s="12" t="s">
        <v>1083</v>
      </c>
      <c r="B48" s="12" t="s">
        <v>1084</v>
      </c>
      <c r="C48" s="12" t="s">
        <v>81</v>
      </c>
      <c r="D48" s="12" t="s">
        <v>77</v>
      </c>
      <c r="E48" s="12" t="s">
        <v>96</v>
      </c>
      <c r="F48" s="12" t="s">
        <v>263</v>
      </c>
      <c r="G48" s="12" t="s">
        <v>79</v>
      </c>
      <c r="H48" s="12" t="s">
        <v>100</v>
      </c>
      <c r="I48" s="12" t="s">
        <v>307</v>
      </c>
      <c r="J48" s="12" t="s">
        <v>1085</v>
      </c>
      <c r="K48" s="11">
        <v>46078.459780092591</v>
      </c>
      <c r="L48" s="11">
        <v>46106.382581018523</v>
      </c>
      <c r="M48" s="15">
        <v>110.1</v>
      </c>
      <c r="N48" s="15">
        <v>82.17</v>
      </c>
      <c r="O48" s="12" t="b">
        <v>0</v>
      </c>
      <c r="P48" s="12" t="s">
        <v>930</v>
      </c>
      <c r="Q48" s="12">
        <v>1</v>
      </c>
      <c r="R48" s="12">
        <v>0</v>
      </c>
      <c r="S48" s="12">
        <v>0</v>
      </c>
      <c r="T48" s="12" t="s">
        <v>1086</v>
      </c>
    </row>
    <row r="49" spans="1:20" ht="29" x14ac:dyDescent="0.35">
      <c r="A49" s="12" t="s">
        <v>1087</v>
      </c>
      <c r="B49" s="12" t="s">
        <v>1088</v>
      </c>
      <c r="C49" s="12" t="s">
        <v>81</v>
      </c>
      <c r="D49" s="12"/>
      <c r="E49" s="12" t="s">
        <v>194</v>
      </c>
      <c r="F49" s="12" t="s">
        <v>263</v>
      </c>
      <c r="G49" s="12" t="s">
        <v>228</v>
      </c>
      <c r="H49" s="12" t="s">
        <v>921</v>
      </c>
      <c r="I49" s="12" t="s">
        <v>99</v>
      </c>
      <c r="J49" s="12" t="s">
        <v>1089</v>
      </c>
      <c r="K49" s="11">
        <v>46083.711180555547</v>
      </c>
      <c r="L49" s="11">
        <v>46174.638032407413</v>
      </c>
      <c r="M49" s="15">
        <v>104.85</v>
      </c>
      <c r="N49" s="15">
        <v>13.92</v>
      </c>
      <c r="O49" s="12" t="b">
        <v>0</v>
      </c>
      <c r="P49" s="12" t="s">
        <v>930</v>
      </c>
      <c r="Q49" s="12">
        <v>1</v>
      </c>
      <c r="R49" s="12">
        <v>4</v>
      </c>
      <c r="S49" s="12">
        <v>0</v>
      </c>
      <c r="T49" s="12" t="s">
        <v>1090</v>
      </c>
    </row>
    <row r="50" spans="1:20" ht="29" x14ac:dyDescent="0.35">
      <c r="A50" s="12" t="s">
        <v>332</v>
      </c>
      <c r="B50" s="12" t="s">
        <v>333</v>
      </c>
      <c r="C50" s="12" t="s">
        <v>81</v>
      </c>
      <c r="D50" s="12" t="s">
        <v>334</v>
      </c>
      <c r="E50" s="12" t="s">
        <v>93</v>
      </c>
      <c r="F50" s="12" t="s">
        <v>402</v>
      </c>
      <c r="G50" s="12" t="s">
        <v>79</v>
      </c>
      <c r="H50" s="12" t="s">
        <v>324</v>
      </c>
      <c r="I50" s="12" t="s">
        <v>197</v>
      </c>
      <c r="J50" s="12" t="s">
        <v>1091</v>
      </c>
      <c r="K50" s="11">
        <v>46084.446956018517</v>
      </c>
      <c r="L50" s="11">
        <v>46182.374120370368</v>
      </c>
      <c r="M50" s="15">
        <v>104.11</v>
      </c>
      <c r="N50" s="15">
        <v>6.18</v>
      </c>
      <c r="O50" s="12" t="b">
        <v>0</v>
      </c>
      <c r="P50" s="12" t="s">
        <v>930</v>
      </c>
      <c r="Q50" s="12">
        <v>0</v>
      </c>
      <c r="R50" s="12">
        <v>0</v>
      </c>
      <c r="S50" s="12">
        <v>0</v>
      </c>
      <c r="T50" s="12" t="s">
        <v>335</v>
      </c>
    </row>
    <row r="51" spans="1:20" ht="29" x14ac:dyDescent="0.35">
      <c r="A51" s="12" t="s">
        <v>1092</v>
      </c>
      <c r="B51" s="12" t="s">
        <v>1093</v>
      </c>
      <c r="C51" s="12" t="s">
        <v>81</v>
      </c>
      <c r="D51" s="12"/>
      <c r="E51" s="12" t="s">
        <v>96</v>
      </c>
      <c r="F51" s="12" t="s">
        <v>263</v>
      </c>
      <c r="G51" s="12" t="s">
        <v>79</v>
      </c>
      <c r="H51" s="12" t="s">
        <v>100</v>
      </c>
      <c r="I51" s="12" t="s">
        <v>315</v>
      </c>
      <c r="J51" s="12" t="s">
        <v>1094</v>
      </c>
      <c r="K51" s="11">
        <v>46091.19667824074</v>
      </c>
      <c r="L51" s="11">
        <v>46106.382175925923</v>
      </c>
      <c r="M51" s="15">
        <v>97.36</v>
      </c>
      <c r="N51" s="15">
        <v>82.17</v>
      </c>
      <c r="O51" s="12" t="b">
        <v>0</v>
      </c>
      <c r="P51" s="12" t="s">
        <v>930</v>
      </c>
      <c r="Q51" s="12">
        <v>1</v>
      </c>
      <c r="R51" s="12">
        <v>0</v>
      </c>
      <c r="S51" s="12">
        <v>0</v>
      </c>
      <c r="T51" s="12" t="s">
        <v>1095</v>
      </c>
    </row>
    <row r="52" spans="1:20" ht="29" x14ac:dyDescent="0.35">
      <c r="A52" s="12" t="s">
        <v>1096</v>
      </c>
      <c r="B52" s="12" t="s">
        <v>1097</v>
      </c>
      <c r="C52" s="12" t="s">
        <v>81</v>
      </c>
      <c r="D52" s="12" t="s">
        <v>77</v>
      </c>
      <c r="E52" s="12" t="s">
        <v>447</v>
      </c>
      <c r="F52" s="12" t="s">
        <v>263</v>
      </c>
      <c r="G52" s="12" t="s">
        <v>79</v>
      </c>
      <c r="H52" s="12" t="s">
        <v>324</v>
      </c>
      <c r="I52" s="12" t="s">
        <v>99</v>
      </c>
      <c r="J52" s="12" t="s">
        <v>1098</v>
      </c>
      <c r="K52" s="11">
        <v>46092.587222222217</v>
      </c>
      <c r="L52" s="11">
        <v>46141.501458333332</v>
      </c>
      <c r="M52" s="15">
        <v>95.97</v>
      </c>
      <c r="N52" s="15">
        <v>47.06</v>
      </c>
      <c r="O52" s="12" t="b">
        <v>1</v>
      </c>
      <c r="P52" s="12" t="s">
        <v>924</v>
      </c>
      <c r="Q52" s="12">
        <v>3</v>
      </c>
      <c r="R52" s="12">
        <v>1</v>
      </c>
      <c r="S52" s="12">
        <v>1</v>
      </c>
      <c r="T52" s="12" t="s">
        <v>1099</v>
      </c>
    </row>
    <row r="53" spans="1:20" ht="29" x14ac:dyDescent="0.35">
      <c r="A53" s="12" t="s">
        <v>415</v>
      </c>
      <c r="B53" s="12" t="s">
        <v>416</v>
      </c>
      <c r="C53" s="12" t="s">
        <v>81</v>
      </c>
      <c r="D53" s="12" t="s">
        <v>77</v>
      </c>
      <c r="E53" s="12" t="s">
        <v>96</v>
      </c>
      <c r="F53" s="12" t="s">
        <v>263</v>
      </c>
      <c r="G53" s="12" t="s">
        <v>79</v>
      </c>
      <c r="H53" s="12" t="s">
        <v>100</v>
      </c>
      <c r="I53" s="12" t="s">
        <v>315</v>
      </c>
      <c r="J53" s="12" t="s">
        <v>1100</v>
      </c>
      <c r="K53" s="11">
        <v>46092.662256944437</v>
      </c>
      <c r="L53" s="11">
        <v>46183.414282407408</v>
      </c>
      <c r="M53" s="15">
        <v>95.89</v>
      </c>
      <c r="N53" s="15">
        <v>5.14</v>
      </c>
      <c r="O53" s="12" t="b">
        <v>1</v>
      </c>
      <c r="P53" s="12" t="s">
        <v>924</v>
      </c>
      <c r="Q53" s="12">
        <v>8</v>
      </c>
      <c r="R53" s="12">
        <v>1</v>
      </c>
      <c r="S53" s="12">
        <v>0</v>
      </c>
      <c r="T53" s="12" t="s">
        <v>417</v>
      </c>
    </row>
    <row r="54" spans="1:20" ht="29" x14ac:dyDescent="0.35">
      <c r="A54" s="12" t="s">
        <v>1101</v>
      </c>
      <c r="B54" s="12" t="s">
        <v>1102</v>
      </c>
      <c r="C54" s="12" t="s">
        <v>81</v>
      </c>
      <c r="D54" s="12"/>
      <c r="E54" s="12" t="s">
        <v>194</v>
      </c>
      <c r="F54" s="12" t="s">
        <v>263</v>
      </c>
      <c r="G54" s="12" t="s">
        <v>228</v>
      </c>
      <c r="H54" s="12" t="s">
        <v>100</v>
      </c>
      <c r="I54" s="12" t="s">
        <v>110</v>
      </c>
      <c r="J54" s="12" t="s">
        <v>1103</v>
      </c>
      <c r="K54" s="11">
        <v>46100.383287037039</v>
      </c>
      <c r="L54" s="11">
        <v>46133.410925925928</v>
      </c>
      <c r="M54" s="15">
        <v>88.17</v>
      </c>
      <c r="N54" s="15">
        <v>55.15</v>
      </c>
      <c r="O54" s="12" t="b">
        <v>1</v>
      </c>
      <c r="P54" s="12" t="s">
        <v>924</v>
      </c>
      <c r="Q54" s="12">
        <v>0</v>
      </c>
      <c r="R54" s="12">
        <v>1</v>
      </c>
      <c r="S54" s="12">
        <v>0</v>
      </c>
      <c r="T54" s="12" t="s">
        <v>1104</v>
      </c>
    </row>
    <row r="55" spans="1:20" ht="29" x14ac:dyDescent="0.35">
      <c r="A55" s="12" t="s">
        <v>436</v>
      </c>
      <c r="B55" s="12" t="s">
        <v>437</v>
      </c>
      <c r="C55" s="12" t="s">
        <v>81</v>
      </c>
      <c r="D55" s="12" t="s">
        <v>77</v>
      </c>
      <c r="E55" s="12" t="s">
        <v>194</v>
      </c>
      <c r="F55" s="12" t="s">
        <v>263</v>
      </c>
      <c r="G55" s="12" t="s">
        <v>228</v>
      </c>
      <c r="H55" s="12" t="s">
        <v>83</v>
      </c>
      <c r="I55" s="12" t="s">
        <v>110</v>
      </c>
      <c r="J55" s="12" t="s">
        <v>1105</v>
      </c>
      <c r="K55" s="11">
        <v>46113.445034722223</v>
      </c>
      <c r="L55" s="11">
        <v>46183.528483796297</v>
      </c>
      <c r="M55" s="15">
        <v>75.11</v>
      </c>
      <c r="N55" s="15">
        <v>5.03</v>
      </c>
      <c r="O55" s="12" t="b">
        <v>0</v>
      </c>
      <c r="P55" s="12" t="s">
        <v>930</v>
      </c>
      <c r="Q55" s="12">
        <v>0</v>
      </c>
      <c r="R55" s="12">
        <v>1</v>
      </c>
      <c r="S55" s="12">
        <v>2</v>
      </c>
      <c r="T55" s="12" t="s">
        <v>438</v>
      </c>
    </row>
    <row r="56" spans="1:20" ht="29" x14ac:dyDescent="0.35">
      <c r="A56" s="12" t="s">
        <v>418</v>
      </c>
      <c r="B56" s="12" t="s">
        <v>419</v>
      </c>
      <c r="C56" s="12" t="s">
        <v>81</v>
      </c>
      <c r="D56" s="12" t="s">
        <v>77</v>
      </c>
      <c r="E56" s="12" t="s">
        <v>96</v>
      </c>
      <c r="F56" s="12" t="s">
        <v>263</v>
      </c>
      <c r="G56" s="12" t="s">
        <v>79</v>
      </c>
      <c r="H56" s="12" t="s">
        <v>324</v>
      </c>
      <c r="I56" s="12" t="s">
        <v>307</v>
      </c>
      <c r="J56" s="12" t="s">
        <v>1106</v>
      </c>
      <c r="K56" s="11">
        <v>46113.514733796299</v>
      </c>
      <c r="L56" s="11">
        <v>46182.373379629629</v>
      </c>
      <c r="M56" s="15">
        <v>75.040000000000006</v>
      </c>
      <c r="N56" s="15">
        <v>6.18</v>
      </c>
      <c r="O56" s="12" t="b">
        <v>0</v>
      </c>
      <c r="P56" s="12" t="s">
        <v>930</v>
      </c>
      <c r="Q56" s="12">
        <v>0</v>
      </c>
      <c r="R56" s="12">
        <v>0</v>
      </c>
      <c r="S56" s="12">
        <v>0</v>
      </c>
      <c r="T56" s="12" t="s">
        <v>420</v>
      </c>
    </row>
    <row r="57" spans="1:20" ht="29" x14ac:dyDescent="0.35">
      <c r="A57" s="12" t="s">
        <v>1107</v>
      </c>
      <c r="B57" s="12" t="s">
        <v>1108</v>
      </c>
      <c r="C57" s="12" t="s">
        <v>81</v>
      </c>
      <c r="D57" s="12"/>
      <c r="E57" s="12" t="s">
        <v>96</v>
      </c>
      <c r="F57" s="12" t="s">
        <v>263</v>
      </c>
      <c r="G57" s="12" t="s">
        <v>79</v>
      </c>
      <c r="H57" s="12" t="s">
        <v>100</v>
      </c>
      <c r="I57" s="12" t="s">
        <v>197</v>
      </c>
      <c r="J57" s="12" t="s">
        <v>1109</v>
      </c>
      <c r="K57" s="11">
        <v>46119.426550925928</v>
      </c>
      <c r="L57" s="11">
        <v>46119.426574074067</v>
      </c>
      <c r="M57" s="15">
        <v>69.13</v>
      </c>
      <c r="N57" s="15">
        <v>69.13</v>
      </c>
      <c r="O57" s="12" t="b">
        <v>0</v>
      </c>
      <c r="P57" s="12" t="s">
        <v>930</v>
      </c>
      <c r="Q57" s="12">
        <v>0</v>
      </c>
      <c r="R57" s="12">
        <v>0</v>
      </c>
      <c r="S57" s="12">
        <v>0</v>
      </c>
      <c r="T57" s="12" t="s">
        <v>1110</v>
      </c>
    </row>
    <row r="58" spans="1:20" ht="29" x14ac:dyDescent="0.35">
      <c r="A58" s="12" t="s">
        <v>439</v>
      </c>
      <c r="B58" s="12" t="s">
        <v>440</v>
      </c>
      <c r="C58" s="12" t="s">
        <v>81</v>
      </c>
      <c r="D58" s="12" t="s">
        <v>77</v>
      </c>
      <c r="E58" s="12" t="s">
        <v>194</v>
      </c>
      <c r="F58" s="12" t="s">
        <v>263</v>
      </c>
      <c r="G58" s="12" t="s">
        <v>228</v>
      </c>
      <c r="H58" s="12" t="s">
        <v>324</v>
      </c>
      <c r="I58" s="12" t="s">
        <v>110</v>
      </c>
      <c r="J58" s="12" t="s">
        <v>1111</v>
      </c>
      <c r="K58" s="11">
        <v>46121.434803240743</v>
      </c>
      <c r="L58" s="11">
        <v>46185.51326388889</v>
      </c>
      <c r="M58" s="15">
        <v>67.12</v>
      </c>
      <c r="N58" s="15">
        <v>3.04</v>
      </c>
      <c r="O58" s="12" t="b">
        <v>0</v>
      </c>
      <c r="P58" s="12" t="s">
        <v>930</v>
      </c>
      <c r="Q58" s="12">
        <v>1</v>
      </c>
      <c r="R58" s="12">
        <v>2</v>
      </c>
      <c r="S58" s="12">
        <v>0</v>
      </c>
      <c r="T58" s="12" t="s">
        <v>441</v>
      </c>
    </row>
    <row r="59" spans="1:20" ht="29" x14ac:dyDescent="0.35">
      <c r="A59" s="12" t="s">
        <v>1112</v>
      </c>
      <c r="B59" s="12" t="s">
        <v>1113</v>
      </c>
      <c r="C59" s="12" t="s">
        <v>81</v>
      </c>
      <c r="D59" s="12" t="s">
        <v>77</v>
      </c>
      <c r="E59" s="12" t="s">
        <v>447</v>
      </c>
      <c r="F59" s="12" t="s">
        <v>263</v>
      </c>
      <c r="G59" s="12" t="s">
        <v>79</v>
      </c>
      <c r="H59" s="12" t="s">
        <v>324</v>
      </c>
      <c r="I59" s="12" t="s">
        <v>99</v>
      </c>
      <c r="J59" s="12" t="s">
        <v>1114</v>
      </c>
      <c r="K59" s="11">
        <v>46125.317129629628</v>
      </c>
      <c r="L59" s="11">
        <v>46141.501574074071</v>
      </c>
      <c r="M59" s="15">
        <v>63.24</v>
      </c>
      <c r="N59" s="15">
        <v>47.06</v>
      </c>
      <c r="O59" s="12" t="b">
        <v>1</v>
      </c>
      <c r="P59" s="12" t="s">
        <v>924</v>
      </c>
      <c r="Q59" s="12">
        <v>0</v>
      </c>
      <c r="R59" s="12">
        <v>1</v>
      </c>
      <c r="S59" s="12">
        <v>0</v>
      </c>
      <c r="T59" s="12" t="s">
        <v>1115</v>
      </c>
    </row>
    <row r="60" spans="1:20" ht="29" x14ac:dyDescent="0.35">
      <c r="A60" s="12" t="s">
        <v>1116</v>
      </c>
      <c r="B60" s="12" t="s">
        <v>1117</v>
      </c>
      <c r="C60" s="12" t="s">
        <v>81</v>
      </c>
      <c r="D60" s="12" t="s">
        <v>77</v>
      </c>
      <c r="E60" s="12" t="s">
        <v>447</v>
      </c>
      <c r="F60" s="12" t="s">
        <v>263</v>
      </c>
      <c r="G60" s="12" t="s">
        <v>79</v>
      </c>
      <c r="H60" s="12" t="s">
        <v>324</v>
      </c>
      <c r="I60" s="12" t="s">
        <v>99</v>
      </c>
      <c r="J60" s="12" t="s">
        <v>1118</v>
      </c>
      <c r="K60" s="11">
        <v>46125.355057870373</v>
      </c>
      <c r="L60" s="11">
        <v>46141.50167824074</v>
      </c>
      <c r="M60" s="15">
        <v>63.2</v>
      </c>
      <c r="N60" s="15">
        <v>47.06</v>
      </c>
      <c r="O60" s="12" t="b">
        <v>1</v>
      </c>
      <c r="P60" s="12" t="s">
        <v>924</v>
      </c>
      <c r="Q60" s="12">
        <v>3</v>
      </c>
      <c r="R60" s="12">
        <v>1</v>
      </c>
      <c r="S60" s="12">
        <v>1</v>
      </c>
      <c r="T60" s="12" t="s">
        <v>1119</v>
      </c>
    </row>
    <row r="61" spans="1:20" ht="29" x14ac:dyDescent="0.35">
      <c r="A61" s="12" t="s">
        <v>1120</v>
      </c>
      <c r="B61" s="12" t="s">
        <v>1121</v>
      </c>
      <c r="C61" s="12" t="s">
        <v>81</v>
      </c>
      <c r="D61" s="12" t="s">
        <v>77</v>
      </c>
      <c r="E61" s="12" t="s">
        <v>447</v>
      </c>
      <c r="F61" s="12" t="s">
        <v>263</v>
      </c>
      <c r="G61" s="12" t="s">
        <v>79</v>
      </c>
      <c r="H61" s="12" t="s">
        <v>324</v>
      </c>
      <c r="I61" s="12" t="s">
        <v>99</v>
      </c>
      <c r="J61" s="12" t="s">
        <v>1122</v>
      </c>
      <c r="K61" s="11">
        <v>46125.386377314811</v>
      </c>
      <c r="L61" s="11">
        <v>46141.501782407409</v>
      </c>
      <c r="M61" s="15">
        <v>63.17</v>
      </c>
      <c r="N61" s="15">
        <v>47.06</v>
      </c>
      <c r="O61" s="12" t="b">
        <v>1</v>
      </c>
      <c r="P61" s="12" t="s">
        <v>924</v>
      </c>
      <c r="Q61" s="12">
        <v>2</v>
      </c>
      <c r="R61" s="12">
        <v>0</v>
      </c>
      <c r="S61" s="12">
        <v>0</v>
      </c>
      <c r="T61" s="12" t="s">
        <v>1123</v>
      </c>
    </row>
    <row r="62" spans="1:20" ht="29" x14ac:dyDescent="0.35">
      <c r="A62" s="12" t="s">
        <v>430</v>
      </c>
      <c r="B62" s="12" t="s">
        <v>431</v>
      </c>
      <c r="C62" s="12" t="s">
        <v>81</v>
      </c>
      <c r="D62" s="12" t="s">
        <v>77</v>
      </c>
      <c r="E62" s="12" t="s">
        <v>310</v>
      </c>
      <c r="F62" s="12" t="s">
        <v>402</v>
      </c>
      <c r="G62" s="12" t="s">
        <v>228</v>
      </c>
      <c r="H62" s="12" t="s">
        <v>324</v>
      </c>
      <c r="I62" s="12" t="s">
        <v>110</v>
      </c>
      <c r="J62" s="12" t="s">
        <v>1124</v>
      </c>
      <c r="K62" s="11">
        <v>46126.631122685183</v>
      </c>
      <c r="L62" s="11">
        <v>46182.375844907408</v>
      </c>
      <c r="M62" s="15">
        <v>61.93</v>
      </c>
      <c r="N62" s="15">
        <v>6.18</v>
      </c>
      <c r="O62" s="12" t="b">
        <v>0</v>
      </c>
      <c r="P62" s="12" t="s">
        <v>930</v>
      </c>
      <c r="Q62" s="12">
        <v>1</v>
      </c>
      <c r="R62" s="12">
        <v>0</v>
      </c>
      <c r="S62" s="12">
        <v>0</v>
      </c>
      <c r="T62" s="12" t="s">
        <v>432</v>
      </c>
    </row>
    <row r="63" spans="1:20" ht="29" x14ac:dyDescent="0.35">
      <c r="A63" s="12" t="s">
        <v>1125</v>
      </c>
      <c r="B63" s="12" t="s">
        <v>1126</v>
      </c>
      <c r="C63" s="12" t="s">
        <v>81</v>
      </c>
      <c r="D63" s="12"/>
      <c r="E63" s="12" t="s">
        <v>96</v>
      </c>
      <c r="F63" s="12" t="s">
        <v>263</v>
      </c>
      <c r="G63" s="12" t="s">
        <v>79</v>
      </c>
      <c r="H63" s="12" t="s">
        <v>100</v>
      </c>
      <c r="I63" s="12" t="s">
        <v>197</v>
      </c>
      <c r="J63" s="12" t="s">
        <v>1127</v>
      </c>
      <c r="K63" s="11">
        <v>46128.614618055559</v>
      </c>
      <c r="L63" s="11">
        <v>46128.614618055559</v>
      </c>
      <c r="M63" s="15">
        <v>59.94</v>
      </c>
      <c r="N63" s="15">
        <v>59.94</v>
      </c>
      <c r="O63" s="12" t="b">
        <v>0</v>
      </c>
      <c r="P63" s="12" t="s">
        <v>930</v>
      </c>
      <c r="Q63" s="12">
        <v>0</v>
      </c>
      <c r="R63" s="12">
        <v>0</v>
      </c>
      <c r="S63" s="12">
        <v>0</v>
      </c>
      <c r="T63" s="12" t="s">
        <v>1128</v>
      </c>
    </row>
    <row r="64" spans="1:20" ht="29" x14ac:dyDescent="0.35">
      <c r="A64" s="12" t="s">
        <v>1129</v>
      </c>
      <c r="B64" s="12" t="s">
        <v>1130</v>
      </c>
      <c r="C64" s="12" t="s">
        <v>81</v>
      </c>
      <c r="D64" s="12"/>
      <c r="E64" s="12" t="s">
        <v>96</v>
      </c>
      <c r="F64" s="12" t="s">
        <v>263</v>
      </c>
      <c r="G64" s="12" t="s">
        <v>79</v>
      </c>
      <c r="H64" s="12" t="s">
        <v>100</v>
      </c>
      <c r="I64" s="12" t="s">
        <v>197</v>
      </c>
      <c r="J64" s="12" t="s">
        <v>1131</v>
      </c>
      <c r="K64" s="11">
        <v>46129.332881944443</v>
      </c>
      <c r="L64" s="11">
        <v>46129.33289351852</v>
      </c>
      <c r="M64" s="15">
        <v>59.22</v>
      </c>
      <c r="N64" s="15">
        <v>59.22</v>
      </c>
      <c r="O64" s="12" t="b">
        <v>1</v>
      </c>
      <c r="P64" s="12" t="s">
        <v>947</v>
      </c>
      <c r="Q64" s="12">
        <v>0</v>
      </c>
      <c r="R64" s="12">
        <v>0</v>
      </c>
      <c r="S64" s="12">
        <v>0</v>
      </c>
      <c r="T64" s="12" t="s">
        <v>1132</v>
      </c>
    </row>
    <row r="65" spans="1:20" ht="29" x14ac:dyDescent="0.35">
      <c r="A65" s="12" t="s">
        <v>1133</v>
      </c>
      <c r="B65" s="12" t="s">
        <v>1134</v>
      </c>
      <c r="C65" s="12" t="s">
        <v>81</v>
      </c>
      <c r="D65" s="12"/>
      <c r="E65" s="12" t="s">
        <v>96</v>
      </c>
      <c r="F65" s="12" t="s">
        <v>263</v>
      </c>
      <c r="G65" s="12" t="s">
        <v>79</v>
      </c>
      <c r="H65" s="12" t="s">
        <v>100</v>
      </c>
      <c r="I65" s="12" t="s">
        <v>197</v>
      </c>
      <c r="J65" s="12" t="s">
        <v>1135</v>
      </c>
      <c r="K65" s="11">
        <v>46129.33321759259</v>
      </c>
      <c r="L65" s="11">
        <v>46129.33321759259</v>
      </c>
      <c r="M65" s="15">
        <v>59.22</v>
      </c>
      <c r="N65" s="15">
        <v>59.22</v>
      </c>
      <c r="O65" s="12" t="b">
        <v>0</v>
      </c>
      <c r="P65" s="12" t="s">
        <v>930</v>
      </c>
      <c r="Q65" s="12">
        <v>0</v>
      </c>
      <c r="R65" s="12">
        <v>0</v>
      </c>
      <c r="S65" s="12">
        <v>0</v>
      </c>
      <c r="T65" s="12" t="s">
        <v>1136</v>
      </c>
    </row>
    <row r="66" spans="1:20" ht="29" x14ac:dyDescent="0.35">
      <c r="A66" s="12" t="s">
        <v>1137</v>
      </c>
      <c r="B66" s="12" t="s">
        <v>1138</v>
      </c>
      <c r="C66" s="12" t="s">
        <v>81</v>
      </c>
      <c r="D66" s="12"/>
      <c r="E66" s="12" t="s">
        <v>96</v>
      </c>
      <c r="F66" s="12" t="s">
        <v>263</v>
      </c>
      <c r="G66" s="12" t="s">
        <v>79</v>
      </c>
      <c r="H66" s="12" t="s">
        <v>100</v>
      </c>
      <c r="I66" s="12" t="s">
        <v>197</v>
      </c>
      <c r="J66" s="12" t="s">
        <v>1139</v>
      </c>
      <c r="K66" s="11">
        <v>46129.333831018521</v>
      </c>
      <c r="L66" s="11">
        <v>46129.333831018521</v>
      </c>
      <c r="M66" s="15">
        <v>59.22</v>
      </c>
      <c r="N66" s="15">
        <v>59.22</v>
      </c>
      <c r="O66" s="12" t="b">
        <v>0</v>
      </c>
      <c r="P66" s="12" t="s">
        <v>930</v>
      </c>
      <c r="Q66" s="12">
        <v>0</v>
      </c>
      <c r="R66" s="12">
        <v>0</v>
      </c>
      <c r="S66" s="12">
        <v>0</v>
      </c>
      <c r="T66" s="12" t="s">
        <v>1140</v>
      </c>
    </row>
    <row r="67" spans="1:20" ht="29" x14ac:dyDescent="0.35">
      <c r="A67" s="12" t="s">
        <v>1141</v>
      </c>
      <c r="B67" s="12" t="s">
        <v>1142</v>
      </c>
      <c r="C67" s="12" t="s">
        <v>81</v>
      </c>
      <c r="D67" s="12"/>
      <c r="E67" s="12" t="s">
        <v>96</v>
      </c>
      <c r="F67" s="12" t="s">
        <v>263</v>
      </c>
      <c r="G67" s="12" t="s">
        <v>79</v>
      </c>
      <c r="H67" s="12" t="s">
        <v>100</v>
      </c>
      <c r="I67" s="12" t="s">
        <v>197</v>
      </c>
      <c r="J67" s="12" t="s">
        <v>1143</v>
      </c>
      <c r="K67" s="11">
        <v>46129.334085648137</v>
      </c>
      <c r="L67" s="11">
        <v>46129.334085648137</v>
      </c>
      <c r="M67" s="15">
        <v>59.22</v>
      </c>
      <c r="N67" s="15">
        <v>59.22</v>
      </c>
      <c r="O67" s="12" t="b">
        <v>0</v>
      </c>
      <c r="P67" s="12" t="s">
        <v>930</v>
      </c>
      <c r="Q67" s="12">
        <v>0</v>
      </c>
      <c r="R67" s="12">
        <v>0</v>
      </c>
      <c r="S67" s="12">
        <v>0</v>
      </c>
      <c r="T67" s="12" t="s">
        <v>1144</v>
      </c>
    </row>
    <row r="68" spans="1:20" ht="29" x14ac:dyDescent="0.35">
      <c r="A68" s="12" t="s">
        <v>1145</v>
      </c>
      <c r="B68" s="12" t="s">
        <v>1146</v>
      </c>
      <c r="C68" s="12" t="s">
        <v>81</v>
      </c>
      <c r="D68" s="12"/>
      <c r="E68" s="12" t="s">
        <v>96</v>
      </c>
      <c r="F68" s="12" t="s">
        <v>263</v>
      </c>
      <c r="G68" s="12" t="s">
        <v>79</v>
      </c>
      <c r="H68" s="12" t="s">
        <v>100</v>
      </c>
      <c r="I68" s="12" t="s">
        <v>197</v>
      </c>
      <c r="J68" s="12" t="s">
        <v>1147</v>
      </c>
      <c r="K68" s="11">
        <v>46129.334398148138</v>
      </c>
      <c r="L68" s="11">
        <v>46129.334398148138</v>
      </c>
      <c r="M68" s="15">
        <v>59.22</v>
      </c>
      <c r="N68" s="15">
        <v>59.22</v>
      </c>
      <c r="O68" s="12" t="b">
        <v>0</v>
      </c>
      <c r="P68" s="12" t="s">
        <v>930</v>
      </c>
      <c r="Q68" s="12">
        <v>0</v>
      </c>
      <c r="R68" s="12">
        <v>0</v>
      </c>
      <c r="S68" s="12">
        <v>0</v>
      </c>
      <c r="T68" s="12" t="s">
        <v>1148</v>
      </c>
    </row>
    <row r="69" spans="1:20" ht="29" x14ac:dyDescent="0.35">
      <c r="A69" s="12" t="s">
        <v>1149</v>
      </c>
      <c r="B69" s="12" t="s">
        <v>1150</v>
      </c>
      <c r="C69" s="12" t="s">
        <v>81</v>
      </c>
      <c r="D69" s="12"/>
      <c r="E69" s="12" t="s">
        <v>96</v>
      </c>
      <c r="F69" s="12" t="s">
        <v>263</v>
      </c>
      <c r="G69" s="12" t="s">
        <v>79</v>
      </c>
      <c r="H69" s="12" t="s">
        <v>921</v>
      </c>
      <c r="I69" s="12" t="s">
        <v>197</v>
      </c>
      <c r="J69" s="12" t="s">
        <v>1151</v>
      </c>
      <c r="K69" s="11">
        <v>46129.767256944448</v>
      </c>
      <c r="L69" s="11">
        <v>46129.767476851863</v>
      </c>
      <c r="M69" s="15">
        <v>58.79</v>
      </c>
      <c r="N69" s="15">
        <v>58.79</v>
      </c>
      <c r="O69" s="12" t="b">
        <v>0</v>
      </c>
      <c r="P69" s="12" t="s">
        <v>930</v>
      </c>
      <c r="Q69" s="12">
        <v>0</v>
      </c>
      <c r="R69" s="12">
        <v>0</v>
      </c>
      <c r="S69" s="12">
        <v>0</v>
      </c>
      <c r="T69" s="12" t="s">
        <v>1152</v>
      </c>
    </row>
    <row r="70" spans="1:20" ht="29" x14ac:dyDescent="0.35">
      <c r="A70" s="12" t="s">
        <v>75</v>
      </c>
      <c r="B70" s="12" t="s">
        <v>76</v>
      </c>
      <c r="C70" s="12" t="s">
        <v>81</v>
      </c>
      <c r="D70" s="12" t="s">
        <v>77</v>
      </c>
      <c r="E70" s="12" t="s">
        <v>93</v>
      </c>
      <c r="F70" s="12" t="s">
        <v>402</v>
      </c>
      <c r="G70" s="12" t="s">
        <v>79</v>
      </c>
      <c r="H70" s="12" t="s">
        <v>83</v>
      </c>
      <c r="I70" s="12" t="s">
        <v>82</v>
      </c>
      <c r="J70" s="12" t="s">
        <v>1153</v>
      </c>
      <c r="K70" s="11">
        <v>46133.337395833332</v>
      </c>
      <c r="L70" s="11">
        <v>46182.384594907409</v>
      </c>
      <c r="M70" s="15">
        <v>55.22</v>
      </c>
      <c r="N70" s="15">
        <v>6.17</v>
      </c>
      <c r="O70" s="12" t="b">
        <v>1</v>
      </c>
      <c r="P70" s="12" t="s">
        <v>924</v>
      </c>
      <c r="Q70" s="12">
        <v>4</v>
      </c>
      <c r="R70" s="12">
        <v>0</v>
      </c>
      <c r="S70" s="12">
        <v>1</v>
      </c>
      <c r="T70" s="12" t="s">
        <v>85</v>
      </c>
    </row>
    <row r="71" spans="1:20" ht="29" x14ac:dyDescent="0.35">
      <c r="A71" s="12" t="s">
        <v>1154</v>
      </c>
      <c r="B71" s="12" t="s">
        <v>1155</v>
      </c>
      <c r="C71" s="12" t="s">
        <v>81</v>
      </c>
      <c r="D71" s="12" t="s">
        <v>77</v>
      </c>
      <c r="E71" s="12" t="s">
        <v>338</v>
      </c>
      <c r="F71" s="12" t="s">
        <v>263</v>
      </c>
      <c r="G71" s="12" t="s">
        <v>79</v>
      </c>
      <c r="H71" s="12" t="s">
        <v>83</v>
      </c>
      <c r="I71" s="12" t="s">
        <v>307</v>
      </c>
      <c r="J71" s="12" t="s">
        <v>1156</v>
      </c>
      <c r="K71" s="11">
        <v>46133.395914351851</v>
      </c>
      <c r="L71" s="11">
        <v>46148.373530092591</v>
      </c>
      <c r="M71" s="15">
        <v>55.16</v>
      </c>
      <c r="N71" s="15">
        <v>40.18</v>
      </c>
      <c r="O71" s="12" t="b">
        <v>1</v>
      </c>
      <c r="P71" s="12" t="s">
        <v>924</v>
      </c>
      <c r="Q71" s="12">
        <v>2</v>
      </c>
      <c r="R71" s="12">
        <v>2</v>
      </c>
      <c r="S71" s="12">
        <v>0</v>
      </c>
      <c r="T71" s="12" t="s">
        <v>1157</v>
      </c>
    </row>
    <row r="72" spans="1:20" ht="29" x14ac:dyDescent="0.35">
      <c r="A72" s="12" t="s">
        <v>1158</v>
      </c>
      <c r="B72" s="12" t="s">
        <v>1159</v>
      </c>
      <c r="C72" s="12" t="s">
        <v>81</v>
      </c>
      <c r="D72" s="12" t="s">
        <v>77</v>
      </c>
      <c r="E72" s="12" t="s">
        <v>447</v>
      </c>
      <c r="F72" s="12" t="s">
        <v>263</v>
      </c>
      <c r="G72" s="12" t="s">
        <v>79</v>
      </c>
      <c r="H72" s="12" t="s">
        <v>324</v>
      </c>
      <c r="I72" s="12" t="s">
        <v>82</v>
      </c>
      <c r="J72" s="12" t="s">
        <v>1160</v>
      </c>
      <c r="K72" s="11">
        <v>46133.633680555547</v>
      </c>
      <c r="L72" s="11">
        <v>46141.501909722218</v>
      </c>
      <c r="M72" s="15">
        <v>54.92</v>
      </c>
      <c r="N72" s="15">
        <v>47.05</v>
      </c>
      <c r="O72" s="12" t="b">
        <v>1</v>
      </c>
      <c r="P72" s="12" t="s">
        <v>924</v>
      </c>
      <c r="Q72" s="12">
        <v>3</v>
      </c>
      <c r="R72" s="12">
        <v>1</v>
      </c>
      <c r="S72" s="12">
        <v>0</v>
      </c>
      <c r="T72" s="12" t="s">
        <v>1161</v>
      </c>
    </row>
    <row r="73" spans="1:20" ht="29" x14ac:dyDescent="0.35">
      <c r="A73" s="12" t="s">
        <v>1162</v>
      </c>
      <c r="B73" s="12" t="s">
        <v>1163</v>
      </c>
      <c r="C73" s="12" t="s">
        <v>81</v>
      </c>
      <c r="D73" s="12"/>
      <c r="E73" s="12" t="s">
        <v>96</v>
      </c>
      <c r="F73" s="12" t="s">
        <v>263</v>
      </c>
      <c r="G73" s="12" t="s">
        <v>79</v>
      </c>
      <c r="H73" s="12" t="s">
        <v>100</v>
      </c>
      <c r="I73" s="12" t="s">
        <v>84</v>
      </c>
      <c r="J73" s="12" t="s">
        <v>1164</v>
      </c>
      <c r="K73" s="11">
        <v>46134.501377314817</v>
      </c>
      <c r="L73" s="11">
        <v>46134.519548611112</v>
      </c>
      <c r="M73" s="15">
        <v>54.06</v>
      </c>
      <c r="N73" s="15">
        <v>54.04</v>
      </c>
      <c r="O73" s="12" t="b">
        <v>1</v>
      </c>
      <c r="P73" s="12" t="s">
        <v>947</v>
      </c>
      <c r="Q73" s="12">
        <v>0</v>
      </c>
      <c r="R73" s="12">
        <v>0</v>
      </c>
      <c r="S73" s="12">
        <v>0</v>
      </c>
      <c r="T73" s="12" t="s">
        <v>1165</v>
      </c>
    </row>
    <row r="74" spans="1:20" ht="29" x14ac:dyDescent="0.35">
      <c r="A74" s="12" t="s">
        <v>1166</v>
      </c>
      <c r="B74" s="12" t="s">
        <v>1167</v>
      </c>
      <c r="C74" s="12" t="s">
        <v>81</v>
      </c>
      <c r="D74" s="12" t="s">
        <v>77</v>
      </c>
      <c r="E74" s="12" t="s">
        <v>447</v>
      </c>
      <c r="F74" s="12" t="s">
        <v>263</v>
      </c>
      <c r="G74" s="12" t="s">
        <v>79</v>
      </c>
      <c r="H74" s="12" t="s">
        <v>324</v>
      </c>
      <c r="I74" s="12" t="s">
        <v>82</v>
      </c>
      <c r="J74" s="12" t="s">
        <v>1168</v>
      </c>
      <c r="K74" s="11">
        <v>46134.621793981481</v>
      </c>
      <c r="L74" s="11">
        <v>46142.346053240741</v>
      </c>
      <c r="M74" s="15">
        <v>53.94</v>
      </c>
      <c r="N74" s="15">
        <v>46.21</v>
      </c>
      <c r="O74" s="12" t="b">
        <v>1</v>
      </c>
      <c r="P74" s="12" t="s">
        <v>924</v>
      </c>
      <c r="Q74" s="12">
        <v>0</v>
      </c>
      <c r="R74" s="12">
        <v>1</v>
      </c>
      <c r="S74" s="12">
        <v>0</v>
      </c>
      <c r="T74" s="12" t="s">
        <v>1169</v>
      </c>
    </row>
    <row r="75" spans="1:20" ht="29" x14ac:dyDescent="0.35">
      <c r="A75" s="12" t="s">
        <v>1170</v>
      </c>
      <c r="B75" s="12" t="s">
        <v>1171</v>
      </c>
      <c r="C75" s="12" t="s">
        <v>81</v>
      </c>
      <c r="D75" s="12"/>
      <c r="E75" s="12" t="s">
        <v>96</v>
      </c>
      <c r="F75" s="12" t="s">
        <v>263</v>
      </c>
      <c r="G75" s="12" t="s">
        <v>97</v>
      </c>
      <c r="H75" s="12" t="s">
        <v>100</v>
      </c>
      <c r="I75" s="12" t="s">
        <v>349</v>
      </c>
      <c r="J75" s="12" t="s">
        <v>1172</v>
      </c>
      <c r="K75" s="11">
        <v>46135.544791666667</v>
      </c>
      <c r="L75" s="11">
        <v>46135.544814814813</v>
      </c>
      <c r="M75" s="15">
        <v>53.01</v>
      </c>
      <c r="N75" s="15">
        <v>53.01</v>
      </c>
      <c r="O75" s="12" t="b">
        <v>0</v>
      </c>
      <c r="P75" s="12" t="s">
        <v>930</v>
      </c>
      <c r="Q75" s="12">
        <v>0</v>
      </c>
      <c r="R75" s="12">
        <v>0</v>
      </c>
      <c r="S75" s="12">
        <v>0</v>
      </c>
      <c r="T75" s="12" t="s">
        <v>1173</v>
      </c>
    </row>
    <row r="76" spans="1:20" ht="29" x14ac:dyDescent="0.35">
      <c r="A76" s="12" t="s">
        <v>1174</v>
      </c>
      <c r="B76" s="12" t="s">
        <v>1175</v>
      </c>
      <c r="C76" s="12" t="s">
        <v>81</v>
      </c>
      <c r="D76" s="12" t="s">
        <v>77</v>
      </c>
      <c r="E76" s="12" t="s">
        <v>1176</v>
      </c>
      <c r="F76" s="12" t="s">
        <v>402</v>
      </c>
      <c r="G76" s="12" t="s">
        <v>1045</v>
      </c>
      <c r="H76" s="12" t="s">
        <v>100</v>
      </c>
      <c r="I76" s="12" t="s">
        <v>197</v>
      </c>
      <c r="J76" s="12" t="s">
        <v>1177</v>
      </c>
      <c r="K76" s="11">
        <v>46139.668194444443</v>
      </c>
      <c r="L76" s="11">
        <v>46141.501261574071</v>
      </c>
      <c r="M76" s="15">
        <v>48.89</v>
      </c>
      <c r="N76" s="15">
        <v>47.06</v>
      </c>
      <c r="O76" s="12" t="b">
        <v>0</v>
      </c>
      <c r="P76" s="12" t="s">
        <v>930</v>
      </c>
      <c r="Q76" s="12">
        <v>0</v>
      </c>
      <c r="R76" s="12">
        <v>0</v>
      </c>
      <c r="S76" s="12">
        <v>0</v>
      </c>
      <c r="T76" s="12" t="s">
        <v>1178</v>
      </c>
    </row>
    <row r="77" spans="1:20" ht="29" x14ac:dyDescent="0.35">
      <c r="A77" s="12" t="s">
        <v>1179</v>
      </c>
      <c r="B77" s="12" t="s">
        <v>1180</v>
      </c>
      <c r="C77" s="12" t="s">
        <v>81</v>
      </c>
      <c r="D77" s="12" t="s">
        <v>77</v>
      </c>
      <c r="E77" s="12" t="s">
        <v>447</v>
      </c>
      <c r="F77" s="12" t="s">
        <v>263</v>
      </c>
      <c r="G77" s="12" t="s">
        <v>79</v>
      </c>
      <c r="H77" s="12" t="s">
        <v>324</v>
      </c>
      <c r="I77" s="12" t="s">
        <v>82</v>
      </c>
      <c r="J77" s="12" t="s">
        <v>1181</v>
      </c>
      <c r="K77" s="11">
        <v>46139.687743055547</v>
      </c>
      <c r="L77" s="11">
        <v>46142.345289351862</v>
      </c>
      <c r="M77" s="15">
        <v>48.87</v>
      </c>
      <c r="N77" s="15">
        <v>46.21</v>
      </c>
      <c r="O77" s="12" t="b">
        <v>1</v>
      </c>
      <c r="P77" s="12" t="s">
        <v>924</v>
      </c>
      <c r="Q77" s="12">
        <v>7</v>
      </c>
      <c r="R77" s="12">
        <v>1</v>
      </c>
      <c r="S77" s="12">
        <v>0</v>
      </c>
      <c r="T77" s="12" t="s">
        <v>1182</v>
      </c>
    </row>
    <row r="78" spans="1:20" ht="29" x14ac:dyDescent="0.35">
      <c r="A78" s="12" t="s">
        <v>1183</v>
      </c>
      <c r="B78" s="12" t="s">
        <v>1184</v>
      </c>
      <c r="C78" s="12" t="s">
        <v>81</v>
      </c>
      <c r="D78" s="12" t="s">
        <v>77</v>
      </c>
      <c r="E78" s="12" t="s">
        <v>447</v>
      </c>
      <c r="F78" s="12" t="s">
        <v>263</v>
      </c>
      <c r="G78" s="12" t="s">
        <v>79</v>
      </c>
      <c r="H78" s="12" t="s">
        <v>324</v>
      </c>
      <c r="I78" s="12" t="s">
        <v>82</v>
      </c>
      <c r="J78" s="12" t="s">
        <v>1185</v>
      </c>
      <c r="K78" s="11">
        <v>46139.706562500003</v>
      </c>
      <c r="L78" s="11">
        <v>46141.502199074072</v>
      </c>
      <c r="M78" s="15">
        <v>48.85</v>
      </c>
      <c r="N78" s="15">
        <v>47.05</v>
      </c>
      <c r="O78" s="12" t="b">
        <v>1</v>
      </c>
      <c r="P78" s="12" t="s">
        <v>924</v>
      </c>
      <c r="Q78" s="12">
        <v>0</v>
      </c>
      <c r="R78" s="12">
        <v>1</v>
      </c>
      <c r="S78" s="12">
        <v>0</v>
      </c>
      <c r="T78" s="12" t="s">
        <v>1186</v>
      </c>
    </row>
    <row r="79" spans="1:20" ht="29" x14ac:dyDescent="0.35">
      <c r="A79" s="12" t="s">
        <v>1187</v>
      </c>
      <c r="B79" s="12" t="s">
        <v>1188</v>
      </c>
      <c r="C79" s="12" t="s">
        <v>81</v>
      </c>
      <c r="D79" s="12" t="s">
        <v>77</v>
      </c>
      <c r="E79" s="12" t="s">
        <v>447</v>
      </c>
      <c r="F79" s="12" t="s">
        <v>263</v>
      </c>
      <c r="G79" s="12" t="s">
        <v>79</v>
      </c>
      <c r="H79" s="12" t="s">
        <v>324</v>
      </c>
      <c r="I79" s="12" t="s">
        <v>82</v>
      </c>
      <c r="J79" s="12" t="s">
        <v>1189</v>
      </c>
      <c r="K79" s="11">
        <v>46139.739398148151</v>
      </c>
      <c r="L79" s="11">
        <v>46142.342662037037</v>
      </c>
      <c r="M79" s="15">
        <v>48.82</v>
      </c>
      <c r="N79" s="15">
        <v>46.21</v>
      </c>
      <c r="O79" s="12" t="b">
        <v>1</v>
      </c>
      <c r="P79" s="12" t="s">
        <v>924</v>
      </c>
      <c r="Q79" s="12">
        <v>2</v>
      </c>
      <c r="R79" s="12">
        <v>1</v>
      </c>
      <c r="S79" s="12">
        <v>0</v>
      </c>
      <c r="T79" s="12" t="s">
        <v>1190</v>
      </c>
    </row>
    <row r="80" spans="1:20" ht="29" x14ac:dyDescent="0.35">
      <c r="A80" s="12" t="s">
        <v>1191</v>
      </c>
      <c r="B80" s="12" t="s">
        <v>1192</v>
      </c>
      <c r="C80" s="12" t="s">
        <v>81</v>
      </c>
      <c r="D80" s="12" t="s">
        <v>77</v>
      </c>
      <c r="E80" s="12" t="s">
        <v>447</v>
      </c>
      <c r="F80" s="12" t="s">
        <v>263</v>
      </c>
      <c r="G80" s="12" t="s">
        <v>79</v>
      </c>
      <c r="H80" s="12" t="s">
        <v>324</v>
      </c>
      <c r="I80" s="12" t="s">
        <v>82</v>
      </c>
      <c r="J80" s="12" t="s">
        <v>1193</v>
      </c>
      <c r="K80" s="11">
        <v>46139.754837962973</v>
      </c>
      <c r="L80" s="11">
        <v>46142.344317129631</v>
      </c>
      <c r="M80" s="15">
        <v>48.8</v>
      </c>
      <c r="N80" s="15">
        <v>46.21</v>
      </c>
      <c r="O80" s="12" t="b">
        <v>1</v>
      </c>
      <c r="P80" s="12" t="s">
        <v>924</v>
      </c>
      <c r="Q80" s="12">
        <v>3</v>
      </c>
      <c r="R80" s="12">
        <v>1</v>
      </c>
      <c r="S80" s="12">
        <v>0</v>
      </c>
      <c r="T80" s="12" t="s">
        <v>1194</v>
      </c>
    </row>
    <row r="81" spans="1:20" ht="29" x14ac:dyDescent="0.35">
      <c r="A81" s="12" t="s">
        <v>1195</v>
      </c>
      <c r="B81" s="12" t="s">
        <v>1196</v>
      </c>
      <c r="C81" s="12" t="s">
        <v>81</v>
      </c>
      <c r="D81" s="12" t="s">
        <v>77</v>
      </c>
      <c r="E81" s="12" t="s">
        <v>447</v>
      </c>
      <c r="F81" s="12" t="s">
        <v>263</v>
      </c>
      <c r="G81" s="12" t="s">
        <v>79</v>
      </c>
      <c r="H81" s="12" t="s">
        <v>324</v>
      </c>
      <c r="I81" s="12" t="s">
        <v>82</v>
      </c>
      <c r="J81" s="12" t="s">
        <v>1197</v>
      </c>
      <c r="K81" s="11">
        <v>46139.818518518521</v>
      </c>
      <c r="L81" s="11">
        <v>46141.502523148149</v>
      </c>
      <c r="M81" s="15">
        <v>48.74</v>
      </c>
      <c r="N81" s="15">
        <v>47.05</v>
      </c>
      <c r="O81" s="12" t="b">
        <v>1</v>
      </c>
      <c r="P81" s="12" t="s">
        <v>924</v>
      </c>
      <c r="Q81" s="12">
        <v>2</v>
      </c>
      <c r="R81" s="12">
        <v>0</v>
      </c>
      <c r="S81" s="12">
        <v>0</v>
      </c>
      <c r="T81" s="12" t="s">
        <v>1198</v>
      </c>
    </row>
    <row r="82" spans="1:20" ht="29" x14ac:dyDescent="0.35">
      <c r="A82" s="12" t="s">
        <v>1199</v>
      </c>
      <c r="B82" s="12" t="s">
        <v>1200</v>
      </c>
      <c r="C82" s="12" t="s">
        <v>81</v>
      </c>
      <c r="D82" s="12" t="s">
        <v>347</v>
      </c>
      <c r="E82" s="12" t="s">
        <v>310</v>
      </c>
      <c r="F82" s="12" t="s">
        <v>402</v>
      </c>
      <c r="G82" s="12" t="s">
        <v>305</v>
      </c>
      <c r="H82" s="12" t="s">
        <v>100</v>
      </c>
      <c r="I82" s="12" t="s">
        <v>99</v>
      </c>
      <c r="J82" s="12" t="s">
        <v>1201</v>
      </c>
      <c r="K82" s="11">
        <v>46140.386365740742</v>
      </c>
      <c r="L82" s="11">
        <v>46155.452407407407</v>
      </c>
      <c r="M82" s="15">
        <v>48.17</v>
      </c>
      <c r="N82" s="15">
        <v>33.1</v>
      </c>
      <c r="O82" s="12" t="b">
        <v>0</v>
      </c>
      <c r="P82" s="12" t="s">
        <v>930</v>
      </c>
      <c r="Q82" s="12">
        <v>1</v>
      </c>
      <c r="R82" s="12">
        <v>1</v>
      </c>
      <c r="S82" s="12">
        <v>0</v>
      </c>
      <c r="T82" s="12" t="s">
        <v>1202</v>
      </c>
    </row>
    <row r="83" spans="1:20" ht="29" x14ac:dyDescent="0.35">
      <c r="A83" s="12" t="s">
        <v>1203</v>
      </c>
      <c r="B83" s="12" t="s">
        <v>1204</v>
      </c>
      <c r="C83" s="12" t="s">
        <v>81</v>
      </c>
      <c r="D83" s="12"/>
      <c r="E83" s="12" t="s">
        <v>96</v>
      </c>
      <c r="F83" s="12" t="s">
        <v>263</v>
      </c>
      <c r="G83" s="12" t="s">
        <v>79</v>
      </c>
      <c r="H83" s="12" t="s">
        <v>83</v>
      </c>
      <c r="I83" s="12" t="s">
        <v>99</v>
      </c>
      <c r="J83" s="12" t="s">
        <v>1205</v>
      </c>
      <c r="K83" s="11">
        <v>46142.341793981483</v>
      </c>
      <c r="L83" s="11">
        <v>46142.341817129629</v>
      </c>
      <c r="M83" s="15">
        <v>46.22</v>
      </c>
      <c r="N83" s="15">
        <v>46.22</v>
      </c>
      <c r="O83" s="12" t="b">
        <v>1</v>
      </c>
      <c r="P83" s="12" t="s">
        <v>924</v>
      </c>
      <c r="Q83" s="12">
        <v>0</v>
      </c>
      <c r="R83" s="12">
        <v>0</v>
      </c>
      <c r="S83" s="12">
        <v>0</v>
      </c>
      <c r="T83" s="12" t="s">
        <v>1206</v>
      </c>
    </row>
    <row r="84" spans="1:20" ht="43.5" x14ac:dyDescent="0.35">
      <c r="A84" s="12" t="s">
        <v>442</v>
      </c>
      <c r="B84" s="12" t="s">
        <v>443</v>
      </c>
      <c r="C84" s="12" t="s">
        <v>81</v>
      </c>
      <c r="D84" s="12" t="s">
        <v>77</v>
      </c>
      <c r="E84" s="12" t="s">
        <v>194</v>
      </c>
      <c r="F84" s="12" t="s">
        <v>263</v>
      </c>
      <c r="G84" s="12" t="s">
        <v>228</v>
      </c>
      <c r="H84" s="12" t="s">
        <v>100</v>
      </c>
      <c r="I84" s="12" t="s">
        <v>307</v>
      </c>
      <c r="J84" s="12" t="s">
        <v>1207</v>
      </c>
      <c r="K84" s="11">
        <v>46153.424212962957</v>
      </c>
      <c r="L84" s="11">
        <v>46182.373796296299</v>
      </c>
      <c r="M84" s="15">
        <v>35.130000000000003</v>
      </c>
      <c r="N84" s="15">
        <v>6.18</v>
      </c>
      <c r="O84" s="12" t="b">
        <v>1</v>
      </c>
      <c r="P84" s="12" t="s">
        <v>924</v>
      </c>
      <c r="Q84" s="12">
        <v>1</v>
      </c>
      <c r="R84" s="12">
        <v>2</v>
      </c>
      <c r="S84" s="12">
        <v>0</v>
      </c>
      <c r="T84" s="12" t="s">
        <v>444</v>
      </c>
    </row>
    <row r="85" spans="1:20" ht="29" x14ac:dyDescent="0.35">
      <c r="A85" s="12" t="s">
        <v>1208</v>
      </c>
      <c r="B85" s="12" t="s">
        <v>1209</v>
      </c>
      <c r="C85" s="12" t="s">
        <v>81</v>
      </c>
      <c r="D85" s="12"/>
      <c r="E85" s="12" t="s">
        <v>194</v>
      </c>
      <c r="F85" s="12" t="s">
        <v>263</v>
      </c>
      <c r="G85" s="12" t="s">
        <v>195</v>
      </c>
      <c r="H85" s="12" t="s">
        <v>100</v>
      </c>
      <c r="I85" s="12" t="s">
        <v>197</v>
      </c>
      <c r="J85" s="12" t="s">
        <v>1210</v>
      </c>
      <c r="K85" s="11">
        <v>46154.580914351849</v>
      </c>
      <c r="L85" s="11">
        <v>46154.580949074072</v>
      </c>
      <c r="M85" s="15">
        <v>33.979999999999997</v>
      </c>
      <c r="N85" s="15">
        <v>33.979999999999997</v>
      </c>
      <c r="O85" s="12" t="b">
        <v>0</v>
      </c>
      <c r="P85" s="12" t="s">
        <v>930</v>
      </c>
      <c r="Q85" s="12">
        <v>0</v>
      </c>
      <c r="R85" s="12">
        <v>0</v>
      </c>
      <c r="S85" s="12">
        <v>0</v>
      </c>
      <c r="T85" s="12" t="s">
        <v>1211</v>
      </c>
    </row>
    <row r="86" spans="1:20" ht="29" x14ac:dyDescent="0.35">
      <c r="A86" s="12" t="s">
        <v>1212</v>
      </c>
      <c r="B86" s="12" t="s">
        <v>1213</v>
      </c>
      <c r="C86" s="12" t="s">
        <v>81</v>
      </c>
      <c r="D86" s="12"/>
      <c r="E86" s="12" t="s">
        <v>194</v>
      </c>
      <c r="F86" s="12" t="s">
        <v>263</v>
      </c>
      <c r="G86" s="12" t="s">
        <v>195</v>
      </c>
      <c r="H86" s="12" t="s">
        <v>100</v>
      </c>
      <c r="I86" s="12" t="s">
        <v>197</v>
      </c>
      <c r="J86" s="12" t="s">
        <v>1210</v>
      </c>
      <c r="K86" s="11">
        <v>46154.600914351853</v>
      </c>
      <c r="L86" s="11">
        <v>46154.600937499999</v>
      </c>
      <c r="M86" s="15">
        <v>33.96</v>
      </c>
      <c r="N86" s="15">
        <v>33.96</v>
      </c>
      <c r="O86" s="12" t="b">
        <v>0</v>
      </c>
      <c r="P86" s="12" t="s">
        <v>930</v>
      </c>
      <c r="Q86" s="12">
        <v>0</v>
      </c>
      <c r="R86" s="12">
        <v>0</v>
      </c>
      <c r="S86" s="12">
        <v>0</v>
      </c>
      <c r="T86" s="12" t="s">
        <v>1214</v>
      </c>
    </row>
    <row r="87" spans="1:20" ht="29" x14ac:dyDescent="0.35">
      <c r="A87" s="12" t="s">
        <v>1215</v>
      </c>
      <c r="B87" s="12" t="s">
        <v>1216</v>
      </c>
      <c r="C87" s="12" t="s">
        <v>81</v>
      </c>
      <c r="D87" s="12"/>
      <c r="E87" s="12" t="s">
        <v>194</v>
      </c>
      <c r="F87" s="12" t="s">
        <v>263</v>
      </c>
      <c r="G87" s="12" t="s">
        <v>195</v>
      </c>
      <c r="H87" s="12" t="s">
        <v>100</v>
      </c>
      <c r="I87" s="12" t="s">
        <v>197</v>
      </c>
      <c r="J87" s="12" t="s">
        <v>202</v>
      </c>
      <c r="K87" s="11">
        <v>46154.600914351853</v>
      </c>
      <c r="L87" s="11">
        <v>46154.600949074083</v>
      </c>
      <c r="M87" s="15">
        <v>33.96</v>
      </c>
      <c r="N87" s="15">
        <v>33.96</v>
      </c>
      <c r="O87" s="12" t="b">
        <v>0</v>
      </c>
      <c r="P87" s="12" t="s">
        <v>930</v>
      </c>
      <c r="Q87" s="12">
        <v>0</v>
      </c>
      <c r="R87" s="12">
        <v>0</v>
      </c>
      <c r="S87" s="12">
        <v>0</v>
      </c>
      <c r="T87" s="12" t="s">
        <v>1217</v>
      </c>
    </row>
    <row r="88" spans="1:20" ht="29" x14ac:dyDescent="0.35">
      <c r="A88" s="12" t="s">
        <v>1218</v>
      </c>
      <c r="B88" s="12" t="s">
        <v>1219</v>
      </c>
      <c r="C88" s="12" t="s">
        <v>81</v>
      </c>
      <c r="D88" s="12"/>
      <c r="E88" s="12" t="s">
        <v>96</v>
      </c>
      <c r="F88" s="12" t="s">
        <v>263</v>
      </c>
      <c r="G88" s="12" t="s">
        <v>97</v>
      </c>
      <c r="H88" s="12" t="s">
        <v>100</v>
      </c>
      <c r="I88" s="12" t="s">
        <v>928</v>
      </c>
      <c r="J88" s="12" t="s">
        <v>1220</v>
      </c>
      <c r="K88" s="11">
        <v>46161.386261574073</v>
      </c>
      <c r="L88" s="11">
        <v>46161.386284722219</v>
      </c>
      <c r="M88" s="15">
        <v>27.17</v>
      </c>
      <c r="N88" s="15">
        <v>27.17</v>
      </c>
      <c r="O88" s="12" t="b">
        <v>0</v>
      </c>
      <c r="P88" s="12" t="s">
        <v>930</v>
      </c>
      <c r="Q88" s="12">
        <v>0</v>
      </c>
      <c r="R88" s="12">
        <v>0</v>
      </c>
      <c r="S88" s="12">
        <v>0</v>
      </c>
      <c r="T88" s="12" t="s">
        <v>1221</v>
      </c>
    </row>
    <row r="89" spans="1:20" ht="29" x14ac:dyDescent="0.35">
      <c r="A89" s="12" t="s">
        <v>1222</v>
      </c>
      <c r="B89" s="12" t="s">
        <v>1223</v>
      </c>
      <c r="C89" s="12" t="s">
        <v>81</v>
      </c>
      <c r="D89" s="12"/>
      <c r="E89" s="12" t="s">
        <v>194</v>
      </c>
      <c r="F89" s="12" t="s">
        <v>263</v>
      </c>
      <c r="G89" s="12" t="s">
        <v>195</v>
      </c>
      <c r="H89" s="12" t="s">
        <v>100</v>
      </c>
      <c r="I89" s="12" t="s">
        <v>197</v>
      </c>
      <c r="J89" s="12" t="s">
        <v>1210</v>
      </c>
      <c r="K89" s="11">
        <v>46161.393807870372</v>
      </c>
      <c r="L89" s="11">
        <v>46161.393831018519</v>
      </c>
      <c r="M89" s="15">
        <v>27.16</v>
      </c>
      <c r="N89" s="15">
        <v>27.16</v>
      </c>
      <c r="O89" s="12" t="b">
        <v>0</v>
      </c>
      <c r="P89" s="12" t="s">
        <v>930</v>
      </c>
      <c r="Q89" s="12">
        <v>0</v>
      </c>
      <c r="R89" s="12">
        <v>0</v>
      </c>
      <c r="S89" s="12">
        <v>0</v>
      </c>
      <c r="T89" s="12" t="s">
        <v>1224</v>
      </c>
    </row>
    <row r="90" spans="1:20" ht="29" x14ac:dyDescent="0.35">
      <c r="A90" s="12" t="s">
        <v>1225</v>
      </c>
      <c r="B90" s="12" t="s">
        <v>1226</v>
      </c>
      <c r="C90" s="12" t="s">
        <v>81</v>
      </c>
      <c r="D90" s="12"/>
      <c r="E90" s="12" t="s">
        <v>194</v>
      </c>
      <c r="F90" s="12" t="s">
        <v>263</v>
      </c>
      <c r="G90" s="12" t="s">
        <v>195</v>
      </c>
      <c r="H90" s="12" t="s">
        <v>100</v>
      </c>
      <c r="I90" s="12" t="s">
        <v>197</v>
      </c>
      <c r="J90" s="12" t="s">
        <v>202</v>
      </c>
      <c r="K90" s="11">
        <v>46161.393819444442</v>
      </c>
      <c r="L90" s="11">
        <v>46161.393842592603</v>
      </c>
      <c r="M90" s="15">
        <v>27.16</v>
      </c>
      <c r="N90" s="15">
        <v>27.16</v>
      </c>
      <c r="O90" s="12" t="b">
        <v>0</v>
      </c>
      <c r="P90" s="12" t="s">
        <v>930</v>
      </c>
      <c r="Q90" s="12">
        <v>0</v>
      </c>
      <c r="R90" s="12">
        <v>0</v>
      </c>
      <c r="S90" s="12">
        <v>0</v>
      </c>
      <c r="T90" s="12" t="s">
        <v>1227</v>
      </c>
    </row>
    <row r="91" spans="1:20" ht="29" x14ac:dyDescent="0.35">
      <c r="A91" s="12" t="s">
        <v>1228</v>
      </c>
      <c r="B91" s="12" t="s">
        <v>1229</v>
      </c>
      <c r="C91" s="12" t="s">
        <v>81</v>
      </c>
      <c r="D91" s="12"/>
      <c r="E91" s="12" t="s">
        <v>194</v>
      </c>
      <c r="F91" s="12" t="s">
        <v>263</v>
      </c>
      <c r="G91" s="12" t="s">
        <v>195</v>
      </c>
      <c r="H91" s="12" t="s">
        <v>100</v>
      </c>
      <c r="I91" s="12" t="s">
        <v>197</v>
      </c>
      <c r="J91" s="12" t="s">
        <v>1230</v>
      </c>
      <c r="K91" s="11">
        <v>46161.398252314822</v>
      </c>
      <c r="L91" s="11">
        <v>46161.398275462961</v>
      </c>
      <c r="M91" s="15">
        <v>27.16</v>
      </c>
      <c r="N91" s="15">
        <v>27.16</v>
      </c>
      <c r="O91" s="12" t="b">
        <v>0</v>
      </c>
      <c r="P91" s="12" t="s">
        <v>930</v>
      </c>
      <c r="Q91" s="12">
        <v>0</v>
      </c>
      <c r="R91" s="12">
        <v>0</v>
      </c>
      <c r="S91" s="12">
        <v>0</v>
      </c>
      <c r="T91" s="12" t="s">
        <v>1231</v>
      </c>
    </row>
    <row r="92" spans="1:20" ht="29" x14ac:dyDescent="0.35">
      <c r="A92" s="12" t="s">
        <v>1232</v>
      </c>
      <c r="B92" s="12" t="s">
        <v>1233</v>
      </c>
      <c r="C92" s="12" t="s">
        <v>81</v>
      </c>
      <c r="D92" s="12"/>
      <c r="E92" s="12" t="s">
        <v>194</v>
      </c>
      <c r="F92" s="12" t="s">
        <v>263</v>
      </c>
      <c r="G92" s="12" t="s">
        <v>195</v>
      </c>
      <c r="H92" s="12" t="s">
        <v>100</v>
      </c>
      <c r="I92" s="12" t="s">
        <v>197</v>
      </c>
      <c r="J92" s="12" t="s">
        <v>202</v>
      </c>
      <c r="K92" s="11">
        <v>46161.398263888892</v>
      </c>
      <c r="L92" s="11">
        <v>46161.398287037038</v>
      </c>
      <c r="M92" s="15">
        <v>27.16</v>
      </c>
      <c r="N92" s="15">
        <v>27.16</v>
      </c>
      <c r="O92" s="12" t="b">
        <v>0</v>
      </c>
      <c r="P92" s="12" t="s">
        <v>930</v>
      </c>
      <c r="Q92" s="12">
        <v>0</v>
      </c>
      <c r="R92" s="12">
        <v>0</v>
      </c>
      <c r="S92" s="12">
        <v>0</v>
      </c>
      <c r="T92" s="12" t="s">
        <v>1234</v>
      </c>
    </row>
    <row r="93" spans="1:20" ht="29" x14ac:dyDescent="0.35">
      <c r="A93" s="12" t="s">
        <v>1235</v>
      </c>
      <c r="B93" s="12" t="s">
        <v>1236</v>
      </c>
      <c r="C93" s="12" t="s">
        <v>81</v>
      </c>
      <c r="D93" s="12"/>
      <c r="E93" s="12" t="s">
        <v>194</v>
      </c>
      <c r="F93" s="12" t="s">
        <v>263</v>
      </c>
      <c r="G93" s="12" t="s">
        <v>195</v>
      </c>
      <c r="H93" s="12" t="s">
        <v>100</v>
      </c>
      <c r="I93" s="12" t="s">
        <v>197</v>
      </c>
      <c r="J93" s="12" t="s">
        <v>1230</v>
      </c>
      <c r="K93" s="11">
        <v>46161.400300925918</v>
      </c>
      <c r="L93" s="11">
        <v>46161.400324074071</v>
      </c>
      <c r="M93" s="15">
        <v>27.16</v>
      </c>
      <c r="N93" s="15">
        <v>27.16</v>
      </c>
      <c r="O93" s="12" t="b">
        <v>0</v>
      </c>
      <c r="P93" s="12" t="s">
        <v>930</v>
      </c>
      <c r="Q93" s="12">
        <v>0</v>
      </c>
      <c r="R93" s="12">
        <v>0</v>
      </c>
      <c r="S93" s="12">
        <v>0</v>
      </c>
      <c r="T93" s="12" t="s">
        <v>1237</v>
      </c>
    </row>
    <row r="94" spans="1:20" ht="29" x14ac:dyDescent="0.35">
      <c r="A94" s="12" t="s">
        <v>1238</v>
      </c>
      <c r="B94" s="12" t="s">
        <v>1239</v>
      </c>
      <c r="C94" s="12" t="s">
        <v>81</v>
      </c>
      <c r="D94" s="12"/>
      <c r="E94" s="12" t="s">
        <v>194</v>
      </c>
      <c r="F94" s="12" t="s">
        <v>263</v>
      </c>
      <c r="G94" s="12" t="s">
        <v>195</v>
      </c>
      <c r="H94" s="12" t="s">
        <v>100</v>
      </c>
      <c r="I94" s="12" t="s">
        <v>197</v>
      </c>
      <c r="J94" s="12" t="s">
        <v>1230</v>
      </c>
      <c r="K94" s="11">
        <v>46161.400312500002</v>
      </c>
      <c r="L94" s="11">
        <v>46161.400335648148</v>
      </c>
      <c r="M94" s="15">
        <v>27.16</v>
      </c>
      <c r="N94" s="15">
        <v>27.16</v>
      </c>
      <c r="O94" s="12" t="b">
        <v>0</v>
      </c>
      <c r="P94" s="12" t="s">
        <v>930</v>
      </c>
      <c r="Q94" s="12">
        <v>0</v>
      </c>
      <c r="R94" s="12">
        <v>0</v>
      </c>
      <c r="S94" s="12">
        <v>0</v>
      </c>
      <c r="T94" s="12" t="s">
        <v>1240</v>
      </c>
    </row>
    <row r="95" spans="1:20" ht="29" x14ac:dyDescent="0.35">
      <c r="A95" s="12" t="s">
        <v>1241</v>
      </c>
      <c r="B95" s="12" t="s">
        <v>1242</v>
      </c>
      <c r="C95" s="12" t="s">
        <v>81</v>
      </c>
      <c r="D95" s="12"/>
      <c r="E95" s="12" t="s">
        <v>194</v>
      </c>
      <c r="F95" s="12" t="s">
        <v>263</v>
      </c>
      <c r="G95" s="12" t="s">
        <v>195</v>
      </c>
      <c r="H95" s="12" t="s">
        <v>100</v>
      </c>
      <c r="I95" s="12" t="s">
        <v>197</v>
      </c>
      <c r="J95" s="12" t="s">
        <v>202</v>
      </c>
      <c r="K95" s="11">
        <v>46161.400324074071</v>
      </c>
      <c r="L95" s="11">
        <v>46178.595601851863</v>
      </c>
      <c r="M95" s="15">
        <v>27.16</v>
      </c>
      <c r="N95" s="15">
        <v>9.9600000000000009</v>
      </c>
      <c r="O95" s="12" t="b">
        <v>0</v>
      </c>
      <c r="P95" s="12" t="s">
        <v>930</v>
      </c>
      <c r="Q95" s="12">
        <v>0</v>
      </c>
      <c r="R95" s="12">
        <v>0</v>
      </c>
      <c r="S95" s="12">
        <v>0</v>
      </c>
      <c r="T95" s="12" t="s">
        <v>1243</v>
      </c>
    </row>
    <row r="96" spans="1:20" ht="29" x14ac:dyDescent="0.35">
      <c r="A96" s="12" t="s">
        <v>1244</v>
      </c>
      <c r="B96" s="12" t="s">
        <v>1245</v>
      </c>
      <c r="C96" s="12" t="s">
        <v>81</v>
      </c>
      <c r="D96" s="12"/>
      <c r="E96" s="12" t="s">
        <v>96</v>
      </c>
      <c r="F96" s="12" t="s">
        <v>263</v>
      </c>
      <c r="G96" s="12" t="s">
        <v>97</v>
      </c>
      <c r="H96" s="12" t="s">
        <v>100</v>
      </c>
      <c r="I96" s="12" t="s">
        <v>82</v>
      </c>
      <c r="J96" s="12" t="s">
        <v>1246</v>
      </c>
      <c r="K96" s="11">
        <v>46162.414814814823</v>
      </c>
      <c r="L96" s="11">
        <v>46162.414837962962</v>
      </c>
      <c r="M96" s="15">
        <v>26.14</v>
      </c>
      <c r="N96" s="15">
        <v>26.14</v>
      </c>
      <c r="O96" s="12" t="b">
        <v>0</v>
      </c>
      <c r="P96" s="12" t="s">
        <v>930</v>
      </c>
      <c r="Q96" s="12">
        <v>0</v>
      </c>
      <c r="R96" s="12">
        <v>0</v>
      </c>
      <c r="S96" s="12">
        <v>0</v>
      </c>
      <c r="T96" s="12" t="s">
        <v>1247</v>
      </c>
    </row>
    <row r="97" spans="1:20" ht="29" x14ac:dyDescent="0.35">
      <c r="A97" s="12" t="s">
        <v>1248</v>
      </c>
      <c r="B97" s="12" t="s">
        <v>1249</v>
      </c>
      <c r="C97" s="12" t="s">
        <v>81</v>
      </c>
      <c r="D97" s="12"/>
      <c r="E97" s="12" t="s">
        <v>96</v>
      </c>
      <c r="F97" s="12" t="s">
        <v>263</v>
      </c>
      <c r="G97" s="12" t="s">
        <v>97</v>
      </c>
      <c r="H97" s="12" t="s">
        <v>100</v>
      </c>
      <c r="I97" s="12" t="s">
        <v>82</v>
      </c>
      <c r="J97" s="12" t="s">
        <v>1250</v>
      </c>
      <c r="K97" s="11">
        <v>46162.415555555563</v>
      </c>
      <c r="L97" s="11">
        <v>46162.415578703702</v>
      </c>
      <c r="M97" s="15">
        <v>26.14</v>
      </c>
      <c r="N97" s="15">
        <v>26.14</v>
      </c>
      <c r="O97" s="12" t="b">
        <v>0</v>
      </c>
      <c r="P97" s="12" t="s">
        <v>930</v>
      </c>
      <c r="Q97" s="12">
        <v>0</v>
      </c>
      <c r="R97" s="12">
        <v>0</v>
      </c>
      <c r="S97" s="12">
        <v>0</v>
      </c>
      <c r="T97" s="12" t="s">
        <v>1251</v>
      </c>
    </row>
    <row r="98" spans="1:20" ht="29" x14ac:dyDescent="0.35">
      <c r="A98" s="12" t="s">
        <v>340</v>
      </c>
      <c r="B98" s="12" t="s">
        <v>341</v>
      </c>
      <c r="C98" s="12" t="s">
        <v>81</v>
      </c>
      <c r="D98" s="12" t="s">
        <v>334</v>
      </c>
      <c r="E98" s="12" t="s">
        <v>342</v>
      </c>
      <c r="F98" s="12" t="s">
        <v>402</v>
      </c>
      <c r="G98" s="12" t="s">
        <v>228</v>
      </c>
      <c r="H98" s="12" t="s">
        <v>100</v>
      </c>
      <c r="I98" s="12" t="s">
        <v>343</v>
      </c>
      <c r="J98" s="12" t="s">
        <v>1252</v>
      </c>
      <c r="K98" s="11">
        <v>46163.307233796288</v>
      </c>
      <c r="L98" s="11">
        <v>46182.374097222222</v>
      </c>
      <c r="M98" s="15">
        <v>25.25</v>
      </c>
      <c r="N98" s="15">
        <v>6.18</v>
      </c>
      <c r="O98" s="12" t="b">
        <v>0</v>
      </c>
      <c r="P98" s="12" t="s">
        <v>930</v>
      </c>
      <c r="Q98" s="12">
        <v>1</v>
      </c>
      <c r="R98" s="12">
        <v>0</v>
      </c>
      <c r="S98" s="12">
        <v>0</v>
      </c>
      <c r="T98" s="12" t="s">
        <v>344</v>
      </c>
    </row>
    <row r="99" spans="1:20" ht="29" x14ac:dyDescent="0.35">
      <c r="A99" s="12" t="s">
        <v>1253</v>
      </c>
      <c r="B99" s="12" t="s">
        <v>1254</v>
      </c>
      <c r="C99" s="12" t="s">
        <v>81</v>
      </c>
      <c r="D99" s="12"/>
      <c r="E99" s="12" t="s">
        <v>260</v>
      </c>
      <c r="F99" s="12" t="s">
        <v>264</v>
      </c>
      <c r="G99" s="12" t="s">
        <v>195</v>
      </c>
      <c r="H99" s="12" t="s">
        <v>100</v>
      </c>
      <c r="I99" s="12" t="s">
        <v>99</v>
      </c>
      <c r="J99" s="12" t="s">
        <v>1255</v>
      </c>
      <c r="K99" s="11">
        <v>46164.572106481479</v>
      </c>
      <c r="L99" s="11">
        <v>46178.59574074074</v>
      </c>
      <c r="M99" s="15">
        <v>23.98</v>
      </c>
      <c r="N99" s="15">
        <v>9.9600000000000009</v>
      </c>
      <c r="O99" s="12" t="b">
        <v>0</v>
      </c>
      <c r="P99" s="12" t="s">
        <v>930</v>
      </c>
      <c r="Q99" s="12">
        <v>0</v>
      </c>
      <c r="R99" s="12">
        <v>0</v>
      </c>
      <c r="S99" s="12">
        <v>3</v>
      </c>
      <c r="T99" s="12" t="s">
        <v>1256</v>
      </c>
    </row>
    <row r="100" spans="1:20" ht="43.5" x14ac:dyDescent="0.35">
      <c r="A100" s="12" t="s">
        <v>433</v>
      </c>
      <c r="B100" s="12" t="s">
        <v>434</v>
      </c>
      <c r="C100" s="12" t="s">
        <v>81</v>
      </c>
      <c r="D100" s="12" t="s">
        <v>77</v>
      </c>
      <c r="E100" s="12" t="s">
        <v>310</v>
      </c>
      <c r="F100" s="12" t="s">
        <v>402</v>
      </c>
      <c r="G100" s="12" t="s">
        <v>228</v>
      </c>
      <c r="H100" s="12" t="s">
        <v>324</v>
      </c>
      <c r="I100" s="12" t="s">
        <v>110</v>
      </c>
      <c r="J100" s="12" t="s">
        <v>1257</v>
      </c>
      <c r="K100" s="11">
        <v>46168.380428240736</v>
      </c>
      <c r="L100" s="11">
        <v>46182.37568287037</v>
      </c>
      <c r="M100" s="15">
        <v>20.18</v>
      </c>
      <c r="N100" s="15">
        <v>6.18</v>
      </c>
      <c r="O100" s="12" t="b">
        <v>0</v>
      </c>
      <c r="P100" s="12" t="s">
        <v>930</v>
      </c>
      <c r="Q100" s="12">
        <v>0</v>
      </c>
      <c r="R100" s="12">
        <v>2</v>
      </c>
      <c r="S100" s="12">
        <v>0</v>
      </c>
      <c r="T100" s="12" t="s">
        <v>435</v>
      </c>
    </row>
    <row r="101" spans="1:20" ht="29" x14ac:dyDescent="0.35">
      <c r="A101" s="12" t="s">
        <v>258</v>
      </c>
      <c r="B101" s="12" t="s">
        <v>259</v>
      </c>
      <c r="C101" s="12" t="s">
        <v>81</v>
      </c>
      <c r="D101" s="12"/>
      <c r="E101" s="12" t="s">
        <v>260</v>
      </c>
      <c r="F101" s="12" t="s">
        <v>264</v>
      </c>
      <c r="G101" s="12" t="s">
        <v>195</v>
      </c>
      <c r="H101" s="12" t="s">
        <v>100</v>
      </c>
      <c r="I101" s="12" t="s">
        <v>99</v>
      </c>
      <c r="J101" s="12" t="s">
        <v>1258</v>
      </c>
      <c r="K101" s="11">
        <v>46168.408136574071</v>
      </c>
      <c r="L101" s="11">
        <v>46181.547129629631</v>
      </c>
      <c r="M101" s="15">
        <v>20.149999999999999</v>
      </c>
      <c r="N101" s="15">
        <v>7.01</v>
      </c>
      <c r="O101" s="12" t="b">
        <v>0</v>
      </c>
      <c r="P101" s="12" t="s">
        <v>930</v>
      </c>
      <c r="Q101" s="12">
        <v>0</v>
      </c>
      <c r="R101" s="12">
        <v>0</v>
      </c>
      <c r="S101" s="12">
        <v>0</v>
      </c>
      <c r="T101" s="12" t="s">
        <v>261</v>
      </c>
    </row>
    <row r="102" spans="1:20" ht="29" x14ac:dyDescent="0.35">
      <c r="A102" s="12" t="s">
        <v>268</v>
      </c>
      <c r="B102" s="12" t="s">
        <v>269</v>
      </c>
      <c r="C102" s="12" t="s">
        <v>81</v>
      </c>
      <c r="D102" s="12"/>
      <c r="E102" s="12" t="s">
        <v>260</v>
      </c>
      <c r="F102" s="12" t="s">
        <v>264</v>
      </c>
      <c r="G102" s="12" t="s">
        <v>195</v>
      </c>
      <c r="H102" s="12" t="s">
        <v>100</v>
      </c>
      <c r="I102" s="12" t="s">
        <v>99</v>
      </c>
      <c r="J102" s="12" t="s">
        <v>1259</v>
      </c>
      <c r="K102" s="11">
        <v>46168.590543981481</v>
      </c>
      <c r="L102" s="11">
        <v>46181.648101851853</v>
      </c>
      <c r="M102" s="15">
        <v>19.97</v>
      </c>
      <c r="N102" s="15">
        <v>6.91</v>
      </c>
      <c r="O102" s="12" t="b">
        <v>0</v>
      </c>
      <c r="P102" s="12" t="s">
        <v>930</v>
      </c>
      <c r="Q102" s="12">
        <v>0</v>
      </c>
      <c r="R102" s="12">
        <v>0</v>
      </c>
      <c r="S102" s="12">
        <v>0</v>
      </c>
      <c r="T102" s="12" t="s">
        <v>270</v>
      </c>
    </row>
    <row r="103" spans="1:20" ht="29" x14ac:dyDescent="0.35">
      <c r="A103" s="12" t="s">
        <v>271</v>
      </c>
      <c r="B103" s="12" t="s">
        <v>272</v>
      </c>
      <c r="C103" s="12" t="s">
        <v>81</v>
      </c>
      <c r="D103" s="12"/>
      <c r="E103" s="12" t="s">
        <v>260</v>
      </c>
      <c r="F103" s="12" t="s">
        <v>264</v>
      </c>
      <c r="G103" s="12" t="s">
        <v>195</v>
      </c>
      <c r="H103" s="12" t="s">
        <v>100</v>
      </c>
      <c r="I103" s="12" t="s">
        <v>99</v>
      </c>
      <c r="J103" s="12" t="s">
        <v>1260</v>
      </c>
      <c r="K103" s="11">
        <v>46168.592789351853</v>
      </c>
      <c r="L103" s="11">
        <v>46182.650821759264</v>
      </c>
      <c r="M103" s="15">
        <v>19.96</v>
      </c>
      <c r="N103" s="15">
        <v>5.91</v>
      </c>
      <c r="O103" s="12" t="b">
        <v>0</v>
      </c>
      <c r="P103" s="12" t="s">
        <v>930</v>
      </c>
      <c r="Q103" s="12">
        <v>0</v>
      </c>
      <c r="R103" s="12">
        <v>0</v>
      </c>
      <c r="S103" s="12">
        <v>1</v>
      </c>
      <c r="T103" s="12" t="s">
        <v>273</v>
      </c>
    </row>
    <row r="104" spans="1:20" ht="29" x14ac:dyDescent="0.35">
      <c r="A104" s="12" t="s">
        <v>1261</v>
      </c>
      <c r="B104" s="12" t="s">
        <v>1262</v>
      </c>
      <c r="C104" s="12" t="s">
        <v>81</v>
      </c>
      <c r="D104" s="12"/>
      <c r="E104" s="12" t="s">
        <v>194</v>
      </c>
      <c r="F104" s="12" t="s">
        <v>263</v>
      </c>
      <c r="G104" s="12" t="s">
        <v>195</v>
      </c>
      <c r="H104" s="12" t="s">
        <v>100</v>
      </c>
      <c r="I104" s="12" t="s">
        <v>197</v>
      </c>
      <c r="J104" s="12" t="s">
        <v>1263</v>
      </c>
      <c r="K104" s="11">
        <v>46168.593842592592</v>
      </c>
      <c r="L104" s="11">
        <v>46168.593877314823</v>
      </c>
      <c r="M104" s="15">
        <v>19.96</v>
      </c>
      <c r="N104" s="15">
        <v>19.96</v>
      </c>
      <c r="O104" s="12" t="b">
        <v>0</v>
      </c>
      <c r="P104" s="12" t="s">
        <v>930</v>
      </c>
      <c r="Q104" s="12">
        <v>0</v>
      </c>
      <c r="R104" s="12">
        <v>0</v>
      </c>
      <c r="S104" s="12">
        <v>0</v>
      </c>
      <c r="T104" s="12" t="s">
        <v>1264</v>
      </c>
    </row>
    <row r="105" spans="1:20" ht="29" x14ac:dyDescent="0.35">
      <c r="A105" s="12" t="s">
        <v>1265</v>
      </c>
      <c r="B105" s="12" t="s">
        <v>1266</v>
      </c>
      <c r="C105" s="12" t="s">
        <v>81</v>
      </c>
      <c r="D105" s="12"/>
      <c r="E105" s="12" t="s">
        <v>194</v>
      </c>
      <c r="F105" s="12" t="s">
        <v>263</v>
      </c>
      <c r="G105" s="12" t="s">
        <v>195</v>
      </c>
      <c r="H105" s="12" t="s">
        <v>100</v>
      </c>
      <c r="I105" s="12" t="s">
        <v>197</v>
      </c>
      <c r="J105" s="12" t="s">
        <v>1267</v>
      </c>
      <c r="K105" s="11">
        <v>46168.595891203702</v>
      </c>
      <c r="L105" s="11">
        <v>46168.595925925933</v>
      </c>
      <c r="M105" s="15">
        <v>19.96</v>
      </c>
      <c r="N105" s="15">
        <v>19.96</v>
      </c>
      <c r="O105" s="12" t="b">
        <v>0</v>
      </c>
      <c r="P105" s="12" t="s">
        <v>930</v>
      </c>
      <c r="Q105" s="12">
        <v>0</v>
      </c>
      <c r="R105" s="12">
        <v>0</v>
      </c>
      <c r="S105" s="12">
        <v>0</v>
      </c>
      <c r="T105" s="12" t="s">
        <v>1268</v>
      </c>
    </row>
    <row r="106" spans="1:20" ht="29" x14ac:dyDescent="0.35">
      <c r="A106" s="12" t="s">
        <v>274</v>
      </c>
      <c r="B106" s="12" t="s">
        <v>275</v>
      </c>
      <c r="C106" s="12" t="s">
        <v>81</v>
      </c>
      <c r="D106" s="12"/>
      <c r="E106" s="12" t="s">
        <v>260</v>
      </c>
      <c r="F106" s="12" t="s">
        <v>264</v>
      </c>
      <c r="G106" s="12" t="s">
        <v>195</v>
      </c>
      <c r="H106" s="12" t="s">
        <v>100</v>
      </c>
      <c r="I106" s="12" t="s">
        <v>99</v>
      </c>
      <c r="J106" s="12" t="s">
        <v>1269</v>
      </c>
      <c r="K106" s="11">
        <v>46168.596655092602</v>
      </c>
      <c r="L106" s="11">
        <v>46185.594050925924</v>
      </c>
      <c r="M106" s="15">
        <v>19.96</v>
      </c>
      <c r="N106" s="15">
        <v>2.96</v>
      </c>
      <c r="O106" s="12" t="b">
        <v>0</v>
      </c>
      <c r="P106" s="12" t="s">
        <v>930</v>
      </c>
      <c r="Q106" s="12">
        <v>0</v>
      </c>
      <c r="R106" s="12">
        <v>0</v>
      </c>
      <c r="S106" s="12">
        <v>1</v>
      </c>
      <c r="T106" s="12" t="s">
        <v>276</v>
      </c>
    </row>
    <row r="107" spans="1:20" ht="29" x14ac:dyDescent="0.35">
      <c r="A107" s="12" t="s">
        <v>277</v>
      </c>
      <c r="B107" s="12" t="s">
        <v>278</v>
      </c>
      <c r="C107" s="12" t="s">
        <v>81</v>
      </c>
      <c r="D107" s="12"/>
      <c r="E107" s="12" t="s">
        <v>260</v>
      </c>
      <c r="F107" s="12" t="s">
        <v>264</v>
      </c>
      <c r="G107" s="12" t="s">
        <v>195</v>
      </c>
      <c r="H107" s="12" t="s">
        <v>100</v>
      </c>
      <c r="I107" s="12" t="s">
        <v>99</v>
      </c>
      <c r="J107" s="12" t="s">
        <v>1270</v>
      </c>
      <c r="K107" s="11">
        <v>46168.59752314815</v>
      </c>
      <c r="L107" s="11">
        <v>46185.604259259257</v>
      </c>
      <c r="M107" s="15">
        <v>19.96</v>
      </c>
      <c r="N107" s="15">
        <v>2.95</v>
      </c>
      <c r="O107" s="12" t="b">
        <v>0</v>
      </c>
      <c r="P107" s="12" t="s">
        <v>930</v>
      </c>
      <c r="Q107" s="12">
        <v>0</v>
      </c>
      <c r="R107" s="12">
        <v>0</v>
      </c>
      <c r="S107" s="12">
        <v>0</v>
      </c>
      <c r="T107" s="12" t="s">
        <v>279</v>
      </c>
    </row>
    <row r="108" spans="1:20" ht="29" x14ac:dyDescent="0.35">
      <c r="A108" s="12" t="s">
        <v>1271</v>
      </c>
      <c r="B108" s="12" t="s">
        <v>1272</v>
      </c>
      <c r="C108" s="12" t="s">
        <v>81</v>
      </c>
      <c r="D108" s="12"/>
      <c r="E108" s="12" t="s">
        <v>194</v>
      </c>
      <c r="F108" s="12" t="s">
        <v>263</v>
      </c>
      <c r="G108" s="12" t="s">
        <v>195</v>
      </c>
      <c r="H108" s="12" t="s">
        <v>100</v>
      </c>
      <c r="I108" s="12" t="s">
        <v>197</v>
      </c>
      <c r="J108" s="12" t="s">
        <v>1273</v>
      </c>
      <c r="K108" s="11">
        <v>46168.599097222221</v>
      </c>
      <c r="L108" s="11">
        <v>46168.599166666667</v>
      </c>
      <c r="M108" s="15">
        <v>19.96</v>
      </c>
      <c r="N108" s="15">
        <v>19.96</v>
      </c>
      <c r="O108" s="12" t="b">
        <v>0</v>
      </c>
      <c r="P108" s="12" t="s">
        <v>930</v>
      </c>
      <c r="Q108" s="12">
        <v>0</v>
      </c>
      <c r="R108" s="12">
        <v>0</v>
      </c>
      <c r="S108" s="12">
        <v>0</v>
      </c>
      <c r="T108" s="12" t="s">
        <v>1274</v>
      </c>
    </row>
    <row r="109" spans="1:20" ht="29" x14ac:dyDescent="0.35">
      <c r="A109" s="12" t="s">
        <v>204</v>
      </c>
      <c r="B109" s="12" t="s">
        <v>205</v>
      </c>
      <c r="C109" s="12" t="s">
        <v>81</v>
      </c>
      <c r="D109" s="12"/>
      <c r="E109" s="12" t="s">
        <v>194</v>
      </c>
      <c r="F109" s="12" t="s">
        <v>263</v>
      </c>
      <c r="G109" s="12" t="s">
        <v>195</v>
      </c>
      <c r="H109" s="12" t="s">
        <v>100</v>
      </c>
      <c r="I109" s="12" t="s">
        <v>197</v>
      </c>
      <c r="J109" s="12" t="s">
        <v>1275</v>
      </c>
      <c r="K109" s="11">
        <v>46168.599699074082</v>
      </c>
      <c r="L109" s="11">
        <v>46183.528483796297</v>
      </c>
      <c r="M109" s="15">
        <v>19.96</v>
      </c>
      <c r="N109" s="15">
        <v>5.03</v>
      </c>
      <c r="O109" s="12" t="b">
        <v>0</v>
      </c>
      <c r="P109" s="12" t="s">
        <v>930</v>
      </c>
      <c r="Q109" s="12">
        <v>0</v>
      </c>
      <c r="R109" s="12">
        <v>0</v>
      </c>
      <c r="S109" s="12">
        <v>1</v>
      </c>
      <c r="T109" s="12" t="s">
        <v>209</v>
      </c>
    </row>
    <row r="110" spans="1:20" ht="29" x14ac:dyDescent="0.35">
      <c r="A110" s="12" t="s">
        <v>1276</v>
      </c>
      <c r="B110" s="12" t="s">
        <v>1277</v>
      </c>
      <c r="C110" s="12" t="s">
        <v>81</v>
      </c>
      <c r="D110" s="12"/>
      <c r="E110" s="12" t="s">
        <v>194</v>
      </c>
      <c r="F110" s="12" t="s">
        <v>263</v>
      </c>
      <c r="G110" s="12" t="s">
        <v>195</v>
      </c>
      <c r="H110" s="12" t="s">
        <v>100</v>
      </c>
      <c r="I110" s="12" t="s">
        <v>197</v>
      </c>
      <c r="J110" s="12" t="s">
        <v>1278</v>
      </c>
      <c r="K110" s="11">
        <v>46168.603159722217</v>
      </c>
      <c r="L110" s="11">
        <v>46168.603182870371</v>
      </c>
      <c r="M110" s="15">
        <v>19.95</v>
      </c>
      <c r="N110" s="15">
        <v>19.95</v>
      </c>
      <c r="O110" s="12" t="b">
        <v>0</v>
      </c>
      <c r="P110" s="12" t="s">
        <v>930</v>
      </c>
      <c r="Q110" s="12">
        <v>0</v>
      </c>
      <c r="R110" s="12">
        <v>0</v>
      </c>
      <c r="S110" s="12">
        <v>0</v>
      </c>
      <c r="T110" s="12" t="s">
        <v>1279</v>
      </c>
    </row>
    <row r="111" spans="1:20" ht="29" x14ac:dyDescent="0.35">
      <c r="A111" s="12" t="s">
        <v>280</v>
      </c>
      <c r="B111" s="12" t="s">
        <v>281</v>
      </c>
      <c r="C111" s="12" t="s">
        <v>81</v>
      </c>
      <c r="D111" s="12"/>
      <c r="E111" s="12" t="s">
        <v>260</v>
      </c>
      <c r="F111" s="12" t="s">
        <v>264</v>
      </c>
      <c r="G111" s="12" t="s">
        <v>195</v>
      </c>
      <c r="H111" s="12" t="s">
        <v>100</v>
      </c>
      <c r="I111" s="12" t="s">
        <v>99</v>
      </c>
      <c r="J111" s="12" t="s">
        <v>1280</v>
      </c>
      <c r="K111" s="11">
        <v>46168.611817129633</v>
      </c>
      <c r="L111" s="11">
        <v>46188.431388888886</v>
      </c>
      <c r="M111" s="15">
        <v>19.95</v>
      </c>
      <c r="N111" s="15">
        <v>0.13</v>
      </c>
      <c r="O111" s="12" t="b">
        <v>0</v>
      </c>
      <c r="P111" s="12" t="s">
        <v>930</v>
      </c>
      <c r="Q111" s="12">
        <v>0</v>
      </c>
      <c r="R111" s="12">
        <v>0</v>
      </c>
      <c r="S111" s="12">
        <v>1</v>
      </c>
      <c r="T111" s="12" t="s">
        <v>282</v>
      </c>
    </row>
    <row r="112" spans="1:20" ht="29" x14ac:dyDescent="0.35">
      <c r="A112" s="12" t="s">
        <v>210</v>
      </c>
      <c r="B112" s="12" t="s">
        <v>211</v>
      </c>
      <c r="C112" s="12" t="s">
        <v>81</v>
      </c>
      <c r="D112" s="12"/>
      <c r="E112" s="12" t="s">
        <v>194</v>
      </c>
      <c r="F112" s="12" t="s">
        <v>263</v>
      </c>
      <c r="G112" s="12" t="s">
        <v>195</v>
      </c>
      <c r="H112" s="12" t="s">
        <v>100</v>
      </c>
      <c r="I112" s="12" t="s">
        <v>99</v>
      </c>
      <c r="J112" s="12" t="s">
        <v>1281</v>
      </c>
      <c r="K112" s="11">
        <v>46168.612835648149</v>
      </c>
      <c r="L112" s="11">
        <v>46184.583414351851</v>
      </c>
      <c r="M112" s="15">
        <v>19.940000000000001</v>
      </c>
      <c r="N112" s="15">
        <v>3.97</v>
      </c>
      <c r="O112" s="12" t="b">
        <v>0</v>
      </c>
      <c r="P112" s="12" t="s">
        <v>930</v>
      </c>
      <c r="Q112" s="12">
        <v>0</v>
      </c>
      <c r="R112" s="12">
        <v>0</v>
      </c>
      <c r="S112" s="12">
        <v>0</v>
      </c>
      <c r="T112" s="12" t="s">
        <v>212</v>
      </c>
    </row>
    <row r="113" spans="1:20" ht="29" x14ac:dyDescent="0.35">
      <c r="A113" s="12" t="s">
        <v>1282</v>
      </c>
      <c r="B113" s="12" t="s">
        <v>1283</v>
      </c>
      <c r="C113" s="12" t="s">
        <v>81</v>
      </c>
      <c r="D113" s="12"/>
      <c r="E113" s="12" t="s">
        <v>194</v>
      </c>
      <c r="F113" s="12" t="s">
        <v>263</v>
      </c>
      <c r="G113" s="12" t="s">
        <v>195</v>
      </c>
      <c r="H113" s="12" t="s">
        <v>100</v>
      </c>
      <c r="I113" s="12" t="s">
        <v>197</v>
      </c>
      <c r="J113" s="12" t="s">
        <v>1284</v>
      </c>
      <c r="K113" s="11">
        <v>46168.613518518519</v>
      </c>
      <c r="L113" s="11">
        <v>46168.613541666673</v>
      </c>
      <c r="M113" s="15">
        <v>19.940000000000001</v>
      </c>
      <c r="N113" s="15">
        <v>19.940000000000001</v>
      </c>
      <c r="O113" s="12" t="b">
        <v>0</v>
      </c>
      <c r="P113" s="12" t="s">
        <v>930</v>
      </c>
      <c r="Q113" s="12">
        <v>0</v>
      </c>
      <c r="R113" s="12">
        <v>0</v>
      </c>
      <c r="S113" s="12">
        <v>0</v>
      </c>
      <c r="T113" s="12" t="s">
        <v>1285</v>
      </c>
    </row>
    <row r="114" spans="1:20" ht="29" x14ac:dyDescent="0.35">
      <c r="A114" s="12" t="s">
        <v>1286</v>
      </c>
      <c r="B114" s="12" t="s">
        <v>1287</v>
      </c>
      <c r="C114" s="12" t="s">
        <v>81</v>
      </c>
      <c r="D114" s="12"/>
      <c r="E114" s="12" t="s">
        <v>194</v>
      </c>
      <c r="F114" s="12" t="s">
        <v>263</v>
      </c>
      <c r="G114" s="12" t="s">
        <v>195</v>
      </c>
      <c r="H114" s="12" t="s">
        <v>100</v>
      </c>
      <c r="I114" s="12" t="s">
        <v>197</v>
      </c>
      <c r="J114" s="12" t="s">
        <v>1288</v>
      </c>
      <c r="K114" s="11">
        <v>46168.614837962959</v>
      </c>
      <c r="L114" s="11">
        <v>46168.614861111113</v>
      </c>
      <c r="M114" s="15">
        <v>19.940000000000001</v>
      </c>
      <c r="N114" s="15">
        <v>19.940000000000001</v>
      </c>
      <c r="O114" s="12" t="b">
        <v>0</v>
      </c>
      <c r="P114" s="12" t="s">
        <v>930</v>
      </c>
      <c r="Q114" s="12">
        <v>0</v>
      </c>
      <c r="R114" s="12">
        <v>0</v>
      </c>
      <c r="S114" s="12">
        <v>0</v>
      </c>
      <c r="T114" s="12" t="s">
        <v>1289</v>
      </c>
    </row>
    <row r="115" spans="1:20" ht="29" x14ac:dyDescent="0.35">
      <c r="A115" s="12" t="s">
        <v>1290</v>
      </c>
      <c r="B115" s="12" t="s">
        <v>1291</v>
      </c>
      <c r="C115" s="12" t="s">
        <v>81</v>
      </c>
      <c r="D115" s="12"/>
      <c r="E115" s="12" t="s">
        <v>194</v>
      </c>
      <c r="F115" s="12" t="s">
        <v>263</v>
      </c>
      <c r="G115" s="12" t="s">
        <v>195</v>
      </c>
      <c r="H115" s="12" t="s">
        <v>100</v>
      </c>
      <c r="I115" s="12" t="s">
        <v>197</v>
      </c>
      <c r="J115" s="12" t="s">
        <v>1292</v>
      </c>
      <c r="K115" s="11">
        <v>46168.61546296296</v>
      </c>
      <c r="L115" s="11">
        <v>46168.615497685183</v>
      </c>
      <c r="M115" s="15">
        <v>19.940000000000001</v>
      </c>
      <c r="N115" s="15">
        <v>19.940000000000001</v>
      </c>
      <c r="O115" s="12" t="b">
        <v>0</v>
      </c>
      <c r="P115" s="12" t="s">
        <v>930</v>
      </c>
      <c r="Q115" s="12">
        <v>0</v>
      </c>
      <c r="R115" s="12">
        <v>0</v>
      </c>
      <c r="S115" s="12">
        <v>0</v>
      </c>
      <c r="T115" s="12" t="s">
        <v>1293</v>
      </c>
    </row>
    <row r="116" spans="1:20" ht="29" x14ac:dyDescent="0.35">
      <c r="A116" s="12" t="s">
        <v>1294</v>
      </c>
      <c r="B116" s="12" t="s">
        <v>1295</v>
      </c>
      <c r="C116" s="12" t="s">
        <v>81</v>
      </c>
      <c r="D116" s="12"/>
      <c r="E116" s="12" t="s">
        <v>194</v>
      </c>
      <c r="F116" s="12" t="s">
        <v>263</v>
      </c>
      <c r="G116" s="12" t="s">
        <v>195</v>
      </c>
      <c r="H116" s="12" t="s">
        <v>100</v>
      </c>
      <c r="I116" s="12" t="s">
        <v>197</v>
      </c>
      <c r="J116" s="12" t="s">
        <v>1296</v>
      </c>
      <c r="K116" s="11">
        <v>46168.623078703713</v>
      </c>
      <c r="L116" s="11">
        <v>46168.623101851852</v>
      </c>
      <c r="M116" s="15">
        <v>19.93</v>
      </c>
      <c r="N116" s="15">
        <v>19.93</v>
      </c>
      <c r="O116" s="12" t="b">
        <v>0</v>
      </c>
      <c r="P116" s="12" t="s">
        <v>930</v>
      </c>
      <c r="Q116" s="12">
        <v>0</v>
      </c>
      <c r="R116" s="12">
        <v>0</v>
      </c>
      <c r="S116" s="12">
        <v>0</v>
      </c>
      <c r="T116" s="12" t="s">
        <v>1297</v>
      </c>
    </row>
    <row r="117" spans="1:20" ht="29" x14ac:dyDescent="0.35">
      <c r="A117" s="12" t="s">
        <v>1298</v>
      </c>
      <c r="B117" s="12" t="s">
        <v>1299</v>
      </c>
      <c r="C117" s="12" t="s">
        <v>81</v>
      </c>
      <c r="D117" s="12"/>
      <c r="E117" s="12" t="s">
        <v>194</v>
      </c>
      <c r="F117" s="12" t="s">
        <v>263</v>
      </c>
      <c r="G117" s="12" t="s">
        <v>195</v>
      </c>
      <c r="H117" s="12" t="s">
        <v>100</v>
      </c>
      <c r="I117" s="12" t="s">
        <v>197</v>
      </c>
      <c r="J117" s="12" t="s">
        <v>1300</v>
      </c>
      <c r="K117" s="11">
        <v>46168.62945601852</v>
      </c>
      <c r="L117" s="11">
        <v>46168.629479166673</v>
      </c>
      <c r="M117" s="15">
        <v>19.93</v>
      </c>
      <c r="N117" s="15">
        <v>19.93</v>
      </c>
      <c r="O117" s="12" t="b">
        <v>0</v>
      </c>
      <c r="P117" s="12" t="s">
        <v>930</v>
      </c>
      <c r="Q117" s="12">
        <v>0</v>
      </c>
      <c r="R117" s="12">
        <v>0</v>
      </c>
      <c r="S117" s="12">
        <v>0</v>
      </c>
      <c r="T117" s="12" t="s">
        <v>1301</v>
      </c>
    </row>
    <row r="118" spans="1:20" ht="29" x14ac:dyDescent="0.35">
      <c r="A118" s="12" t="s">
        <v>213</v>
      </c>
      <c r="B118" s="12" t="s">
        <v>214</v>
      </c>
      <c r="C118" s="12" t="s">
        <v>81</v>
      </c>
      <c r="D118" s="12"/>
      <c r="E118" s="12" t="s">
        <v>194</v>
      </c>
      <c r="F118" s="12" t="s">
        <v>263</v>
      </c>
      <c r="G118" s="12" t="s">
        <v>195</v>
      </c>
      <c r="H118" s="12" t="s">
        <v>100</v>
      </c>
      <c r="I118" s="12" t="s">
        <v>197</v>
      </c>
      <c r="J118" s="12" t="s">
        <v>1302</v>
      </c>
      <c r="K118" s="11">
        <v>46168.630601851852</v>
      </c>
      <c r="L118" s="11">
        <v>46182.635706018518</v>
      </c>
      <c r="M118" s="15">
        <v>19.93</v>
      </c>
      <c r="N118" s="15">
        <v>5.92</v>
      </c>
      <c r="O118" s="12" t="b">
        <v>0</v>
      </c>
      <c r="P118" s="12" t="s">
        <v>930</v>
      </c>
      <c r="Q118" s="12">
        <v>0</v>
      </c>
      <c r="R118" s="12">
        <v>0</v>
      </c>
      <c r="S118" s="12">
        <v>2</v>
      </c>
      <c r="T118" s="12" t="s">
        <v>216</v>
      </c>
    </row>
    <row r="119" spans="1:20" ht="29" x14ac:dyDescent="0.35">
      <c r="A119" s="12" t="s">
        <v>217</v>
      </c>
      <c r="B119" s="12" t="s">
        <v>218</v>
      </c>
      <c r="C119" s="12" t="s">
        <v>81</v>
      </c>
      <c r="D119" s="12"/>
      <c r="E119" s="12" t="s">
        <v>194</v>
      </c>
      <c r="F119" s="12" t="s">
        <v>263</v>
      </c>
      <c r="G119" s="12" t="s">
        <v>195</v>
      </c>
      <c r="H119" s="12" t="s">
        <v>100</v>
      </c>
      <c r="I119" s="12" t="s">
        <v>197</v>
      </c>
      <c r="J119" s="12" t="s">
        <v>1303</v>
      </c>
      <c r="K119" s="11">
        <v>46168.637986111113</v>
      </c>
      <c r="L119" s="11">
        <v>46182.413715277777</v>
      </c>
      <c r="M119" s="15">
        <v>19.920000000000002</v>
      </c>
      <c r="N119" s="15">
        <v>6.14</v>
      </c>
      <c r="O119" s="12" t="b">
        <v>0</v>
      </c>
      <c r="P119" s="12" t="s">
        <v>930</v>
      </c>
      <c r="Q119" s="12">
        <v>0</v>
      </c>
      <c r="R119" s="12">
        <v>0</v>
      </c>
      <c r="S119" s="12">
        <v>2</v>
      </c>
      <c r="T119" s="12" t="s">
        <v>219</v>
      </c>
    </row>
    <row r="120" spans="1:20" ht="29" x14ac:dyDescent="0.35">
      <c r="A120" s="12" t="s">
        <v>283</v>
      </c>
      <c r="B120" s="12" t="s">
        <v>284</v>
      </c>
      <c r="C120" s="12" t="s">
        <v>81</v>
      </c>
      <c r="D120" s="12"/>
      <c r="E120" s="12" t="s">
        <v>260</v>
      </c>
      <c r="F120" s="12" t="s">
        <v>264</v>
      </c>
      <c r="G120" s="12" t="s">
        <v>195</v>
      </c>
      <c r="H120" s="12" t="s">
        <v>100</v>
      </c>
      <c r="I120" s="12" t="s">
        <v>99</v>
      </c>
      <c r="J120" s="12" t="s">
        <v>1304</v>
      </c>
      <c r="K120" s="11">
        <v>46168.639178240737</v>
      </c>
      <c r="L120" s="11">
        <v>46184.544432870367</v>
      </c>
      <c r="M120" s="15">
        <v>19.920000000000002</v>
      </c>
      <c r="N120" s="15">
        <v>4.01</v>
      </c>
      <c r="O120" s="12" t="b">
        <v>0</v>
      </c>
      <c r="P120" s="12" t="s">
        <v>930</v>
      </c>
      <c r="Q120" s="12">
        <v>0</v>
      </c>
      <c r="R120" s="12">
        <v>0</v>
      </c>
      <c r="S120" s="12">
        <v>0</v>
      </c>
      <c r="T120" s="12" t="s">
        <v>285</v>
      </c>
    </row>
    <row r="121" spans="1:20" ht="29" x14ac:dyDescent="0.35">
      <c r="A121" s="12" t="s">
        <v>286</v>
      </c>
      <c r="B121" s="12" t="s">
        <v>287</v>
      </c>
      <c r="C121" s="12" t="s">
        <v>81</v>
      </c>
      <c r="D121" s="12"/>
      <c r="E121" s="12" t="s">
        <v>260</v>
      </c>
      <c r="F121" s="12" t="s">
        <v>264</v>
      </c>
      <c r="G121" s="12" t="s">
        <v>195</v>
      </c>
      <c r="H121" s="12" t="s">
        <v>100</v>
      </c>
      <c r="I121" s="12" t="s">
        <v>99</v>
      </c>
      <c r="J121" s="12" t="s">
        <v>1305</v>
      </c>
      <c r="K121" s="11">
        <v>46168.642592592587</v>
      </c>
      <c r="L121" s="11">
        <v>46183.606168981481</v>
      </c>
      <c r="M121" s="15">
        <v>19.91</v>
      </c>
      <c r="N121" s="15">
        <v>4.95</v>
      </c>
      <c r="O121" s="12" t="b">
        <v>0</v>
      </c>
      <c r="P121" s="12" t="s">
        <v>930</v>
      </c>
      <c r="Q121" s="12">
        <v>0</v>
      </c>
      <c r="R121" s="12">
        <v>0</v>
      </c>
      <c r="S121" s="12">
        <v>1</v>
      </c>
      <c r="T121" s="12" t="s">
        <v>288</v>
      </c>
    </row>
    <row r="122" spans="1:20" ht="29" x14ac:dyDescent="0.35">
      <c r="A122" s="12" t="s">
        <v>289</v>
      </c>
      <c r="B122" s="12" t="s">
        <v>290</v>
      </c>
      <c r="C122" s="12" t="s">
        <v>81</v>
      </c>
      <c r="D122" s="12"/>
      <c r="E122" s="12" t="s">
        <v>260</v>
      </c>
      <c r="F122" s="12" t="s">
        <v>264</v>
      </c>
      <c r="G122" s="12" t="s">
        <v>195</v>
      </c>
      <c r="H122" s="12" t="s">
        <v>100</v>
      </c>
      <c r="I122" s="12" t="s">
        <v>99</v>
      </c>
      <c r="J122" s="12" t="s">
        <v>1306</v>
      </c>
      <c r="K122" s="11">
        <v>46168.650613425933</v>
      </c>
      <c r="L122" s="11">
        <v>46184.613645833328</v>
      </c>
      <c r="M122" s="15">
        <v>19.91</v>
      </c>
      <c r="N122" s="15">
        <v>3.94</v>
      </c>
      <c r="O122" s="12" t="b">
        <v>0</v>
      </c>
      <c r="P122" s="12" t="s">
        <v>930</v>
      </c>
      <c r="Q122" s="12">
        <v>0</v>
      </c>
      <c r="R122" s="12">
        <v>0</v>
      </c>
      <c r="S122" s="12">
        <v>1</v>
      </c>
      <c r="T122" s="12" t="s">
        <v>291</v>
      </c>
    </row>
    <row r="123" spans="1:20" ht="29" x14ac:dyDescent="0.35">
      <c r="A123" s="12" t="s">
        <v>292</v>
      </c>
      <c r="B123" s="12" t="s">
        <v>293</v>
      </c>
      <c r="C123" s="12" t="s">
        <v>81</v>
      </c>
      <c r="D123" s="12"/>
      <c r="E123" s="12" t="s">
        <v>260</v>
      </c>
      <c r="F123" s="12" t="s">
        <v>264</v>
      </c>
      <c r="G123" s="12" t="s">
        <v>195</v>
      </c>
      <c r="H123" s="12" t="s">
        <v>100</v>
      </c>
      <c r="I123" s="12" t="s">
        <v>99</v>
      </c>
      <c r="J123" s="12" t="s">
        <v>1307</v>
      </c>
      <c r="K123" s="11">
        <v>46169.31826388889</v>
      </c>
      <c r="L123" s="11">
        <v>46183.559074074074</v>
      </c>
      <c r="M123" s="15">
        <v>19.239999999999998</v>
      </c>
      <c r="N123" s="15">
        <v>5</v>
      </c>
      <c r="O123" s="12" t="b">
        <v>0</v>
      </c>
      <c r="P123" s="12" t="s">
        <v>930</v>
      </c>
      <c r="Q123" s="12">
        <v>0</v>
      </c>
      <c r="R123" s="12">
        <v>0</v>
      </c>
      <c r="S123" s="12">
        <v>0</v>
      </c>
      <c r="T123" s="12" t="s">
        <v>294</v>
      </c>
    </row>
    <row r="124" spans="1:20" ht="29" x14ac:dyDescent="0.35">
      <c r="A124" s="12" t="s">
        <v>295</v>
      </c>
      <c r="B124" s="12" t="s">
        <v>296</v>
      </c>
      <c r="C124" s="12" t="s">
        <v>81</v>
      </c>
      <c r="D124" s="12"/>
      <c r="E124" s="12" t="s">
        <v>260</v>
      </c>
      <c r="F124" s="12" t="s">
        <v>264</v>
      </c>
      <c r="G124" s="12" t="s">
        <v>195</v>
      </c>
      <c r="H124" s="12" t="s">
        <v>100</v>
      </c>
      <c r="I124" s="12" t="s">
        <v>99</v>
      </c>
      <c r="J124" s="12" t="s">
        <v>1308</v>
      </c>
      <c r="K124" s="11">
        <v>46169.320474537039</v>
      </c>
      <c r="L124" s="11">
        <v>46183.393506944441</v>
      </c>
      <c r="M124" s="15">
        <v>19.239999999999998</v>
      </c>
      <c r="N124" s="15">
        <v>5.16</v>
      </c>
      <c r="O124" s="12" t="b">
        <v>0</v>
      </c>
      <c r="P124" s="12" t="s">
        <v>930</v>
      </c>
      <c r="Q124" s="12">
        <v>0</v>
      </c>
      <c r="R124" s="12">
        <v>0</v>
      </c>
      <c r="S124" s="12">
        <v>1</v>
      </c>
      <c r="T124" s="12" t="s">
        <v>297</v>
      </c>
    </row>
    <row r="125" spans="1:20" ht="29" x14ac:dyDescent="0.35">
      <c r="A125" s="12" t="s">
        <v>1309</v>
      </c>
      <c r="B125" s="12" t="s">
        <v>1310</v>
      </c>
      <c r="C125" s="12" t="s">
        <v>81</v>
      </c>
      <c r="D125" s="12"/>
      <c r="E125" s="12" t="s">
        <v>194</v>
      </c>
      <c r="F125" s="12" t="s">
        <v>263</v>
      </c>
      <c r="G125" s="12" t="s">
        <v>195</v>
      </c>
      <c r="H125" s="12" t="s">
        <v>100</v>
      </c>
      <c r="I125" s="12" t="s">
        <v>197</v>
      </c>
      <c r="J125" s="12" t="s">
        <v>1311</v>
      </c>
      <c r="K125" s="11">
        <v>46169.322974537034</v>
      </c>
      <c r="L125" s="11">
        <v>46169.323009259257</v>
      </c>
      <c r="M125" s="15">
        <v>19.23</v>
      </c>
      <c r="N125" s="15">
        <v>19.23</v>
      </c>
      <c r="O125" s="12" t="b">
        <v>0</v>
      </c>
      <c r="P125" s="12" t="s">
        <v>930</v>
      </c>
      <c r="Q125" s="12">
        <v>0</v>
      </c>
      <c r="R125" s="12">
        <v>0</v>
      </c>
      <c r="S125" s="12">
        <v>0</v>
      </c>
      <c r="T125" s="12" t="s">
        <v>1312</v>
      </c>
    </row>
    <row r="126" spans="1:20" ht="29" x14ac:dyDescent="0.35">
      <c r="A126" s="12" t="s">
        <v>1313</v>
      </c>
      <c r="B126" s="12" t="s">
        <v>1314</v>
      </c>
      <c r="C126" s="12" t="s">
        <v>81</v>
      </c>
      <c r="D126" s="12"/>
      <c r="E126" s="12" t="s">
        <v>194</v>
      </c>
      <c r="F126" s="12" t="s">
        <v>263</v>
      </c>
      <c r="G126" s="12" t="s">
        <v>195</v>
      </c>
      <c r="H126" s="12" t="s">
        <v>100</v>
      </c>
      <c r="I126" s="12" t="s">
        <v>197</v>
      </c>
      <c r="J126" s="12" t="s">
        <v>1315</v>
      </c>
      <c r="K126" s="11">
        <v>46169.323692129627</v>
      </c>
      <c r="L126" s="11">
        <v>46169.32371527778</v>
      </c>
      <c r="M126" s="15">
        <v>19.23</v>
      </c>
      <c r="N126" s="15">
        <v>19.23</v>
      </c>
      <c r="O126" s="12" t="b">
        <v>0</v>
      </c>
      <c r="P126" s="12" t="s">
        <v>930</v>
      </c>
      <c r="Q126" s="12">
        <v>0</v>
      </c>
      <c r="R126" s="12">
        <v>0</v>
      </c>
      <c r="S126" s="12">
        <v>0</v>
      </c>
      <c r="T126" s="12" t="s">
        <v>1316</v>
      </c>
    </row>
    <row r="127" spans="1:20" ht="29" x14ac:dyDescent="0.35">
      <c r="A127" s="12" t="s">
        <v>1317</v>
      </c>
      <c r="B127" s="12" t="s">
        <v>1318</v>
      </c>
      <c r="C127" s="12" t="s">
        <v>81</v>
      </c>
      <c r="D127" s="12"/>
      <c r="E127" s="12" t="s">
        <v>194</v>
      </c>
      <c r="F127" s="12" t="s">
        <v>263</v>
      </c>
      <c r="G127" s="12" t="s">
        <v>195</v>
      </c>
      <c r="H127" s="12" t="s">
        <v>100</v>
      </c>
      <c r="I127" s="12" t="s">
        <v>197</v>
      </c>
      <c r="J127" s="12" t="s">
        <v>1319</v>
      </c>
      <c r="K127" s="11">
        <v>46169.325023148151</v>
      </c>
      <c r="L127" s="11">
        <v>46169.325046296297</v>
      </c>
      <c r="M127" s="15">
        <v>19.23</v>
      </c>
      <c r="N127" s="15">
        <v>19.23</v>
      </c>
      <c r="O127" s="12" t="b">
        <v>0</v>
      </c>
      <c r="P127" s="12" t="s">
        <v>930</v>
      </c>
      <c r="Q127" s="12">
        <v>0</v>
      </c>
      <c r="R127" s="12">
        <v>0</v>
      </c>
      <c r="S127" s="12">
        <v>0</v>
      </c>
      <c r="T127" s="12" t="s">
        <v>1320</v>
      </c>
    </row>
    <row r="128" spans="1:20" ht="29" x14ac:dyDescent="0.35">
      <c r="A128" s="12" t="s">
        <v>220</v>
      </c>
      <c r="B128" s="12" t="s">
        <v>221</v>
      </c>
      <c r="C128" s="12" t="s">
        <v>81</v>
      </c>
      <c r="D128" s="12"/>
      <c r="E128" s="12" t="s">
        <v>194</v>
      </c>
      <c r="F128" s="12" t="s">
        <v>263</v>
      </c>
      <c r="G128" s="12" t="s">
        <v>195</v>
      </c>
      <c r="H128" s="12" t="s">
        <v>100</v>
      </c>
      <c r="I128" s="12" t="s">
        <v>197</v>
      </c>
      <c r="J128" s="12" t="s">
        <v>1321</v>
      </c>
      <c r="K128" s="11">
        <v>46169.325555555559</v>
      </c>
      <c r="L128" s="11">
        <v>46188.53402777778</v>
      </c>
      <c r="M128" s="15">
        <v>19.23</v>
      </c>
      <c r="N128" s="15">
        <v>0.02</v>
      </c>
      <c r="O128" s="12" t="b">
        <v>0</v>
      </c>
      <c r="P128" s="12" t="s">
        <v>930</v>
      </c>
      <c r="Q128" s="12">
        <v>0</v>
      </c>
      <c r="R128" s="12">
        <v>0</v>
      </c>
      <c r="S128" s="12">
        <v>1</v>
      </c>
      <c r="T128" s="12" t="s">
        <v>222</v>
      </c>
    </row>
    <row r="129" spans="1:20" ht="29" x14ac:dyDescent="0.35">
      <c r="A129" s="12" t="s">
        <v>223</v>
      </c>
      <c r="B129" s="12" t="s">
        <v>224</v>
      </c>
      <c r="C129" s="12" t="s">
        <v>81</v>
      </c>
      <c r="D129" s="12"/>
      <c r="E129" s="12" t="s">
        <v>194</v>
      </c>
      <c r="F129" s="12" t="s">
        <v>263</v>
      </c>
      <c r="G129" s="12" t="s">
        <v>195</v>
      </c>
      <c r="H129" s="12" t="s">
        <v>100</v>
      </c>
      <c r="I129" s="12" t="s">
        <v>99</v>
      </c>
      <c r="J129" s="12" t="s">
        <v>1322</v>
      </c>
      <c r="K129" s="11">
        <v>46169.32613425926</v>
      </c>
      <c r="L129" s="11">
        <v>46188.432118055563</v>
      </c>
      <c r="M129" s="15">
        <v>19.23</v>
      </c>
      <c r="N129" s="15">
        <v>0.12</v>
      </c>
      <c r="O129" s="12" t="b">
        <v>0</v>
      </c>
      <c r="P129" s="12" t="s">
        <v>930</v>
      </c>
      <c r="Q129" s="12">
        <v>0</v>
      </c>
      <c r="R129" s="12">
        <v>0</v>
      </c>
      <c r="S129" s="12">
        <v>0</v>
      </c>
      <c r="T129" s="12" t="s">
        <v>225</v>
      </c>
    </row>
    <row r="130" spans="1:20" ht="29" x14ac:dyDescent="0.35">
      <c r="A130" s="12" t="s">
        <v>298</v>
      </c>
      <c r="B130" s="12" t="s">
        <v>299</v>
      </c>
      <c r="C130" s="12" t="s">
        <v>81</v>
      </c>
      <c r="D130" s="12"/>
      <c r="E130" s="12" t="s">
        <v>260</v>
      </c>
      <c r="F130" s="12" t="s">
        <v>264</v>
      </c>
      <c r="G130" s="12" t="s">
        <v>195</v>
      </c>
      <c r="H130" s="12" t="s">
        <v>100</v>
      </c>
      <c r="I130" s="12" t="s">
        <v>99</v>
      </c>
      <c r="J130" s="12" t="s">
        <v>1323</v>
      </c>
      <c r="K130" s="11">
        <v>46169.326782407406</v>
      </c>
      <c r="L130" s="11">
        <v>46188.383553240739</v>
      </c>
      <c r="M130" s="15">
        <v>19.23</v>
      </c>
      <c r="N130" s="15">
        <v>0.17</v>
      </c>
      <c r="O130" s="12" t="b">
        <v>0</v>
      </c>
      <c r="P130" s="12" t="s">
        <v>930</v>
      </c>
      <c r="Q130" s="12">
        <v>0</v>
      </c>
      <c r="R130" s="12">
        <v>0</v>
      </c>
      <c r="S130" s="12">
        <v>0</v>
      </c>
      <c r="T130" s="12" t="s">
        <v>300</v>
      </c>
    </row>
    <row r="131" spans="1:20" ht="29" x14ac:dyDescent="0.35">
      <c r="A131" s="12" t="s">
        <v>1324</v>
      </c>
      <c r="B131" s="12" t="s">
        <v>1325</v>
      </c>
      <c r="C131" s="12" t="s">
        <v>81</v>
      </c>
      <c r="D131" s="12"/>
      <c r="E131" s="12" t="s">
        <v>194</v>
      </c>
      <c r="F131" s="12" t="s">
        <v>263</v>
      </c>
      <c r="G131" s="12" t="s">
        <v>195</v>
      </c>
      <c r="H131" s="12" t="s">
        <v>100</v>
      </c>
      <c r="I131" s="12" t="s">
        <v>197</v>
      </c>
      <c r="J131" s="12" t="s">
        <v>1326</v>
      </c>
      <c r="K131" s="11">
        <v>46169.488229166673</v>
      </c>
      <c r="L131" s="11">
        <v>46169.488252314812</v>
      </c>
      <c r="M131" s="15">
        <v>19.07</v>
      </c>
      <c r="N131" s="15">
        <v>19.07</v>
      </c>
      <c r="O131" s="12" t="b">
        <v>0</v>
      </c>
      <c r="P131" s="12" t="s">
        <v>930</v>
      </c>
      <c r="Q131" s="12">
        <v>0</v>
      </c>
      <c r="R131" s="12">
        <v>0</v>
      </c>
      <c r="S131" s="12">
        <v>0</v>
      </c>
      <c r="T131" s="12" t="s">
        <v>1327</v>
      </c>
    </row>
    <row r="132" spans="1:20" ht="29" x14ac:dyDescent="0.35">
      <c r="A132" s="12" t="s">
        <v>1328</v>
      </c>
      <c r="B132" s="12" t="s">
        <v>1329</v>
      </c>
      <c r="C132" s="12" t="s">
        <v>81</v>
      </c>
      <c r="D132" s="12"/>
      <c r="E132" s="12" t="s">
        <v>194</v>
      </c>
      <c r="F132" s="12" t="s">
        <v>263</v>
      </c>
      <c r="G132" s="12" t="s">
        <v>1330</v>
      </c>
      <c r="H132" s="12" t="s">
        <v>100</v>
      </c>
      <c r="I132" s="12" t="s">
        <v>197</v>
      </c>
      <c r="J132" s="12" t="s">
        <v>1331</v>
      </c>
      <c r="K132" s="11">
        <v>46169.569282407407</v>
      </c>
      <c r="L132" s="11">
        <v>46170.540763888886</v>
      </c>
      <c r="M132" s="15">
        <v>18.989999999999998</v>
      </c>
      <c r="N132" s="15">
        <v>18.02</v>
      </c>
      <c r="O132" s="12" t="b">
        <v>0</v>
      </c>
      <c r="P132" s="12" t="s">
        <v>930</v>
      </c>
      <c r="Q132" s="12">
        <v>0</v>
      </c>
      <c r="R132" s="12">
        <v>0</v>
      </c>
      <c r="S132" s="12">
        <v>0</v>
      </c>
      <c r="T132" s="12" t="s">
        <v>1332</v>
      </c>
    </row>
    <row r="133" spans="1:20" ht="29" x14ac:dyDescent="0.35">
      <c r="A133" s="12" t="s">
        <v>1333</v>
      </c>
      <c r="B133" s="12" t="s">
        <v>1334</v>
      </c>
      <c r="C133" s="12" t="s">
        <v>81</v>
      </c>
      <c r="D133" s="12"/>
      <c r="E133" s="12" t="s">
        <v>194</v>
      </c>
      <c r="F133" s="12" t="s">
        <v>263</v>
      </c>
      <c r="G133" s="12" t="s">
        <v>1330</v>
      </c>
      <c r="H133" s="12" t="s">
        <v>100</v>
      </c>
      <c r="I133" s="12" t="s">
        <v>197</v>
      </c>
      <c r="J133" s="12" t="s">
        <v>1335</v>
      </c>
      <c r="K133" s="11">
        <v>46169.58326388889</v>
      </c>
      <c r="L133" s="11">
        <v>46170.540347222217</v>
      </c>
      <c r="M133" s="15">
        <v>18.97</v>
      </c>
      <c r="N133" s="15">
        <v>18.02</v>
      </c>
      <c r="O133" s="12" t="b">
        <v>0</v>
      </c>
      <c r="P133" s="12" t="s">
        <v>930</v>
      </c>
      <c r="Q133" s="12">
        <v>0</v>
      </c>
      <c r="R133" s="12">
        <v>0</v>
      </c>
      <c r="S133" s="12">
        <v>0</v>
      </c>
      <c r="T133" s="12" t="s">
        <v>1336</v>
      </c>
    </row>
    <row r="134" spans="1:20" ht="29" x14ac:dyDescent="0.35">
      <c r="A134" s="12" t="s">
        <v>1337</v>
      </c>
      <c r="B134" s="12" t="s">
        <v>1338</v>
      </c>
      <c r="C134" s="12" t="s">
        <v>81</v>
      </c>
      <c r="D134" s="12"/>
      <c r="E134" s="12" t="s">
        <v>194</v>
      </c>
      <c r="F134" s="12" t="s">
        <v>263</v>
      </c>
      <c r="G134" s="12" t="s">
        <v>1330</v>
      </c>
      <c r="H134" s="12" t="s">
        <v>100</v>
      </c>
      <c r="I134" s="12" t="s">
        <v>197</v>
      </c>
      <c r="J134" s="12" t="s">
        <v>1339</v>
      </c>
      <c r="K134" s="11">
        <v>46169.58388888889</v>
      </c>
      <c r="L134" s="11">
        <v>46170.540034722217</v>
      </c>
      <c r="M134" s="15">
        <v>18.97</v>
      </c>
      <c r="N134" s="15">
        <v>18.02</v>
      </c>
      <c r="O134" s="12" t="b">
        <v>0</v>
      </c>
      <c r="P134" s="12" t="s">
        <v>930</v>
      </c>
      <c r="Q134" s="12">
        <v>0</v>
      </c>
      <c r="R134" s="12">
        <v>0</v>
      </c>
      <c r="S134" s="12">
        <v>0</v>
      </c>
      <c r="T134" s="12" t="s">
        <v>1340</v>
      </c>
    </row>
    <row r="135" spans="1:20" ht="29" x14ac:dyDescent="0.35">
      <c r="A135" s="12" t="s">
        <v>1341</v>
      </c>
      <c r="B135" s="12" t="s">
        <v>1342</v>
      </c>
      <c r="C135" s="12" t="s">
        <v>81</v>
      </c>
      <c r="D135" s="12"/>
      <c r="E135" s="12" t="s">
        <v>194</v>
      </c>
      <c r="F135" s="12" t="s">
        <v>263</v>
      </c>
      <c r="G135" s="12" t="s">
        <v>1330</v>
      </c>
      <c r="H135" s="12" t="s">
        <v>100</v>
      </c>
      <c r="I135" s="12" t="s">
        <v>197</v>
      </c>
      <c r="J135" s="12" t="s">
        <v>1343</v>
      </c>
      <c r="K135" s="11">
        <v>46169.584803240738</v>
      </c>
      <c r="L135" s="11">
        <v>46170.539664351847</v>
      </c>
      <c r="M135" s="15">
        <v>18.97</v>
      </c>
      <c r="N135" s="15">
        <v>18.02</v>
      </c>
      <c r="O135" s="12" t="b">
        <v>0</v>
      </c>
      <c r="P135" s="12" t="s">
        <v>930</v>
      </c>
      <c r="Q135" s="12">
        <v>0</v>
      </c>
      <c r="R135" s="12">
        <v>0</v>
      </c>
      <c r="S135" s="12">
        <v>0</v>
      </c>
      <c r="T135" s="12" t="s">
        <v>1344</v>
      </c>
    </row>
    <row r="136" spans="1:20" ht="29" x14ac:dyDescent="0.35">
      <c r="A136" s="12" t="s">
        <v>1345</v>
      </c>
      <c r="B136" s="12" t="s">
        <v>1346</v>
      </c>
      <c r="C136" s="12" t="s">
        <v>81</v>
      </c>
      <c r="D136" s="12"/>
      <c r="E136" s="12" t="s">
        <v>194</v>
      </c>
      <c r="F136" s="12" t="s">
        <v>263</v>
      </c>
      <c r="G136" s="12" t="s">
        <v>1330</v>
      </c>
      <c r="H136" s="12" t="s">
        <v>100</v>
      </c>
      <c r="I136" s="12" t="s">
        <v>197</v>
      </c>
      <c r="J136" s="12" t="s">
        <v>1347</v>
      </c>
      <c r="K136" s="11">
        <v>46169.585393518522</v>
      </c>
      <c r="L136" s="11">
        <v>46170.539247685178</v>
      </c>
      <c r="M136" s="15">
        <v>18.97</v>
      </c>
      <c r="N136" s="15">
        <v>18.02</v>
      </c>
      <c r="O136" s="12" t="b">
        <v>0</v>
      </c>
      <c r="P136" s="12" t="s">
        <v>930</v>
      </c>
      <c r="Q136" s="12">
        <v>0</v>
      </c>
      <c r="R136" s="12">
        <v>0</v>
      </c>
      <c r="S136" s="12">
        <v>0</v>
      </c>
      <c r="T136" s="12" t="s">
        <v>1348</v>
      </c>
    </row>
    <row r="137" spans="1:20" ht="29" x14ac:dyDescent="0.35">
      <c r="A137" s="12" t="s">
        <v>1349</v>
      </c>
      <c r="B137" s="12" t="s">
        <v>1350</v>
      </c>
      <c r="C137" s="12" t="s">
        <v>81</v>
      </c>
      <c r="D137" s="12"/>
      <c r="E137" s="12" t="s">
        <v>194</v>
      </c>
      <c r="F137" s="12" t="s">
        <v>263</v>
      </c>
      <c r="G137" s="12" t="s">
        <v>1330</v>
      </c>
      <c r="H137" s="12" t="s">
        <v>100</v>
      </c>
      <c r="I137" s="12" t="s">
        <v>197</v>
      </c>
      <c r="J137" s="12" t="s">
        <v>1351</v>
      </c>
      <c r="K137" s="11">
        <v>46169.589305555557</v>
      </c>
      <c r="L137" s="11">
        <v>46170.538599537038</v>
      </c>
      <c r="M137" s="15">
        <v>18.97</v>
      </c>
      <c r="N137" s="15">
        <v>18.02</v>
      </c>
      <c r="O137" s="12" t="b">
        <v>0</v>
      </c>
      <c r="P137" s="12" t="s">
        <v>930</v>
      </c>
      <c r="Q137" s="12">
        <v>0</v>
      </c>
      <c r="R137" s="12">
        <v>0</v>
      </c>
      <c r="S137" s="12">
        <v>0</v>
      </c>
      <c r="T137" s="12" t="s">
        <v>1352</v>
      </c>
    </row>
    <row r="138" spans="1:20" ht="29" x14ac:dyDescent="0.35">
      <c r="A138" s="12" t="s">
        <v>1353</v>
      </c>
      <c r="B138" s="12" t="s">
        <v>1354</v>
      </c>
      <c r="C138" s="12" t="s">
        <v>81</v>
      </c>
      <c r="D138" s="12"/>
      <c r="E138" s="12" t="s">
        <v>194</v>
      </c>
      <c r="F138" s="12" t="s">
        <v>263</v>
      </c>
      <c r="G138" s="12" t="s">
        <v>1330</v>
      </c>
      <c r="H138" s="12" t="s">
        <v>100</v>
      </c>
      <c r="I138" s="12" t="s">
        <v>197</v>
      </c>
      <c r="J138" s="12" t="s">
        <v>1355</v>
      </c>
      <c r="K138" s="11">
        <v>46169.599849537037</v>
      </c>
      <c r="L138" s="11">
        <v>46170.538148148153</v>
      </c>
      <c r="M138" s="15">
        <v>18.96</v>
      </c>
      <c r="N138" s="15">
        <v>18.02</v>
      </c>
      <c r="O138" s="12" t="b">
        <v>0</v>
      </c>
      <c r="P138" s="12" t="s">
        <v>930</v>
      </c>
      <c r="Q138" s="12">
        <v>0</v>
      </c>
      <c r="R138" s="12">
        <v>0</v>
      </c>
      <c r="S138" s="12">
        <v>0</v>
      </c>
      <c r="T138" s="12" t="s">
        <v>1356</v>
      </c>
    </row>
    <row r="139" spans="1:20" ht="29" x14ac:dyDescent="0.35">
      <c r="A139" s="12" t="s">
        <v>1357</v>
      </c>
      <c r="B139" s="12" t="s">
        <v>1358</v>
      </c>
      <c r="C139" s="12" t="s">
        <v>81</v>
      </c>
      <c r="D139" s="12"/>
      <c r="E139" s="12" t="s">
        <v>194</v>
      </c>
      <c r="F139" s="12" t="s">
        <v>263</v>
      </c>
      <c r="G139" s="12" t="s">
        <v>1330</v>
      </c>
      <c r="H139" s="12" t="s">
        <v>100</v>
      </c>
      <c r="I139" s="12" t="s">
        <v>197</v>
      </c>
      <c r="J139" s="12" t="s">
        <v>1359</v>
      </c>
      <c r="K139" s="11">
        <v>46169.600381944438</v>
      </c>
      <c r="L139" s="11">
        <v>46170.53769675926</v>
      </c>
      <c r="M139" s="15">
        <v>18.96</v>
      </c>
      <c r="N139" s="15">
        <v>18.02</v>
      </c>
      <c r="O139" s="12" t="b">
        <v>0</v>
      </c>
      <c r="P139" s="12" t="s">
        <v>930</v>
      </c>
      <c r="Q139" s="12">
        <v>0</v>
      </c>
      <c r="R139" s="12">
        <v>0</v>
      </c>
      <c r="S139" s="12">
        <v>0</v>
      </c>
      <c r="T139" s="12" t="s">
        <v>1360</v>
      </c>
    </row>
    <row r="140" spans="1:20" ht="29" x14ac:dyDescent="0.35">
      <c r="A140" s="12" t="s">
        <v>1361</v>
      </c>
      <c r="B140" s="12" t="s">
        <v>1362</v>
      </c>
      <c r="C140" s="12" t="s">
        <v>81</v>
      </c>
      <c r="D140" s="12"/>
      <c r="E140" s="12" t="s">
        <v>194</v>
      </c>
      <c r="F140" s="12" t="s">
        <v>263</v>
      </c>
      <c r="G140" s="12" t="s">
        <v>1330</v>
      </c>
      <c r="H140" s="12" t="s">
        <v>100</v>
      </c>
      <c r="I140" s="12" t="s">
        <v>197</v>
      </c>
      <c r="J140" s="12" t="s">
        <v>1363</v>
      </c>
      <c r="K140" s="11">
        <v>46169.602060185192</v>
      </c>
      <c r="L140" s="11">
        <v>46170.536469907413</v>
      </c>
      <c r="M140" s="15">
        <v>18.95</v>
      </c>
      <c r="N140" s="15">
        <v>18.02</v>
      </c>
      <c r="O140" s="12" t="b">
        <v>0</v>
      </c>
      <c r="P140" s="12" t="s">
        <v>930</v>
      </c>
      <c r="Q140" s="12">
        <v>0</v>
      </c>
      <c r="R140" s="12">
        <v>0</v>
      </c>
      <c r="S140" s="12">
        <v>0</v>
      </c>
      <c r="T140" s="12" t="s">
        <v>1364</v>
      </c>
    </row>
    <row r="141" spans="1:20" ht="29" x14ac:dyDescent="0.35">
      <c r="A141" s="12" t="s">
        <v>1365</v>
      </c>
      <c r="B141" s="12" t="s">
        <v>1366</v>
      </c>
      <c r="C141" s="12" t="s">
        <v>81</v>
      </c>
      <c r="D141" s="12"/>
      <c r="E141" s="12" t="s">
        <v>194</v>
      </c>
      <c r="F141" s="12" t="s">
        <v>263</v>
      </c>
      <c r="G141" s="12" t="s">
        <v>1330</v>
      </c>
      <c r="H141" s="12" t="s">
        <v>100</v>
      </c>
      <c r="I141" s="12" t="s">
        <v>197</v>
      </c>
      <c r="J141" s="12" t="s">
        <v>1367</v>
      </c>
      <c r="K141" s="11">
        <v>46169.602511574078</v>
      </c>
      <c r="L141" s="11">
        <v>46170.535081018519</v>
      </c>
      <c r="M141" s="15">
        <v>18.95</v>
      </c>
      <c r="N141" s="15">
        <v>18.02</v>
      </c>
      <c r="O141" s="12" t="b">
        <v>0</v>
      </c>
      <c r="P141" s="12" t="s">
        <v>930</v>
      </c>
      <c r="Q141" s="12">
        <v>0</v>
      </c>
      <c r="R141" s="12">
        <v>0</v>
      </c>
      <c r="S141" s="12">
        <v>0</v>
      </c>
      <c r="T141" s="12" t="s">
        <v>1368</v>
      </c>
    </row>
    <row r="142" spans="1:20" ht="29" x14ac:dyDescent="0.35">
      <c r="A142" s="12" t="s">
        <v>1369</v>
      </c>
      <c r="B142" s="12" t="s">
        <v>1370</v>
      </c>
      <c r="C142" s="12" t="s">
        <v>81</v>
      </c>
      <c r="D142" s="12"/>
      <c r="E142" s="12" t="s">
        <v>96</v>
      </c>
      <c r="F142" s="12" t="s">
        <v>263</v>
      </c>
      <c r="G142" s="12" t="s">
        <v>97</v>
      </c>
      <c r="H142" s="12" t="s">
        <v>100</v>
      </c>
      <c r="I142" s="12" t="s">
        <v>928</v>
      </c>
      <c r="J142" s="12" t="s">
        <v>1371</v>
      </c>
      <c r="K142" s="11">
        <v>46169.637546296297</v>
      </c>
      <c r="L142" s="11">
        <v>46169.637569444443</v>
      </c>
      <c r="M142" s="15">
        <v>18.920000000000002</v>
      </c>
      <c r="N142" s="15">
        <v>18.920000000000002</v>
      </c>
      <c r="O142" s="12" t="b">
        <v>0</v>
      </c>
      <c r="P142" s="12" t="s">
        <v>930</v>
      </c>
      <c r="Q142" s="12">
        <v>0</v>
      </c>
      <c r="R142" s="12">
        <v>0</v>
      </c>
      <c r="S142" s="12">
        <v>0</v>
      </c>
      <c r="T142" s="12" t="s">
        <v>1372</v>
      </c>
    </row>
    <row r="143" spans="1:20" ht="29" x14ac:dyDescent="0.35">
      <c r="A143" s="12" t="s">
        <v>226</v>
      </c>
      <c r="B143" s="12" t="s">
        <v>227</v>
      </c>
      <c r="C143" s="12" t="s">
        <v>81</v>
      </c>
      <c r="D143" s="12"/>
      <c r="E143" s="12" t="s">
        <v>194</v>
      </c>
      <c r="F143" s="12" t="s">
        <v>263</v>
      </c>
      <c r="G143" s="12" t="s">
        <v>228</v>
      </c>
      <c r="H143" s="12" t="s">
        <v>100</v>
      </c>
      <c r="I143" s="12" t="s">
        <v>197</v>
      </c>
      <c r="J143" s="12" t="s">
        <v>231</v>
      </c>
      <c r="K143" s="11">
        <v>46175.414895833332</v>
      </c>
      <c r="L143" s="11">
        <v>46181.586168981477</v>
      </c>
      <c r="M143" s="15">
        <v>13.14</v>
      </c>
      <c r="N143" s="15">
        <v>6.97</v>
      </c>
      <c r="O143" s="12" t="b">
        <v>1</v>
      </c>
      <c r="P143" s="12" t="s">
        <v>924</v>
      </c>
      <c r="Q143" s="12">
        <v>0</v>
      </c>
      <c r="R143" s="12">
        <v>1</v>
      </c>
      <c r="S143" s="12">
        <v>0</v>
      </c>
      <c r="T143" s="12" t="s">
        <v>232</v>
      </c>
    </row>
    <row r="144" spans="1:20" ht="29" x14ac:dyDescent="0.35">
      <c r="A144" s="12" t="s">
        <v>363</v>
      </c>
      <c r="B144" s="12" t="s">
        <v>364</v>
      </c>
      <c r="C144" s="12" t="s">
        <v>81</v>
      </c>
      <c r="D144" s="12" t="s">
        <v>347</v>
      </c>
      <c r="E144" s="12" t="s">
        <v>310</v>
      </c>
      <c r="F144" s="12" t="s">
        <v>402</v>
      </c>
      <c r="G144" s="12" t="s">
        <v>305</v>
      </c>
      <c r="H144" s="12" t="s">
        <v>100</v>
      </c>
      <c r="I144" s="12" t="s">
        <v>110</v>
      </c>
      <c r="J144" s="12" t="s">
        <v>1373</v>
      </c>
      <c r="K144" s="11">
        <v>46175.422488425917</v>
      </c>
      <c r="L144" s="11">
        <v>46188.334039351852</v>
      </c>
      <c r="M144" s="15">
        <v>13.13</v>
      </c>
      <c r="N144" s="15">
        <v>0.22</v>
      </c>
      <c r="O144" s="12" t="b">
        <v>0</v>
      </c>
      <c r="P144" s="12" t="s">
        <v>930</v>
      </c>
      <c r="Q144" s="12">
        <v>2</v>
      </c>
      <c r="R144" s="12">
        <v>0</v>
      </c>
      <c r="S144" s="12">
        <v>0</v>
      </c>
      <c r="T144" s="12" t="s">
        <v>366</v>
      </c>
    </row>
    <row r="145" spans="1:20" ht="29" x14ac:dyDescent="0.35">
      <c r="A145" s="12" t="s">
        <v>1374</v>
      </c>
      <c r="B145" s="12" t="s">
        <v>1375</v>
      </c>
      <c r="C145" s="12" t="s">
        <v>81</v>
      </c>
      <c r="D145" s="12"/>
      <c r="E145" s="12" t="s">
        <v>96</v>
      </c>
      <c r="F145" s="12" t="s">
        <v>263</v>
      </c>
      <c r="G145" s="12" t="s">
        <v>314</v>
      </c>
      <c r="H145" s="12" t="s">
        <v>100</v>
      </c>
      <c r="I145" s="12" t="s">
        <v>197</v>
      </c>
      <c r="J145" s="12" t="s">
        <v>1376</v>
      </c>
      <c r="K145" s="11">
        <v>46176.609849537039</v>
      </c>
      <c r="L145" s="11">
        <v>46176.62060185185</v>
      </c>
      <c r="M145" s="15">
        <v>11.95</v>
      </c>
      <c r="N145" s="15">
        <v>11.94</v>
      </c>
      <c r="O145" s="12" t="b">
        <v>0</v>
      </c>
      <c r="P145" s="12" t="s">
        <v>930</v>
      </c>
      <c r="Q145" s="12">
        <v>1</v>
      </c>
      <c r="R145" s="12">
        <v>0</v>
      </c>
      <c r="S145" s="12">
        <v>0</v>
      </c>
      <c r="T145" s="12" t="s">
        <v>1377</v>
      </c>
    </row>
    <row r="146" spans="1:20" ht="29" x14ac:dyDescent="0.35">
      <c r="A146" s="12" t="s">
        <v>1378</v>
      </c>
      <c r="B146" s="12" t="s">
        <v>1379</v>
      </c>
      <c r="C146" s="12" t="s">
        <v>81</v>
      </c>
      <c r="D146" s="12"/>
      <c r="E146" s="12" t="s">
        <v>96</v>
      </c>
      <c r="F146" s="12" t="s">
        <v>263</v>
      </c>
      <c r="G146" s="12" t="s">
        <v>97</v>
      </c>
      <c r="H146" s="12" t="s">
        <v>100</v>
      </c>
      <c r="I146" s="12" t="s">
        <v>110</v>
      </c>
      <c r="J146" s="12" t="s">
        <v>1380</v>
      </c>
      <c r="K146" s="11">
        <v>46177.377870370372</v>
      </c>
      <c r="L146" s="11">
        <v>46177.377893518518</v>
      </c>
      <c r="M146" s="15">
        <v>11.18</v>
      </c>
      <c r="N146" s="15">
        <v>11.18</v>
      </c>
      <c r="O146" s="12" t="b">
        <v>0</v>
      </c>
      <c r="P146" s="12" t="s">
        <v>930</v>
      </c>
      <c r="Q146" s="12">
        <v>0</v>
      </c>
      <c r="R146" s="12">
        <v>0</v>
      </c>
      <c r="S146" s="12">
        <v>0</v>
      </c>
      <c r="T146" s="12" t="s">
        <v>1381</v>
      </c>
    </row>
    <row r="147" spans="1:20" ht="29" x14ac:dyDescent="0.35">
      <c r="A147" s="12" t="s">
        <v>1382</v>
      </c>
      <c r="B147" s="12" t="s">
        <v>1383</v>
      </c>
      <c r="C147" s="12" t="s">
        <v>81</v>
      </c>
      <c r="D147" s="12"/>
      <c r="E147" s="12" t="s">
        <v>96</v>
      </c>
      <c r="F147" s="12" t="s">
        <v>263</v>
      </c>
      <c r="G147" s="12" t="s">
        <v>97</v>
      </c>
      <c r="H147" s="12" t="s">
        <v>100</v>
      </c>
      <c r="I147" s="12" t="s">
        <v>110</v>
      </c>
      <c r="J147" s="12" t="s">
        <v>1380</v>
      </c>
      <c r="K147" s="11">
        <v>46177.37871527778</v>
      </c>
      <c r="L147" s="11">
        <v>46177.378738425927</v>
      </c>
      <c r="M147" s="15">
        <v>11.18</v>
      </c>
      <c r="N147" s="15">
        <v>11.18</v>
      </c>
      <c r="O147" s="12" t="b">
        <v>0</v>
      </c>
      <c r="P147" s="12" t="s">
        <v>930</v>
      </c>
      <c r="Q147" s="12">
        <v>0</v>
      </c>
      <c r="R147" s="12">
        <v>0</v>
      </c>
      <c r="S147" s="12">
        <v>0</v>
      </c>
      <c r="T147" s="12" t="s">
        <v>1384</v>
      </c>
    </row>
    <row r="148" spans="1:20" ht="29" x14ac:dyDescent="0.35">
      <c r="A148" s="12" t="s">
        <v>1385</v>
      </c>
      <c r="B148" s="12" t="s">
        <v>1386</v>
      </c>
      <c r="C148" s="12" t="s">
        <v>81</v>
      </c>
      <c r="D148" s="12"/>
      <c r="E148" s="12" t="s">
        <v>96</v>
      </c>
      <c r="F148" s="12" t="s">
        <v>263</v>
      </c>
      <c r="G148" s="12" t="s">
        <v>97</v>
      </c>
      <c r="H148" s="12" t="s">
        <v>100</v>
      </c>
      <c r="I148" s="12" t="s">
        <v>110</v>
      </c>
      <c r="J148" s="12" t="s">
        <v>1380</v>
      </c>
      <c r="K148" s="11">
        <v>46178.340601851851</v>
      </c>
      <c r="L148" s="11">
        <v>46178.340624999997</v>
      </c>
      <c r="M148" s="15">
        <v>10.220000000000001</v>
      </c>
      <c r="N148" s="15">
        <v>10.220000000000001</v>
      </c>
      <c r="O148" s="12" t="b">
        <v>0</v>
      </c>
      <c r="P148" s="12" t="s">
        <v>930</v>
      </c>
      <c r="Q148" s="12">
        <v>0</v>
      </c>
      <c r="R148" s="12">
        <v>0</v>
      </c>
      <c r="S148" s="12">
        <v>0</v>
      </c>
      <c r="T148" s="12" t="s">
        <v>1387</v>
      </c>
    </row>
    <row r="149" spans="1:20" ht="29" x14ac:dyDescent="0.35">
      <c r="A149" s="12" t="s">
        <v>1388</v>
      </c>
      <c r="B149" s="12" t="s">
        <v>1389</v>
      </c>
      <c r="C149" s="12" t="s">
        <v>81</v>
      </c>
      <c r="D149" s="12"/>
      <c r="E149" s="12" t="s">
        <v>96</v>
      </c>
      <c r="F149" s="12" t="s">
        <v>263</v>
      </c>
      <c r="G149" s="12" t="s">
        <v>97</v>
      </c>
      <c r="H149" s="12" t="s">
        <v>100</v>
      </c>
      <c r="I149" s="12" t="s">
        <v>110</v>
      </c>
      <c r="J149" s="12" t="s">
        <v>1390</v>
      </c>
      <c r="K149" s="11">
        <v>46178.343449074076</v>
      </c>
      <c r="L149" s="11">
        <v>46178.3434837963</v>
      </c>
      <c r="M149" s="15">
        <v>10.210000000000001</v>
      </c>
      <c r="N149" s="15">
        <v>10.210000000000001</v>
      </c>
      <c r="O149" s="12" t="b">
        <v>0</v>
      </c>
      <c r="P149" s="12" t="s">
        <v>930</v>
      </c>
      <c r="Q149" s="12">
        <v>0</v>
      </c>
      <c r="R149" s="12">
        <v>0</v>
      </c>
      <c r="S149" s="12">
        <v>0</v>
      </c>
      <c r="T149" s="12" t="s">
        <v>1391</v>
      </c>
    </row>
    <row r="150" spans="1:20" ht="29" x14ac:dyDescent="0.35">
      <c r="A150" s="12" t="s">
        <v>1392</v>
      </c>
      <c r="B150" s="12" t="s">
        <v>1393</v>
      </c>
      <c r="C150" s="12" t="s">
        <v>81</v>
      </c>
      <c r="D150" s="12"/>
      <c r="E150" s="12" t="s">
        <v>96</v>
      </c>
      <c r="F150" s="12" t="s">
        <v>263</v>
      </c>
      <c r="G150" s="12" t="s">
        <v>97</v>
      </c>
      <c r="H150" s="12" t="s">
        <v>100</v>
      </c>
      <c r="I150" s="12" t="s">
        <v>99</v>
      </c>
      <c r="J150" s="12" t="s">
        <v>1390</v>
      </c>
      <c r="K150" s="11">
        <v>46178.501203703701</v>
      </c>
      <c r="L150" s="11">
        <v>46178.573738425926</v>
      </c>
      <c r="M150" s="15">
        <v>10.06</v>
      </c>
      <c r="N150" s="15">
        <v>9.98</v>
      </c>
      <c r="O150" s="12" t="b">
        <v>0</v>
      </c>
      <c r="P150" s="12" t="s">
        <v>930</v>
      </c>
      <c r="Q150" s="12">
        <v>0</v>
      </c>
      <c r="R150" s="12">
        <v>0</v>
      </c>
      <c r="S150" s="12">
        <v>3</v>
      </c>
      <c r="T150" s="12" t="s">
        <v>1394</v>
      </c>
    </row>
    <row r="151" spans="1:20" ht="29" x14ac:dyDescent="0.35">
      <c r="A151" s="12" t="s">
        <v>400</v>
      </c>
      <c r="B151" s="12" t="s">
        <v>401</v>
      </c>
      <c r="C151" s="12" t="s">
        <v>81</v>
      </c>
      <c r="D151" s="12" t="s">
        <v>347</v>
      </c>
      <c r="E151" s="12" t="s">
        <v>342</v>
      </c>
      <c r="F151" s="12" t="s">
        <v>402</v>
      </c>
      <c r="G151" s="12" t="s">
        <v>228</v>
      </c>
      <c r="H151" s="12" t="s">
        <v>100</v>
      </c>
      <c r="I151" s="12" t="s">
        <v>99</v>
      </c>
      <c r="J151" s="12" t="s">
        <v>1395</v>
      </c>
      <c r="K151" s="11">
        <v>46178.540231481478</v>
      </c>
      <c r="L151" s="11">
        <v>46183.367743055547</v>
      </c>
      <c r="M151" s="15">
        <v>10.02</v>
      </c>
      <c r="N151" s="15">
        <v>5.19</v>
      </c>
      <c r="O151" s="12" t="b">
        <v>1</v>
      </c>
      <c r="P151" s="12" t="s">
        <v>924</v>
      </c>
      <c r="Q151" s="12">
        <v>1</v>
      </c>
      <c r="R151" s="12">
        <v>0</v>
      </c>
      <c r="S151" s="12">
        <v>2</v>
      </c>
      <c r="T151" s="12" t="s">
        <v>403</v>
      </c>
    </row>
    <row r="152" spans="1:20" ht="29" x14ac:dyDescent="0.35">
      <c r="A152" s="12" t="s">
        <v>1396</v>
      </c>
      <c r="B152" s="12" t="s">
        <v>1397</v>
      </c>
      <c r="C152" s="12" t="s">
        <v>81</v>
      </c>
      <c r="D152" s="12"/>
      <c r="E152" s="12" t="s">
        <v>194</v>
      </c>
      <c r="F152" s="12" t="s">
        <v>263</v>
      </c>
      <c r="G152" s="12" t="s">
        <v>195</v>
      </c>
      <c r="H152" s="12" t="s">
        <v>100</v>
      </c>
      <c r="I152" s="12" t="s">
        <v>197</v>
      </c>
      <c r="J152" s="12" t="s">
        <v>1398</v>
      </c>
      <c r="K152" s="11">
        <v>46178.552141203712</v>
      </c>
      <c r="L152" s="11">
        <v>46178.552164351851</v>
      </c>
      <c r="M152" s="15">
        <v>10</v>
      </c>
      <c r="N152" s="15">
        <v>10</v>
      </c>
      <c r="O152" s="12" t="b">
        <v>0</v>
      </c>
      <c r="P152" s="12" t="s">
        <v>930</v>
      </c>
      <c r="Q152" s="12">
        <v>0</v>
      </c>
      <c r="R152" s="12">
        <v>0</v>
      </c>
      <c r="S152" s="12">
        <v>0</v>
      </c>
      <c r="T152" s="12" t="s">
        <v>1399</v>
      </c>
    </row>
    <row r="153" spans="1:20" ht="29" x14ac:dyDescent="0.35">
      <c r="A153" s="12" t="s">
        <v>1400</v>
      </c>
      <c r="B153" s="12" t="s">
        <v>1401</v>
      </c>
      <c r="C153" s="12" t="s">
        <v>81</v>
      </c>
      <c r="D153" s="12"/>
      <c r="E153" s="12" t="s">
        <v>96</v>
      </c>
      <c r="F153" s="12" t="s">
        <v>263</v>
      </c>
      <c r="G153" s="12" t="s">
        <v>97</v>
      </c>
      <c r="H153" s="12" t="s">
        <v>100</v>
      </c>
      <c r="I153" s="12" t="s">
        <v>928</v>
      </c>
      <c r="J153" s="12" t="s">
        <v>1402</v>
      </c>
      <c r="K153" s="11">
        <v>46178.55259259259</v>
      </c>
      <c r="L153" s="11">
        <v>46178.552615740737</v>
      </c>
      <c r="M153" s="15">
        <v>10</v>
      </c>
      <c r="N153" s="15">
        <v>10</v>
      </c>
      <c r="O153" s="12" t="b">
        <v>0</v>
      </c>
      <c r="P153" s="12" t="s">
        <v>930</v>
      </c>
      <c r="Q153" s="12">
        <v>0</v>
      </c>
      <c r="R153" s="12">
        <v>0</v>
      </c>
      <c r="S153" s="12">
        <v>0</v>
      </c>
      <c r="T153" s="12" t="s">
        <v>1403</v>
      </c>
    </row>
    <row r="154" spans="1:20" ht="29" x14ac:dyDescent="0.35">
      <c r="A154" s="12" t="s">
        <v>1404</v>
      </c>
      <c r="B154" s="12" t="s">
        <v>1405</v>
      </c>
      <c r="C154" s="12" t="s">
        <v>81</v>
      </c>
      <c r="D154" s="12" t="s">
        <v>347</v>
      </c>
      <c r="E154" s="12" t="s">
        <v>194</v>
      </c>
      <c r="F154" s="12" t="s">
        <v>263</v>
      </c>
      <c r="G154" s="12" t="s">
        <v>228</v>
      </c>
      <c r="H154" s="12" t="s">
        <v>100</v>
      </c>
      <c r="I154" s="12" t="s">
        <v>99</v>
      </c>
      <c r="J154" s="12" t="s">
        <v>1406</v>
      </c>
      <c r="K154" s="11">
        <v>46178.573703703703</v>
      </c>
      <c r="L154" s="11">
        <v>46178.576041666667</v>
      </c>
      <c r="M154" s="15">
        <v>9.98</v>
      </c>
      <c r="N154" s="15">
        <v>9.98</v>
      </c>
      <c r="O154" s="12" t="b">
        <v>0</v>
      </c>
      <c r="P154" s="12" t="s">
        <v>930</v>
      </c>
      <c r="Q154" s="12">
        <v>0</v>
      </c>
      <c r="R154" s="12">
        <v>6</v>
      </c>
      <c r="S154" s="12">
        <v>2</v>
      </c>
      <c r="T154" s="12" t="s">
        <v>1407</v>
      </c>
    </row>
    <row r="155" spans="1:20" ht="29" x14ac:dyDescent="0.35">
      <c r="A155" s="12" t="s">
        <v>94</v>
      </c>
      <c r="B155" s="12" t="s">
        <v>95</v>
      </c>
      <c r="C155" s="12" t="s">
        <v>81</v>
      </c>
      <c r="D155" s="12"/>
      <c r="E155" s="12" t="s">
        <v>96</v>
      </c>
      <c r="F155" s="12" t="s">
        <v>263</v>
      </c>
      <c r="G155" s="12" t="s">
        <v>97</v>
      </c>
      <c r="H155" s="12" t="s">
        <v>100</v>
      </c>
      <c r="I155" s="12" t="s">
        <v>99</v>
      </c>
      <c r="J155" s="12" t="s">
        <v>101</v>
      </c>
      <c r="K155" s="11">
        <v>46181.353055555563</v>
      </c>
      <c r="L155" s="11">
        <v>46181.353078703702</v>
      </c>
      <c r="M155" s="15">
        <v>7.2</v>
      </c>
      <c r="N155" s="15">
        <v>7.2</v>
      </c>
      <c r="O155" s="12" t="b">
        <v>0</v>
      </c>
      <c r="P155" s="12" t="s">
        <v>930</v>
      </c>
      <c r="Q155" s="12">
        <v>0</v>
      </c>
      <c r="R155" s="12">
        <v>0</v>
      </c>
      <c r="S155" s="12">
        <v>0</v>
      </c>
      <c r="T155" s="12" t="s">
        <v>102</v>
      </c>
    </row>
    <row r="156" spans="1:20" ht="29" x14ac:dyDescent="0.35">
      <c r="A156" s="12" t="s">
        <v>104</v>
      </c>
      <c r="B156" s="12" t="s">
        <v>105</v>
      </c>
      <c r="C156" s="12" t="s">
        <v>81</v>
      </c>
      <c r="D156" s="12"/>
      <c r="E156" s="12" t="s">
        <v>96</v>
      </c>
      <c r="F156" s="12" t="s">
        <v>263</v>
      </c>
      <c r="G156" s="12" t="s">
        <v>97</v>
      </c>
      <c r="H156" s="12" t="s">
        <v>100</v>
      </c>
      <c r="I156" s="12" t="s">
        <v>99</v>
      </c>
      <c r="J156" s="12" t="s">
        <v>106</v>
      </c>
      <c r="K156" s="11">
        <v>46181.589768518519</v>
      </c>
      <c r="L156" s="11">
        <v>46181.589791666673</v>
      </c>
      <c r="M156" s="15">
        <v>6.97</v>
      </c>
      <c r="N156" s="15">
        <v>6.97</v>
      </c>
      <c r="O156" s="12" t="b">
        <v>0</v>
      </c>
      <c r="P156" s="12" t="s">
        <v>930</v>
      </c>
      <c r="Q156" s="12">
        <v>0</v>
      </c>
      <c r="R156" s="12">
        <v>0</v>
      </c>
      <c r="S156" s="12">
        <v>0</v>
      </c>
      <c r="T156" s="12" t="s">
        <v>107</v>
      </c>
    </row>
    <row r="157" spans="1:20" ht="29" x14ac:dyDescent="0.35">
      <c r="A157" s="12" t="s">
        <v>233</v>
      </c>
      <c r="B157" s="12" t="s">
        <v>234</v>
      </c>
      <c r="C157" s="12" t="s">
        <v>81</v>
      </c>
      <c r="D157" s="12"/>
      <c r="E157" s="12" t="s">
        <v>194</v>
      </c>
      <c r="F157" s="12" t="s">
        <v>263</v>
      </c>
      <c r="G157" s="12" t="s">
        <v>228</v>
      </c>
      <c r="H157" s="12" t="s">
        <v>100</v>
      </c>
      <c r="I157" s="12" t="s">
        <v>197</v>
      </c>
      <c r="J157" s="12" t="s">
        <v>235</v>
      </c>
      <c r="K157" s="11">
        <v>46181.592152777783</v>
      </c>
      <c r="L157" s="11">
        <v>46181.593425925923</v>
      </c>
      <c r="M157" s="15">
        <v>6.96</v>
      </c>
      <c r="N157" s="15">
        <v>6.96</v>
      </c>
      <c r="O157" s="12" t="b">
        <v>1</v>
      </c>
      <c r="P157" s="12" t="s">
        <v>924</v>
      </c>
      <c r="Q157" s="12">
        <v>0</v>
      </c>
      <c r="R157" s="12">
        <v>1</v>
      </c>
      <c r="S157" s="12">
        <v>0</v>
      </c>
      <c r="T157" s="12" t="s">
        <v>236</v>
      </c>
    </row>
    <row r="158" spans="1:20" ht="29" x14ac:dyDescent="0.35">
      <c r="A158" s="12" t="s">
        <v>108</v>
      </c>
      <c r="B158" s="12" t="s">
        <v>109</v>
      </c>
      <c r="C158" s="12" t="s">
        <v>81</v>
      </c>
      <c r="D158" s="12"/>
      <c r="E158" s="12" t="s">
        <v>96</v>
      </c>
      <c r="F158" s="12" t="s">
        <v>263</v>
      </c>
      <c r="G158" s="12" t="s">
        <v>97</v>
      </c>
      <c r="H158" s="12" t="s">
        <v>100</v>
      </c>
      <c r="I158" s="12" t="s">
        <v>110</v>
      </c>
      <c r="J158" s="12" t="s">
        <v>111</v>
      </c>
      <c r="K158" s="11">
        <v>46181.614201388889</v>
      </c>
      <c r="L158" s="11">
        <v>46182.635706018518</v>
      </c>
      <c r="M158" s="15">
        <v>6.94</v>
      </c>
      <c r="N158" s="15">
        <v>5.92</v>
      </c>
      <c r="O158" s="12" t="b">
        <v>0</v>
      </c>
      <c r="P158" s="12" t="s">
        <v>930</v>
      </c>
      <c r="Q158" s="12">
        <v>0</v>
      </c>
      <c r="R158" s="12">
        <v>0</v>
      </c>
      <c r="S158" s="12">
        <v>2</v>
      </c>
      <c r="T158" s="12" t="s">
        <v>112</v>
      </c>
    </row>
    <row r="159" spans="1:20" ht="29" x14ac:dyDescent="0.35">
      <c r="A159" s="12" t="s">
        <v>237</v>
      </c>
      <c r="B159" s="12" t="s">
        <v>238</v>
      </c>
      <c r="C159" s="12" t="s">
        <v>81</v>
      </c>
      <c r="D159" s="12"/>
      <c r="E159" s="12" t="s">
        <v>194</v>
      </c>
      <c r="F159" s="12" t="s">
        <v>263</v>
      </c>
      <c r="G159" s="12" t="s">
        <v>195</v>
      </c>
      <c r="H159" s="12" t="s">
        <v>100</v>
      </c>
      <c r="I159" s="12" t="s">
        <v>197</v>
      </c>
      <c r="J159" s="12" t="s">
        <v>239</v>
      </c>
      <c r="K159" s="11">
        <v>46181.642152777778</v>
      </c>
      <c r="L159" s="11">
        <v>46181.642175925917</v>
      </c>
      <c r="M159" s="15">
        <v>6.91</v>
      </c>
      <c r="N159" s="15">
        <v>6.91</v>
      </c>
      <c r="O159" s="12" t="b">
        <v>0</v>
      </c>
      <c r="P159" s="12" t="s">
        <v>930</v>
      </c>
      <c r="Q159" s="12">
        <v>0</v>
      </c>
      <c r="R159" s="12">
        <v>0</v>
      </c>
      <c r="S159" s="12">
        <v>0</v>
      </c>
      <c r="T159" s="12" t="s">
        <v>240</v>
      </c>
    </row>
    <row r="160" spans="1:20" ht="29" x14ac:dyDescent="0.35">
      <c r="A160" s="12" t="s">
        <v>241</v>
      </c>
      <c r="B160" s="12" t="s">
        <v>242</v>
      </c>
      <c r="C160" s="12" t="s">
        <v>81</v>
      </c>
      <c r="D160" s="12"/>
      <c r="E160" s="12" t="s">
        <v>194</v>
      </c>
      <c r="F160" s="12" t="s">
        <v>263</v>
      </c>
      <c r="G160" s="12" t="s">
        <v>195</v>
      </c>
      <c r="H160" s="12" t="s">
        <v>100</v>
      </c>
      <c r="I160" s="12" t="s">
        <v>197</v>
      </c>
      <c r="J160" s="12" t="s">
        <v>239</v>
      </c>
      <c r="K160" s="11">
        <v>46181.642164351862</v>
      </c>
      <c r="L160" s="11">
        <v>46181.642199074071</v>
      </c>
      <c r="M160" s="15">
        <v>6.91</v>
      </c>
      <c r="N160" s="15">
        <v>6.91</v>
      </c>
      <c r="O160" s="12" t="b">
        <v>0</v>
      </c>
      <c r="P160" s="12" t="s">
        <v>930</v>
      </c>
      <c r="Q160" s="12">
        <v>0</v>
      </c>
      <c r="R160" s="12">
        <v>0</v>
      </c>
      <c r="S160" s="12">
        <v>0</v>
      </c>
      <c r="T160" s="12" t="s">
        <v>243</v>
      </c>
    </row>
    <row r="161" spans="1:20" ht="29" x14ac:dyDescent="0.35">
      <c r="A161" s="12" t="s">
        <v>244</v>
      </c>
      <c r="B161" s="12" t="s">
        <v>245</v>
      </c>
      <c r="C161" s="12" t="s">
        <v>81</v>
      </c>
      <c r="D161" s="12"/>
      <c r="E161" s="12" t="s">
        <v>194</v>
      </c>
      <c r="F161" s="12" t="s">
        <v>263</v>
      </c>
      <c r="G161" s="12" t="s">
        <v>195</v>
      </c>
      <c r="H161" s="12" t="s">
        <v>100</v>
      </c>
      <c r="I161" s="12" t="s">
        <v>197</v>
      </c>
      <c r="J161" s="12" t="s">
        <v>239</v>
      </c>
      <c r="K161" s="11">
        <v>46181.642175925917</v>
      </c>
      <c r="L161" s="11">
        <v>46181.642199074071</v>
      </c>
      <c r="M161" s="15">
        <v>6.91</v>
      </c>
      <c r="N161" s="15">
        <v>6.91</v>
      </c>
      <c r="O161" s="12" t="b">
        <v>0</v>
      </c>
      <c r="P161" s="12" t="s">
        <v>930</v>
      </c>
      <c r="Q161" s="12">
        <v>0</v>
      </c>
      <c r="R161" s="12">
        <v>0</v>
      </c>
      <c r="S161" s="12">
        <v>0</v>
      </c>
      <c r="T161" s="12" t="s">
        <v>246</v>
      </c>
    </row>
    <row r="162" spans="1:20" ht="29" x14ac:dyDescent="0.35">
      <c r="A162" s="12" t="s">
        <v>247</v>
      </c>
      <c r="B162" s="12" t="s">
        <v>248</v>
      </c>
      <c r="C162" s="12" t="s">
        <v>81</v>
      </c>
      <c r="D162" s="12"/>
      <c r="E162" s="12" t="s">
        <v>194</v>
      </c>
      <c r="F162" s="12" t="s">
        <v>263</v>
      </c>
      <c r="G162" s="12" t="s">
        <v>195</v>
      </c>
      <c r="H162" s="12" t="s">
        <v>100</v>
      </c>
      <c r="I162" s="12" t="s">
        <v>197</v>
      </c>
      <c r="J162" s="12" t="s">
        <v>239</v>
      </c>
      <c r="K162" s="11">
        <v>46181.642187500001</v>
      </c>
      <c r="L162" s="11">
        <v>46181.642199074071</v>
      </c>
      <c r="M162" s="15">
        <v>6.91</v>
      </c>
      <c r="N162" s="15">
        <v>6.91</v>
      </c>
      <c r="O162" s="12" t="b">
        <v>0</v>
      </c>
      <c r="P162" s="12" t="s">
        <v>930</v>
      </c>
      <c r="Q162" s="12">
        <v>0</v>
      </c>
      <c r="R162" s="12">
        <v>0</v>
      </c>
      <c r="S162" s="12">
        <v>0</v>
      </c>
      <c r="T162" s="12" t="s">
        <v>249</v>
      </c>
    </row>
    <row r="163" spans="1:20" ht="43.5" x14ac:dyDescent="0.35">
      <c r="A163" s="12" t="s">
        <v>372</v>
      </c>
      <c r="B163" s="12" t="s">
        <v>373</v>
      </c>
      <c r="C163" s="12" t="s">
        <v>81</v>
      </c>
      <c r="D163" s="12" t="s">
        <v>347</v>
      </c>
      <c r="E163" s="12" t="s">
        <v>310</v>
      </c>
      <c r="F163" s="12" t="s">
        <v>402</v>
      </c>
      <c r="G163" s="12" t="s">
        <v>305</v>
      </c>
      <c r="H163" s="12" t="s">
        <v>100</v>
      </c>
      <c r="I163" s="12" t="s">
        <v>99</v>
      </c>
      <c r="J163" s="12" t="s">
        <v>374</v>
      </c>
      <c r="K163" s="11">
        <v>46182.344363425917</v>
      </c>
      <c r="L163" s="11">
        <v>46185.32335648148</v>
      </c>
      <c r="M163" s="15">
        <v>6.21</v>
      </c>
      <c r="N163" s="15">
        <v>3.23</v>
      </c>
      <c r="O163" s="12" t="b">
        <v>0</v>
      </c>
      <c r="P163" s="12" t="s">
        <v>930</v>
      </c>
      <c r="Q163" s="12">
        <v>2</v>
      </c>
      <c r="R163" s="12">
        <v>0</v>
      </c>
      <c r="S163" s="12">
        <v>0</v>
      </c>
      <c r="T163" s="12" t="s">
        <v>375</v>
      </c>
    </row>
    <row r="164" spans="1:20" ht="29" x14ac:dyDescent="0.35">
      <c r="A164" s="12" t="s">
        <v>113</v>
      </c>
      <c r="B164" s="12" t="s">
        <v>114</v>
      </c>
      <c r="C164" s="12" t="s">
        <v>81</v>
      </c>
      <c r="D164" s="12"/>
      <c r="E164" s="12" t="s">
        <v>96</v>
      </c>
      <c r="F164" s="12" t="s">
        <v>263</v>
      </c>
      <c r="G164" s="12" t="s">
        <v>97</v>
      </c>
      <c r="H164" s="12" t="s">
        <v>100</v>
      </c>
      <c r="I164" s="12" t="s">
        <v>110</v>
      </c>
      <c r="J164" s="12" t="s">
        <v>115</v>
      </c>
      <c r="K164" s="11">
        <v>46182.395451388889</v>
      </c>
      <c r="L164" s="11">
        <v>46182.413715277777</v>
      </c>
      <c r="M164" s="15">
        <v>6.16</v>
      </c>
      <c r="N164" s="15">
        <v>6.14</v>
      </c>
      <c r="O164" s="12" t="b">
        <v>0</v>
      </c>
      <c r="P164" s="12" t="s">
        <v>930</v>
      </c>
      <c r="Q164" s="12">
        <v>0</v>
      </c>
      <c r="R164" s="12">
        <v>0</v>
      </c>
      <c r="S164" s="12">
        <v>2</v>
      </c>
      <c r="T164" s="12" t="s">
        <v>116</v>
      </c>
    </row>
    <row r="165" spans="1:20" ht="29" x14ac:dyDescent="0.35">
      <c r="A165" s="12" t="s">
        <v>376</v>
      </c>
      <c r="B165" s="12" t="s">
        <v>377</v>
      </c>
      <c r="C165" s="12" t="s">
        <v>81</v>
      </c>
      <c r="D165" s="12" t="s">
        <v>347</v>
      </c>
      <c r="E165" s="12" t="s">
        <v>310</v>
      </c>
      <c r="F165" s="12" t="s">
        <v>402</v>
      </c>
      <c r="G165" s="12" t="s">
        <v>228</v>
      </c>
      <c r="H165" s="12" t="s">
        <v>100</v>
      </c>
      <c r="I165" s="12" t="s">
        <v>110</v>
      </c>
      <c r="J165" s="12" t="s">
        <v>378</v>
      </c>
      <c r="K165" s="11">
        <v>46182.412476851852</v>
      </c>
      <c r="L165" s="11">
        <v>46188.392916666657</v>
      </c>
      <c r="M165" s="15">
        <v>6.14</v>
      </c>
      <c r="N165" s="15">
        <v>0.16</v>
      </c>
      <c r="O165" s="12" t="b">
        <v>1</v>
      </c>
      <c r="P165" s="12" t="s">
        <v>947</v>
      </c>
      <c r="Q165" s="12">
        <v>1</v>
      </c>
      <c r="R165" s="12">
        <v>2</v>
      </c>
      <c r="S165" s="12">
        <v>2</v>
      </c>
      <c r="T165" s="12" t="s">
        <v>379</v>
      </c>
    </row>
    <row r="166" spans="1:20" ht="29" x14ac:dyDescent="0.35">
      <c r="A166" s="12" t="s">
        <v>117</v>
      </c>
      <c r="B166" s="12" t="s">
        <v>118</v>
      </c>
      <c r="C166" s="12" t="s">
        <v>81</v>
      </c>
      <c r="D166" s="12"/>
      <c r="E166" s="12" t="s">
        <v>96</v>
      </c>
      <c r="F166" s="12" t="s">
        <v>263</v>
      </c>
      <c r="G166" s="12" t="s">
        <v>97</v>
      </c>
      <c r="H166" s="12" t="s">
        <v>100</v>
      </c>
      <c r="I166" s="12" t="s">
        <v>99</v>
      </c>
      <c r="J166" s="12" t="s">
        <v>119</v>
      </c>
      <c r="K166" s="11">
        <v>46182.615208333344</v>
      </c>
      <c r="L166" s="11">
        <v>46182.644918981481</v>
      </c>
      <c r="M166" s="15">
        <v>5.94</v>
      </c>
      <c r="N166" s="15">
        <v>5.91</v>
      </c>
      <c r="O166" s="12" t="b">
        <v>0</v>
      </c>
      <c r="P166" s="12" t="s">
        <v>930</v>
      </c>
      <c r="Q166" s="12">
        <v>0</v>
      </c>
      <c r="R166" s="12">
        <v>0</v>
      </c>
      <c r="S166" s="12">
        <v>1</v>
      </c>
      <c r="T166" s="12" t="s">
        <v>120</v>
      </c>
    </row>
    <row r="167" spans="1:20" ht="29" x14ac:dyDescent="0.35">
      <c r="A167" s="12" t="s">
        <v>380</v>
      </c>
      <c r="B167" s="12" t="s">
        <v>381</v>
      </c>
      <c r="C167" s="12" t="s">
        <v>81</v>
      </c>
      <c r="D167" s="12" t="s">
        <v>347</v>
      </c>
      <c r="E167" s="12" t="s">
        <v>194</v>
      </c>
      <c r="F167" s="12" t="s">
        <v>263</v>
      </c>
      <c r="G167" s="12" t="s">
        <v>228</v>
      </c>
      <c r="H167" s="12" t="s">
        <v>100</v>
      </c>
      <c r="I167" s="12" t="s">
        <v>99</v>
      </c>
      <c r="J167" s="12" t="s">
        <v>382</v>
      </c>
      <c r="K167" s="11">
        <v>46182.644895833328</v>
      </c>
      <c r="L167" s="11">
        <v>46182.647060185183</v>
      </c>
      <c r="M167" s="15">
        <v>5.91</v>
      </c>
      <c r="N167" s="15">
        <v>5.91</v>
      </c>
      <c r="O167" s="12" t="b">
        <v>0</v>
      </c>
      <c r="P167" s="12" t="s">
        <v>930</v>
      </c>
      <c r="Q167" s="12">
        <v>0</v>
      </c>
      <c r="R167" s="12">
        <v>1</v>
      </c>
      <c r="S167" s="12">
        <v>2</v>
      </c>
      <c r="T167" s="12" t="s">
        <v>383</v>
      </c>
    </row>
    <row r="168" spans="1:20" ht="29" x14ac:dyDescent="0.35">
      <c r="A168" s="12" t="s">
        <v>121</v>
      </c>
      <c r="B168" s="12" t="s">
        <v>122</v>
      </c>
      <c r="C168" s="12" t="s">
        <v>81</v>
      </c>
      <c r="D168" s="12"/>
      <c r="E168" s="12" t="s">
        <v>96</v>
      </c>
      <c r="F168" s="12" t="s">
        <v>263</v>
      </c>
      <c r="G168" s="12" t="s">
        <v>97</v>
      </c>
      <c r="H168" s="12" t="s">
        <v>100</v>
      </c>
      <c r="I168" s="12" t="s">
        <v>110</v>
      </c>
      <c r="J168" s="12" t="s">
        <v>123</v>
      </c>
      <c r="K168" s="11">
        <v>46182.649502314824</v>
      </c>
      <c r="L168" s="11">
        <v>46183.52847222222</v>
      </c>
      <c r="M168" s="15">
        <v>5.91</v>
      </c>
      <c r="N168" s="15">
        <v>5.03</v>
      </c>
      <c r="O168" s="12" t="b">
        <v>0</v>
      </c>
      <c r="P168" s="12" t="s">
        <v>930</v>
      </c>
      <c r="Q168" s="12">
        <v>0</v>
      </c>
      <c r="R168" s="12">
        <v>0</v>
      </c>
      <c r="S168" s="12">
        <v>1</v>
      </c>
      <c r="T168" s="12" t="s">
        <v>124</v>
      </c>
    </row>
    <row r="169" spans="1:20" ht="29" x14ac:dyDescent="0.35">
      <c r="A169" s="12" t="s">
        <v>125</v>
      </c>
      <c r="B169" s="12" t="s">
        <v>126</v>
      </c>
      <c r="C169" s="12" t="s">
        <v>81</v>
      </c>
      <c r="D169" s="12"/>
      <c r="E169" s="12" t="s">
        <v>96</v>
      </c>
      <c r="F169" s="12" t="s">
        <v>263</v>
      </c>
      <c r="G169" s="12" t="s">
        <v>97</v>
      </c>
      <c r="H169" s="12" t="s">
        <v>100</v>
      </c>
      <c r="I169" s="12" t="s">
        <v>99</v>
      </c>
      <c r="J169" s="12" t="s">
        <v>127</v>
      </c>
      <c r="K169" s="11">
        <v>46183.323611111111</v>
      </c>
      <c r="L169" s="11">
        <v>46183.360590277778</v>
      </c>
      <c r="M169" s="15">
        <v>5.23</v>
      </c>
      <c r="N169" s="15">
        <v>5.2</v>
      </c>
      <c r="O169" s="12" t="b">
        <v>0</v>
      </c>
      <c r="P169" s="12" t="s">
        <v>930</v>
      </c>
      <c r="Q169" s="12">
        <v>0</v>
      </c>
      <c r="R169" s="12">
        <v>0</v>
      </c>
      <c r="S169" s="12">
        <v>1</v>
      </c>
      <c r="T169" s="12" t="s">
        <v>128</v>
      </c>
    </row>
    <row r="170" spans="1:20" ht="29" x14ac:dyDescent="0.35">
      <c r="A170" s="12" t="s">
        <v>408</v>
      </c>
      <c r="B170" s="12" t="s">
        <v>409</v>
      </c>
      <c r="C170" s="12" t="s">
        <v>81</v>
      </c>
      <c r="D170" s="12" t="s">
        <v>347</v>
      </c>
      <c r="E170" s="12" t="s">
        <v>342</v>
      </c>
      <c r="F170" s="12" t="s">
        <v>402</v>
      </c>
      <c r="G170" s="12" t="s">
        <v>228</v>
      </c>
      <c r="H170" s="12" t="s">
        <v>100</v>
      </c>
      <c r="I170" s="12" t="s">
        <v>99</v>
      </c>
      <c r="J170" s="12" t="s">
        <v>410</v>
      </c>
      <c r="K170" s="11">
        <v>46183.360567129632</v>
      </c>
      <c r="L170" s="11">
        <v>46183.365370370368</v>
      </c>
      <c r="M170" s="15">
        <v>5.2</v>
      </c>
      <c r="N170" s="15">
        <v>5.19</v>
      </c>
      <c r="O170" s="12" t="b">
        <v>1</v>
      </c>
      <c r="P170" s="12" t="s">
        <v>947</v>
      </c>
      <c r="Q170" s="12">
        <v>1</v>
      </c>
      <c r="R170" s="12">
        <v>0</v>
      </c>
      <c r="S170" s="12">
        <v>2</v>
      </c>
      <c r="T170" s="12" t="s">
        <v>411</v>
      </c>
    </row>
    <row r="171" spans="1:20" ht="29" x14ac:dyDescent="0.35">
      <c r="A171" s="12" t="s">
        <v>129</v>
      </c>
      <c r="B171" s="12" t="s">
        <v>130</v>
      </c>
      <c r="C171" s="12" t="s">
        <v>81</v>
      </c>
      <c r="D171" s="12"/>
      <c r="E171" s="12" t="s">
        <v>96</v>
      </c>
      <c r="F171" s="12" t="s">
        <v>263</v>
      </c>
      <c r="G171" s="12" t="s">
        <v>97</v>
      </c>
      <c r="H171" s="12" t="s">
        <v>100</v>
      </c>
      <c r="I171" s="12" t="s">
        <v>99</v>
      </c>
      <c r="J171" s="12" t="s">
        <v>131</v>
      </c>
      <c r="K171" s="11">
        <v>46183.540798611109</v>
      </c>
      <c r="L171" s="11">
        <v>46183.540821759263</v>
      </c>
      <c r="M171" s="15">
        <v>5.0199999999999996</v>
      </c>
      <c r="N171" s="15">
        <v>5.0199999999999996</v>
      </c>
      <c r="O171" s="12" t="b">
        <v>0</v>
      </c>
      <c r="P171" s="12" t="s">
        <v>930</v>
      </c>
      <c r="Q171" s="12">
        <v>0</v>
      </c>
      <c r="R171" s="12">
        <v>0</v>
      </c>
      <c r="S171" s="12">
        <v>0</v>
      </c>
      <c r="T171" s="12" t="s">
        <v>132</v>
      </c>
    </row>
    <row r="172" spans="1:20" ht="29" x14ac:dyDescent="0.35">
      <c r="A172" s="12" t="s">
        <v>133</v>
      </c>
      <c r="B172" s="12" t="s">
        <v>134</v>
      </c>
      <c r="C172" s="12" t="s">
        <v>81</v>
      </c>
      <c r="D172" s="12"/>
      <c r="E172" s="12" t="s">
        <v>96</v>
      </c>
      <c r="F172" s="12" t="s">
        <v>263</v>
      </c>
      <c r="G172" s="12" t="s">
        <v>97</v>
      </c>
      <c r="H172" s="12" t="s">
        <v>100</v>
      </c>
      <c r="I172" s="12" t="s">
        <v>99</v>
      </c>
      <c r="J172" s="12" t="s">
        <v>135</v>
      </c>
      <c r="K172" s="11">
        <v>46183.561064814807</v>
      </c>
      <c r="L172" s="11">
        <v>46183.587442129632</v>
      </c>
      <c r="M172" s="15">
        <v>5</v>
      </c>
      <c r="N172" s="15">
        <v>4.97</v>
      </c>
      <c r="O172" s="12" t="b">
        <v>0</v>
      </c>
      <c r="P172" s="12" t="s">
        <v>930</v>
      </c>
      <c r="Q172" s="12">
        <v>0</v>
      </c>
      <c r="R172" s="12">
        <v>0</v>
      </c>
      <c r="S172" s="12">
        <v>1</v>
      </c>
      <c r="T172" s="12" t="s">
        <v>136</v>
      </c>
    </row>
    <row r="173" spans="1:20" ht="29" x14ac:dyDescent="0.35">
      <c r="A173" s="12" t="s">
        <v>384</v>
      </c>
      <c r="B173" s="12" t="s">
        <v>385</v>
      </c>
      <c r="C173" s="12" t="s">
        <v>81</v>
      </c>
      <c r="D173" s="12" t="s">
        <v>347</v>
      </c>
      <c r="E173" s="12" t="s">
        <v>194</v>
      </c>
      <c r="F173" s="12" t="s">
        <v>263</v>
      </c>
      <c r="G173" s="12" t="s">
        <v>228</v>
      </c>
      <c r="H173" s="12" t="s">
        <v>100</v>
      </c>
      <c r="I173" s="12" t="s">
        <v>99</v>
      </c>
      <c r="J173" s="12" t="s">
        <v>386</v>
      </c>
      <c r="K173" s="11">
        <v>46183.587407407409</v>
      </c>
      <c r="L173" s="11">
        <v>46183.589490740742</v>
      </c>
      <c r="M173" s="15">
        <v>4.97</v>
      </c>
      <c r="N173" s="15">
        <v>4.97</v>
      </c>
      <c r="O173" s="12" t="b">
        <v>0</v>
      </c>
      <c r="P173" s="12" t="s">
        <v>930</v>
      </c>
      <c r="Q173" s="12">
        <v>0</v>
      </c>
      <c r="R173" s="12">
        <v>2</v>
      </c>
      <c r="S173" s="12">
        <v>2</v>
      </c>
      <c r="T173" s="12" t="s">
        <v>387</v>
      </c>
    </row>
    <row r="174" spans="1:20" ht="29" x14ac:dyDescent="0.35">
      <c r="A174" s="12" t="s">
        <v>250</v>
      </c>
      <c r="B174" s="12" t="s">
        <v>251</v>
      </c>
      <c r="C174" s="12" t="s">
        <v>81</v>
      </c>
      <c r="D174" s="12"/>
      <c r="E174" s="12" t="s">
        <v>194</v>
      </c>
      <c r="F174" s="12" t="s">
        <v>263</v>
      </c>
      <c r="G174" s="12" t="s">
        <v>228</v>
      </c>
      <c r="H174" s="12" t="s">
        <v>100</v>
      </c>
      <c r="I174" s="12" t="s">
        <v>197</v>
      </c>
      <c r="J174" s="12" t="s">
        <v>252</v>
      </c>
      <c r="K174" s="11">
        <v>46183.597974537042</v>
      </c>
      <c r="L174" s="11">
        <v>46183.598009259258</v>
      </c>
      <c r="M174" s="15">
        <v>4.96</v>
      </c>
      <c r="N174" s="15">
        <v>4.96</v>
      </c>
      <c r="O174" s="12" t="b">
        <v>1</v>
      </c>
      <c r="P174" s="12" t="s">
        <v>947</v>
      </c>
      <c r="Q174" s="12">
        <v>0</v>
      </c>
      <c r="R174" s="12">
        <v>0</v>
      </c>
      <c r="S174" s="12">
        <v>0</v>
      </c>
      <c r="T174" s="12" t="s">
        <v>253</v>
      </c>
    </row>
    <row r="175" spans="1:20" ht="29" x14ac:dyDescent="0.35">
      <c r="A175" s="12" t="s">
        <v>137</v>
      </c>
      <c r="B175" s="12" t="s">
        <v>138</v>
      </c>
      <c r="C175" s="12" t="s">
        <v>81</v>
      </c>
      <c r="D175" s="12"/>
      <c r="E175" s="12" t="s">
        <v>96</v>
      </c>
      <c r="F175" s="12" t="s">
        <v>263</v>
      </c>
      <c r="G175" s="12" t="s">
        <v>97</v>
      </c>
      <c r="H175" s="12" t="s">
        <v>100</v>
      </c>
      <c r="I175" s="12" t="s">
        <v>110</v>
      </c>
      <c r="J175" s="12" t="s">
        <v>139</v>
      </c>
      <c r="K175" s="11">
        <v>46183.601122685177</v>
      </c>
      <c r="L175" s="11">
        <v>46183.601145833331</v>
      </c>
      <c r="M175" s="15">
        <v>4.96</v>
      </c>
      <c r="N175" s="15">
        <v>4.96</v>
      </c>
      <c r="O175" s="12" t="b">
        <v>0</v>
      </c>
      <c r="P175" s="12" t="s">
        <v>930</v>
      </c>
      <c r="Q175" s="12">
        <v>0</v>
      </c>
      <c r="R175" s="12">
        <v>0</v>
      </c>
      <c r="S175" s="12">
        <v>0</v>
      </c>
      <c r="T175" s="12" t="s">
        <v>140</v>
      </c>
    </row>
    <row r="176" spans="1:20" ht="29" x14ac:dyDescent="0.35">
      <c r="A176" s="12" t="s">
        <v>141</v>
      </c>
      <c r="B176" s="12" t="s">
        <v>142</v>
      </c>
      <c r="C176" s="12" t="s">
        <v>81</v>
      </c>
      <c r="D176" s="12"/>
      <c r="E176" s="12" t="s">
        <v>96</v>
      </c>
      <c r="F176" s="12" t="s">
        <v>263</v>
      </c>
      <c r="G176" s="12" t="s">
        <v>97</v>
      </c>
      <c r="H176" s="12" t="s">
        <v>100</v>
      </c>
      <c r="I176" s="12" t="s">
        <v>110</v>
      </c>
      <c r="J176" s="12" t="s">
        <v>143</v>
      </c>
      <c r="K176" s="11">
        <v>46183.626701388886</v>
      </c>
      <c r="L176" s="11">
        <v>46183.62672453704</v>
      </c>
      <c r="M176" s="15">
        <v>4.93</v>
      </c>
      <c r="N176" s="15">
        <v>4.93</v>
      </c>
      <c r="O176" s="12" t="b">
        <v>0</v>
      </c>
      <c r="P176" s="12" t="s">
        <v>930</v>
      </c>
      <c r="Q176" s="12">
        <v>0</v>
      </c>
      <c r="R176" s="12">
        <v>0</v>
      </c>
      <c r="S176" s="12">
        <v>0</v>
      </c>
      <c r="T176" s="12" t="s">
        <v>144</v>
      </c>
    </row>
    <row r="177" spans="1:20" ht="29" x14ac:dyDescent="0.35">
      <c r="A177" s="12" t="s">
        <v>145</v>
      </c>
      <c r="B177" s="12" t="s">
        <v>146</v>
      </c>
      <c r="C177" s="12" t="s">
        <v>81</v>
      </c>
      <c r="D177" s="12"/>
      <c r="E177" s="12" t="s">
        <v>96</v>
      </c>
      <c r="F177" s="12" t="s">
        <v>263</v>
      </c>
      <c r="G177" s="12" t="s">
        <v>97</v>
      </c>
      <c r="H177" s="12" t="s">
        <v>100</v>
      </c>
      <c r="I177" s="12" t="s">
        <v>99</v>
      </c>
      <c r="J177" s="12" t="s">
        <v>147</v>
      </c>
      <c r="K177" s="11">
        <v>46184.325381944444</v>
      </c>
      <c r="L177" s="11">
        <v>46184.613645833328</v>
      </c>
      <c r="M177" s="15">
        <v>4.2300000000000004</v>
      </c>
      <c r="N177" s="15">
        <v>3.94</v>
      </c>
      <c r="O177" s="12" t="b">
        <v>0</v>
      </c>
      <c r="P177" s="12" t="s">
        <v>930</v>
      </c>
      <c r="Q177" s="12">
        <v>0</v>
      </c>
      <c r="R177" s="12">
        <v>0</v>
      </c>
      <c r="S177" s="12">
        <v>1</v>
      </c>
      <c r="T177" s="12" t="s">
        <v>148</v>
      </c>
    </row>
    <row r="178" spans="1:20" ht="29" x14ac:dyDescent="0.35">
      <c r="A178" s="12" t="s">
        <v>149</v>
      </c>
      <c r="B178" s="12" t="s">
        <v>150</v>
      </c>
      <c r="C178" s="12" t="s">
        <v>81</v>
      </c>
      <c r="D178" s="12"/>
      <c r="E178" s="12" t="s">
        <v>96</v>
      </c>
      <c r="F178" s="12" t="s">
        <v>263</v>
      </c>
      <c r="G178" s="12" t="s">
        <v>97</v>
      </c>
      <c r="H178" s="12" t="s">
        <v>100</v>
      </c>
      <c r="I178" s="12" t="s">
        <v>110</v>
      </c>
      <c r="J178" s="12" t="s">
        <v>151</v>
      </c>
      <c r="K178" s="11">
        <v>46184.515625</v>
      </c>
      <c r="L178" s="11">
        <v>46184.515659722223</v>
      </c>
      <c r="M178" s="15">
        <v>4.04</v>
      </c>
      <c r="N178" s="15">
        <v>4.04</v>
      </c>
      <c r="O178" s="12" t="b">
        <v>0</v>
      </c>
      <c r="P178" s="12" t="s">
        <v>930</v>
      </c>
      <c r="Q178" s="12">
        <v>0</v>
      </c>
      <c r="R178" s="12">
        <v>0</v>
      </c>
      <c r="S178" s="12">
        <v>0</v>
      </c>
      <c r="T178" s="12" t="s">
        <v>152</v>
      </c>
    </row>
    <row r="179" spans="1:20" ht="29" x14ac:dyDescent="0.35">
      <c r="A179" s="12" t="s">
        <v>153</v>
      </c>
      <c r="B179" s="12" t="s">
        <v>154</v>
      </c>
      <c r="C179" s="12" t="s">
        <v>81</v>
      </c>
      <c r="D179" s="12"/>
      <c r="E179" s="12" t="s">
        <v>96</v>
      </c>
      <c r="F179" s="12" t="s">
        <v>263</v>
      </c>
      <c r="G179" s="12" t="s">
        <v>97</v>
      </c>
      <c r="H179" s="12" t="s">
        <v>100</v>
      </c>
      <c r="I179" s="12" t="s">
        <v>99</v>
      </c>
      <c r="J179" s="12" t="s">
        <v>151</v>
      </c>
      <c r="K179" s="11">
        <v>46184.526574074072</v>
      </c>
      <c r="L179" s="11">
        <v>46184.526597222219</v>
      </c>
      <c r="M179" s="15">
        <v>4.03</v>
      </c>
      <c r="N179" s="15">
        <v>4.03</v>
      </c>
      <c r="O179" s="12" t="b">
        <v>0</v>
      </c>
      <c r="P179" s="12" t="s">
        <v>930</v>
      </c>
      <c r="Q179" s="12">
        <v>0</v>
      </c>
      <c r="R179" s="12">
        <v>0</v>
      </c>
      <c r="S179" s="12">
        <v>0</v>
      </c>
      <c r="T179" s="12" t="s">
        <v>155</v>
      </c>
    </row>
    <row r="180" spans="1:20" ht="29" x14ac:dyDescent="0.35">
      <c r="A180" s="12" t="s">
        <v>156</v>
      </c>
      <c r="B180" s="12" t="s">
        <v>157</v>
      </c>
      <c r="C180" s="12" t="s">
        <v>81</v>
      </c>
      <c r="D180" s="12"/>
      <c r="E180" s="12" t="s">
        <v>96</v>
      </c>
      <c r="F180" s="12" t="s">
        <v>263</v>
      </c>
      <c r="G180" s="12" t="s">
        <v>97</v>
      </c>
      <c r="H180" s="12" t="s">
        <v>100</v>
      </c>
      <c r="I180" s="12" t="s">
        <v>99</v>
      </c>
      <c r="J180" s="12" t="s">
        <v>158</v>
      </c>
      <c r="K180" s="11">
        <v>46184.583645833343</v>
      </c>
      <c r="L180" s="11">
        <v>46184.583668981482</v>
      </c>
      <c r="M180" s="15">
        <v>3.97</v>
      </c>
      <c r="N180" s="15">
        <v>3.97</v>
      </c>
      <c r="O180" s="12" t="b">
        <v>0</v>
      </c>
      <c r="P180" s="12" t="s">
        <v>930</v>
      </c>
      <c r="Q180" s="12">
        <v>0</v>
      </c>
      <c r="R180" s="12">
        <v>0</v>
      </c>
      <c r="S180" s="12">
        <v>0</v>
      </c>
      <c r="T180" s="12" t="s">
        <v>159</v>
      </c>
    </row>
    <row r="181" spans="1:20" ht="29" x14ac:dyDescent="0.35">
      <c r="A181" s="12" t="s">
        <v>160</v>
      </c>
      <c r="B181" s="12" t="s">
        <v>161</v>
      </c>
      <c r="C181" s="12" t="s">
        <v>81</v>
      </c>
      <c r="D181" s="12"/>
      <c r="E181" s="12" t="s">
        <v>96</v>
      </c>
      <c r="F181" s="12" t="s">
        <v>263</v>
      </c>
      <c r="G181" s="12" t="s">
        <v>97</v>
      </c>
      <c r="H181" s="12" t="s">
        <v>100</v>
      </c>
      <c r="I181" s="12" t="s">
        <v>110</v>
      </c>
      <c r="J181" s="12" t="s">
        <v>162</v>
      </c>
      <c r="K181" s="11">
        <v>46184.596944444442</v>
      </c>
      <c r="L181" s="11">
        <v>46184.596967592603</v>
      </c>
      <c r="M181" s="15">
        <v>3.96</v>
      </c>
      <c r="N181" s="15">
        <v>3.96</v>
      </c>
      <c r="O181" s="12" t="b">
        <v>0</v>
      </c>
      <c r="P181" s="12" t="s">
        <v>930</v>
      </c>
      <c r="Q181" s="12">
        <v>0</v>
      </c>
      <c r="R181" s="12">
        <v>0</v>
      </c>
      <c r="S181" s="12">
        <v>0</v>
      </c>
      <c r="T181" s="12" t="s">
        <v>163</v>
      </c>
    </row>
    <row r="182" spans="1:20" ht="29" x14ac:dyDescent="0.35">
      <c r="A182" s="12" t="s">
        <v>388</v>
      </c>
      <c r="B182" s="12" t="s">
        <v>389</v>
      </c>
      <c r="C182" s="12" t="s">
        <v>81</v>
      </c>
      <c r="D182" s="12" t="s">
        <v>347</v>
      </c>
      <c r="E182" s="12" t="s">
        <v>194</v>
      </c>
      <c r="F182" s="12" t="s">
        <v>263</v>
      </c>
      <c r="G182" s="12" t="s">
        <v>228</v>
      </c>
      <c r="H182" s="12" t="s">
        <v>100</v>
      </c>
      <c r="I182" s="12" t="s">
        <v>99</v>
      </c>
      <c r="J182" s="12" t="s">
        <v>390</v>
      </c>
      <c r="K182" s="11">
        <v>46184.613622685189</v>
      </c>
      <c r="L182" s="11">
        <v>46185.587673611109</v>
      </c>
      <c r="M182" s="15">
        <v>3.94</v>
      </c>
      <c r="N182" s="15">
        <v>2.97</v>
      </c>
      <c r="O182" s="12" t="b">
        <v>0</v>
      </c>
      <c r="P182" s="12" t="s">
        <v>930</v>
      </c>
      <c r="Q182" s="12">
        <v>0</v>
      </c>
      <c r="R182" s="12">
        <v>2</v>
      </c>
      <c r="S182" s="12">
        <v>4</v>
      </c>
      <c r="T182" s="12" t="s">
        <v>391</v>
      </c>
    </row>
    <row r="183" spans="1:20" ht="29" x14ac:dyDescent="0.35">
      <c r="A183" s="12" t="s">
        <v>164</v>
      </c>
      <c r="B183" s="12" t="s">
        <v>165</v>
      </c>
      <c r="C183" s="12" t="s">
        <v>81</v>
      </c>
      <c r="D183" s="12"/>
      <c r="E183" s="12" t="s">
        <v>96</v>
      </c>
      <c r="F183" s="12" t="s">
        <v>263</v>
      </c>
      <c r="G183" s="12" t="s">
        <v>97</v>
      </c>
      <c r="H183" s="12" t="s">
        <v>100</v>
      </c>
      <c r="I183" s="12" t="s">
        <v>110</v>
      </c>
      <c r="J183" s="12" t="s">
        <v>166</v>
      </c>
      <c r="K183" s="11">
        <v>46185.367326388892</v>
      </c>
      <c r="L183" s="11">
        <v>46185.367361111108</v>
      </c>
      <c r="M183" s="15">
        <v>3.19</v>
      </c>
      <c r="N183" s="15">
        <v>3.19</v>
      </c>
      <c r="O183" s="12" t="b">
        <v>0</v>
      </c>
      <c r="P183" s="12" t="s">
        <v>930</v>
      </c>
      <c r="Q183" s="12">
        <v>0</v>
      </c>
      <c r="R183" s="12">
        <v>0</v>
      </c>
      <c r="S183" s="12">
        <v>0</v>
      </c>
      <c r="T183" s="12" t="s">
        <v>167</v>
      </c>
    </row>
    <row r="184" spans="1:20" ht="29" x14ac:dyDescent="0.35">
      <c r="A184" s="12" t="s">
        <v>168</v>
      </c>
      <c r="B184" s="12" t="s">
        <v>169</v>
      </c>
      <c r="C184" s="12" t="s">
        <v>81</v>
      </c>
      <c r="D184" s="12"/>
      <c r="E184" s="12" t="s">
        <v>96</v>
      </c>
      <c r="F184" s="12" t="s">
        <v>263</v>
      </c>
      <c r="G184" s="12" t="s">
        <v>97</v>
      </c>
      <c r="H184" s="12" t="s">
        <v>100</v>
      </c>
      <c r="I184" s="12" t="s">
        <v>99</v>
      </c>
      <c r="J184" s="12" t="s">
        <v>170</v>
      </c>
      <c r="K184" s="11">
        <v>46185.5153587963</v>
      </c>
      <c r="L184" s="11">
        <v>46185.515381944453</v>
      </c>
      <c r="M184" s="15">
        <v>3.04</v>
      </c>
      <c r="N184" s="15">
        <v>3.04</v>
      </c>
      <c r="O184" s="12" t="b">
        <v>0</v>
      </c>
      <c r="P184" s="12" t="s">
        <v>930</v>
      </c>
      <c r="Q184" s="12">
        <v>0</v>
      </c>
      <c r="R184" s="12">
        <v>0</v>
      </c>
      <c r="S184" s="12">
        <v>0</v>
      </c>
      <c r="T184" s="12" t="s">
        <v>171</v>
      </c>
    </row>
    <row r="185" spans="1:20" ht="29" x14ac:dyDescent="0.35">
      <c r="A185" s="12" t="s">
        <v>421</v>
      </c>
      <c r="B185" s="12" t="s">
        <v>422</v>
      </c>
      <c r="C185" s="12" t="s">
        <v>81</v>
      </c>
      <c r="D185" s="12" t="s">
        <v>77</v>
      </c>
      <c r="E185" s="12" t="s">
        <v>96</v>
      </c>
      <c r="F185" s="12" t="s">
        <v>263</v>
      </c>
      <c r="G185" s="12" t="s">
        <v>79</v>
      </c>
      <c r="H185" s="12" t="s">
        <v>100</v>
      </c>
      <c r="I185" s="12" t="s">
        <v>307</v>
      </c>
      <c r="J185" s="12" t="s">
        <v>423</v>
      </c>
      <c r="K185" s="11">
        <v>46185.537870370368</v>
      </c>
      <c r="L185" s="11">
        <v>46185.542002314818</v>
      </c>
      <c r="M185" s="15">
        <v>3.02</v>
      </c>
      <c r="N185" s="15">
        <v>3.01</v>
      </c>
      <c r="O185" s="12" t="b">
        <v>0</v>
      </c>
      <c r="P185" s="12" t="s">
        <v>930</v>
      </c>
      <c r="Q185" s="12">
        <v>1</v>
      </c>
      <c r="R185" s="12">
        <v>0</v>
      </c>
      <c r="S185" s="12">
        <v>0</v>
      </c>
      <c r="T185" s="12" t="s">
        <v>424</v>
      </c>
    </row>
    <row r="186" spans="1:20" ht="29" x14ac:dyDescent="0.35">
      <c r="A186" s="12" t="s">
        <v>172</v>
      </c>
      <c r="B186" s="12" t="s">
        <v>173</v>
      </c>
      <c r="C186" s="12" t="s">
        <v>81</v>
      </c>
      <c r="D186" s="12"/>
      <c r="E186" s="12" t="s">
        <v>96</v>
      </c>
      <c r="F186" s="12" t="s">
        <v>263</v>
      </c>
      <c r="G186" s="12" t="s">
        <v>97</v>
      </c>
      <c r="H186" s="12" t="s">
        <v>100</v>
      </c>
      <c r="I186" s="12" t="s">
        <v>99</v>
      </c>
      <c r="J186" s="12" t="s">
        <v>174</v>
      </c>
      <c r="K186" s="11">
        <v>46185.586053240739</v>
      </c>
      <c r="L186" s="11">
        <v>46185.587673611109</v>
      </c>
      <c r="M186" s="15">
        <v>2.97</v>
      </c>
      <c r="N186" s="15">
        <v>2.97</v>
      </c>
      <c r="O186" s="12" t="b">
        <v>0</v>
      </c>
      <c r="P186" s="12" t="s">
        <v>930</v>
      </c>
      <c r="Q186" s="12">
        <v>0</v>
      </c>
      <c r="R186" s="12">
        <v>0</v>
      </c>
      <c r="S186" s="12">
        <v>1</v>
      </c>
      <c r="T186" s="12" t="s">
        <v>175</v>
      </c>
    </row>
    <row r="187" spans="1:20" ht="43.5" x14ac:dyDescent="0.35">
      <c r="A187" s="12" t="s">
        <v>254</v>
      </c>
      <c r="B187" s="12" t="s">
        <v>255</v>
      </c>
      <c r="C187" s="12" t="s">
        <v>81</v>
      </c>
      <c r="D187" s="12"/>
      <c r="E187" s="12" t="s">
        <v>194</v>
      </c>
      <c r="F187" s="12" t="s">
        <v>263</v>
      </c>
      <c r="G187" s="12" t="s">
        <v>228</v>
      </c>
      <c r="H187" s="12" t="s">
        <v>100</v>
      </c>
      <c r="I187" s="12" t="s">
        <v>197</v>
      </c>
      <c r="J187" s="12" t="s">
        <v>256</v>
      </c>
      <c r="K187" s="11">
        <v>46185.59003472222</v>
      </c>
      <c r="L187" s="11">
        <v>46185.597314814811</v>
      </c>
      <c r="M187" s="15">
        <v>2.97</v>
      </c>
      <c r="N187" s="15">
        <v>2.96</v>
      </c>
      <c r="O187" s="12" t="b">
        <v>0</v>
      </c>
      <c r="P187" s="12" t="s">
        <v>930</v>
      </c>
      <c r="Q187" s="12">
        <v>0</v>
      </c>
      <c r="R187" s="12">
        <v>0</v>
      </c>
      <c r="S187" s="12">
        <v>0</v>
      </c>
      <c r="T187" s="12" t="s">
        <v>257</v>
      </c>
    </row>
    <row r="188" spans="1:20" ht="29" x14ac:dyDescent="0.35">
      <c r="A188" s="12" t="s">
        <v>176</v>
      </c>
      <c r="B188" s="12" t="s">
        <v>177</v>
      </c>
      <c r="C188" s="12" t="s">
        <v>81</v>
      </c>
      <c r="D188" s="12"/>
      <c r="E188" s="12" t="s">
        <v>96</v>
      </c>
      <c r="F188" s="12" t="s">
        <v>263</v>
      </c>
      <c r="G188" s="12" t="s">
        <v>97</v>
      </c>
      <c r="H188" s="12" t="s">
        <v>100</v>
      </c>
      <c r="I188" s="12" t="s">
        <v>99</v>
      </c>
      <c r="J188" s="12" t="s">
        <v>178</v>
      </c>
      <c r="K188" s="11">
        <v>46185.595752314817</v>
      </c>
      <c r="L188" s="11">
        <v>46185.595775462964</v>
      </c>
      <c r="M188" s="15">
        <v>2.96</v>
      </c>
      <c r="N188" s="15">
        <v>2.96</v>
      </c>
      <c r="O188" s="12" t="b">
        <v>0</v>
      </c>
      <c r="P188" s="12" t="s">
        <v>930</v>
      </c>
      <c r="Q188" s="12">
        <v>0</v>
      </c>
      <c r="R188" s="12">
        <v>0</v>
      </c>
      <c r="S188" s="12">
        <v>0</v>
      </c>
      <c r="T188" s="12" t="s">
        <v>179</v>
      </c>
    </row>
    <row r="189" spans="1:20" ht="29" x14ac:dyDescent="0.35">
      <c r="A189" s="12" t="s">
        <v>180</v>
      </c>
      <c r="B189" s="12" t="s">
        <v>181</v>
      </c>
      <c r="C189" s="12" t="s">
        <v>81</v>
      </c>
      <c r="D189" s="12"/>
      <c r="E189" s="12" t="s">
        <v>96</v>
      </c>
      <c r="F189" s="12" t="s">
        <v>263</v>
      </c>
      <c r="G189" s="12" t="s">
        <v>97</v>
      </c>
      <c r="H189" s="12" t="s">
        <v>100</v>
      </c>
      <c r="I189" s="12" t="s">
        <v>99</v>
      </c>
      <c r="J189" s="12" t="s">
        <v>182</v>
      </c>
      <c r="K189" s="11">
        <v>46188.393599537027</v>
      </c>
      <c r="L189" s="11">
        <v>46188.42732638889</v>
      </c>
      <c r="M189" s="15">
        <v>0.16</v>
      </c>
      <c r="N189" s="15">
        <v>0.13</v>
      </c>
      <c r="O189" s="12" t="b">
        <v>0</v>
      </c>
      <c r="P189" s="12" t="s">
        <v>930</v>
      </c>
      <c r="Q189" s="12">
        <v>0</v>
      </c>
      <c r="R189" s="12">
        <v>0</v>
      </c>
      <c r="S189" s="12">
        <v>1</v>
      </c>
      <c r="T189" s="12" t="s">
        <v>183</v>
      </c>
    </row>
    <row r="190" spans="1:20" ht="29" x14ac:dyDescent="0.35">
      <c r="A190" s="12" t="s">
        <v>392</v>
      </c>
      <c r="B190" s="12" t="s">
        <v>393</v>
      </c>
      <c r="C190" s="12" t="s">
        <v>81</v>
      </c>
      <c r="D190" s="12" t="s">
        <v>347</v>
      </c>
      <c r="E190" s="12" t="s">
        <v>194</v>
      </c>
      <c r="F190" s="12" t="s">
        <v>263</v>
      </c>
      <c r="G190" s="12" t="s">
        <v>228</v>
      </c>
      <c r="H190" s="12" t="s">
        <v>100</v>
      </c>
      <c r="I190" s="12" t="s">
        <v>99</v>
      </c>
      <c r="J190" s="12" t="s">
        <v>394</v>
      </c>
      <c r="K190" s="11">
        <v>46188.427303240736</v>
      </c>
      <c r="L190" s="11">
        <v>46188.429606481477</v>
      </c>
      <c r="M190" s="15">
        <v>0.13</v>
      </c>
      <c r="N190" s="15">
        <v>0.13</v>
      </c>
      <c r="O190" s="12" t="b">
        <v>0</v>
      </c>
      <c r="P190" s="12" t="s">
        <v>930</v>
      </c>
      <c r="Q190" s="12">
        <v>0</v>
      </c>
      <c r="R190" s="12">
        <v>2</v>
      </c>
      <c r="S190" s="12">
        <v>2</v>
      </c>
      <c r="T190" s="12" t="s">
        <v>395</v>
      </c>
    </row>
    <row r="191" spans="1:20" ht="29" x14ac:dyDescent="0.35">
      <c r="A191" s="12" t="s">
        <v>184</v>
      </c>
      <c r="B191" s="12" t="s">
        <v>185</v>
      </c>
      <c r="C191" s="12" t="s">
        <v>81</v>
      </c>
      <c r="D191" s="12"/>
      <c r="E191" s="12" t="s">
        <v>96</v>
      </c>
      <c r="F191" s="12" t="s">
        <v>263</v>
      </c>
      <c r="G191" s="12" t="s">
        <v>97</v>
      </c>
      <c r="H191" s="12" t="s">
        <v>100</v>
      </c>
      <c r="I191" s="12" t="s">
        <v>99</v>
      </c>
      <c r="J191" s="12" t="s">
        <v>186</v>
      </c>
      <c r="K191" s="11">
        <v>46188.432337962957</v>
      </c>
      <c r="L191" s="11">
        <v>46188.43236111111</v>
      </c>
      <c r="M191" s="15">
        <v>0.12</v>
      </c>
      <c r="N191" s="15">
        <v>0.12</v>
      </c>
      <c r="O191" s="12" t="b">
        <v>0</v>
      </c>
      <c r="P191" s="12" t="s">
        <v>930</v>
      </c>
      <c r="Q191" s="12">
        <v>0</v>
      </c>
      <c r="R191" s="12">
        <v>0</v>
      </c>
      <c r="S191" s="12">
        <v>0</v>
      </c>
      <c r="T191" s="12" t="s">
        <v>187</v>
      </c>
    </row>
    <row r="192" spans="1:20" ht="29" x14ac:dyDescent="0.35">
      <c r="A192" s="12" t="s">
        <v>188</v>
      </c>
      <c r="B192" s="12" t="s">
        <v>189</v>
      </c>
      <c r="C192" s="12" t="s">
        <v>81</v>
      </c>
      <c r="D192" s="12"/>
      <c r="E192" s="12" t="s">
        <v>96</v>
      </c>
      <c r="F192" s="12" t="s">
        <v>263</v>
      </c>
      <c r="G192" s="12" t="s">
        <v>97</v>
      </c>
      <c r="H192" s="12" t="s">
        <v>100</v>
      </c>
      <c r="I192" s="12" t="s">
        <v>110</v>
      </c>
      <c r="J192" s="12" t="s">
        <v>190</v>
      </c>
      <c r="K192" s="11">
        <v>46188.469953703701</v>
      </c>
      <c r="L192" s="11">
        <v>46188.53402777778</v>
      </c>
      <c r="M192" s="15">
        <v>0.09</v>
      </c>
      <c r="N192" s="15">
        <v>0.02</v>
      </c>
      <c r="O192" s="12" t="b">
        <v>0</v>
      </c>
      <c r="P192" s="12" t="s">
        <v>930</v>
      </c>
      <c r="Q192" s="12">
        <v>0</v>
      </c>
      <c r="R192" s="12">
        <v>0</v>
      </c>
      <c r="S192" s="12">
        <v>1</v>
      </c>
      <c r="T192" s="12" t="s">
        <v>191</v>
      </c>
    </row>
    <row r="193" spans="1:20" ht="29" x14ac:dyDescent="0.35">
      <c r="A193" s="12" t="s">
        <v>396</v>
      </c>
      <c r="B193" s="12" t="s">
        <v>397</v>
      </c>
      <c r="C193" s="12" t="s">
        <v>81</v>
      </c>
      <c r="D193" s="12" t="s">
        <v>347</v>
      </c>
      <c r="E193" s="12" t="s">
        <v>194</v>
      </c>
      <c r="F193" s="12" t="s">
        <v>263</v>
      </c>
      <c r="G193" s="12" t="s">
        <v>228</v>
      </c>
      <c r="H193" s="12" t="s">
        <v>100</v>
      </c>
      <c r="I193" s="12" t="s">
        <v>197</v>
      </c>
      <c r="J193" s="12" t="s">
        <v>398</v>
      </c>
      <c r="K193" s="11">
        <v>46188.53398148148</v>
      </c>
      <c r="L193" s="11">
        <v>46188.53402777778</v>
      </c>
      <c r="M193" s="15">
        <v>0.02</v>
      </c>
      <c r="N193" s="15">
        <v>0.02</v>
      </c>
      <c r="O193" s="12" t="b">
        <v>1</v>
      </c>
      <c r="P193" s="12" t="s">
        <v>947</v>
      </c>
      <c r="Q193" s="12">
        <v>0</v>
      </c>
      <c r="R193" s="12">
        <v>0</v>
      </c>
      <c r="S193" s="12">
        <v>2</v>
      </c>
      <c r="T193" s="12" t="s">
        <v>399</v>
      </c>
    </row>
    <row r="194" spans="1:20" x14ac:dyDescent="0.35">
      <c r="A194" s="12" t="s">
        <v>1408</v>
      </c>
      <c r="B194" s="12" t="s">
        <v>1409</v>
      </c>
      <c r="C194" s="12" t="s">
        <v>81</v>
      </c>
      <c r="D194" s="12"/>
      <c r="E194" s="12" t="s">
        <v>310</v>
      </c>
      <c r="F194" s="12" t="s">
        <v>402</v>
      </c>
      <c r="G194" s="12" t="s">
        <v>1045</v>
      </c>
      <c r="H194" s="12" t="s">
        <v>100</v>
      </c>
      <c r="I194" s="12" t="s">
        <v>1410</v>
      </c>
      <c r="J194" s="12" t="s">
        <v>1411</v>
      </c>
      <c r="K194" s="11">
        <v>44853.589814814812</v>
      </c>
      <c r="L194" s="11">
        <v>45993.558113425926</v>
      </c>
      <c r="M194" s="15">
        <v>1334.97</v>
      </c>
      <c r="N194" s="15">
        <v>195</v>
      </c>
      <c r="O194" s="12" t="b">
        <v>0</v>
      </c>
      <c r="P194" s="12" t="s">
        <v>930</v>
      </c>
      <c r="Q194" s="12">
        <v>0</v>
      </c>
      <c r="R194" s="12">
        <v>0</v>
      </c>
      <c r="S194" s="12">
        <v>1</v>
      </c>
      <c r="T194" s="12" t="s">
        <v>1412</v>
      </c>
    </row>
    <row r="195" spans="1:20" x14ac:dyDescent="0.35">
      <c r="A195" s="12" t="s">
        <v>1413</v>
      </c>
      <c r="B195" s="12" t="s">
        <v>1414</v>
      </c>
      <c r="C195" s="12" t="s">
        <v>81</v>
      </c>
      <c r="D195" s="12"/>
      <c r="E195" s="12" t="s">
        <v>96</v>
      </c>
      <c r="F195" s="12" t="s">
        <v>263</v>
      </c>
      <c r="G195" s="12" t="s">
        <v>1045</v>
      </c>
      <c r="H195" s="12" t="s">
        <v>100</v>
      </c>
      <c r="I195" s="12" t="s">
        <v>307</v>
      </c>
      <c r="J195" s="12" t="s">
        <v>1415</v>
      </c>
      <c r="K195" s="11">
        <v>44853.590081018519</v>
      </c>
      <c r="L195" s="11">
        <v>46049.671863425923</v>
      </c>
      <c r="M195" s="15">
        <v>1334.97</v>
      </c>
      <c r="N195" s="15">
        <v>138.88</v>
      </c>
      <c r="O195" s="12" t="b">
        <v>0</v>
      </c>
      <c r="P195" s="12" t="s">
        <v>930</v>
      </c>
      <c r="Q195" s="12">
        <v>0</v>
      </c>
      <c r="R195" s="12">
        <v>0</v>
      </c>
      <c r="S195" s="12">
        <v>0</v>
      </c>
      <c r="T195" s="12" t="s">
        <v>1416</v>
      </c>
    </row>
    <row r="196" spans="1:20" x14ac:dyDescent="0.35">
      <c r="A196" s="12" t="s">
        <v>1417</v>
      </c>
      <c r="B196" s="12" t="s">
        <v>1418</v>
      </c>
      <c r="C196" s="12" t="s">
        <v>81</v>
      </c>
      <c r="D196" s="12"/>
      <c r="E196" s="12" t="s">
        <v>96</v>
      </c>
      <c r="F196" s="12" t="s">
        <v>263</v>
      </c>
      <c r="G196" s="12" t="s">
        <v>1045</v>
      </c>
      <c r="H196" s="12" t="s">
        <v>100</v>
      </c>
      <c r="I196" s="12" t="s">
        <v>1410</v>
      </c>
      <c r="J196" s="12" t="s">
        <v>1419</v>
      </c>
      <c r="K196" s="11">
        <v>44853.590763888889</v>
      </c>
      <c r="L196" s="11">
        <v>45839.565740740742</v>
      </c>
      <c r="M196" s="15">
        <v>1334.97</v>
      </c>
      <c r="N196" s="15">
        <v>348.99</v>
      </c>
      <c r="O196" s="12" t="b">
        <v>0</v>
      </c>
      <c r="P196" s="12" t="s">
        <v>930</v>
      </c>
      <c r="Q196" s="12">
        <v>0</v>
      </c>
      <c r="R196" s="12">
        <v>0</v>
      </c>
      <c r="S196" s="12">
        <v>0</v>
      </c>
      <c r="T196" s="12" t="s">
        <v>1420</v>
      </c>
    </row>
    <row r="197" spans="1:20" x14ac:dyDescent="0.35">
      <c r="A197" s="12" t="s">
        <v>1421</v>
      </c>
      <c r="B197" s="12" t="s">
        <v>1422</v>
      </c>
      <c r="C197" s="12" t="s">
        <v>81</v>
      </c>
      <c r="D197" s="12"/>
      <c r="E197" s="12" t="s">
        <v>96</v>
      </c>
      <c r="F197" s="12" t="s">
        <v>263</v>
      </c>
      <c r="G197" s="12" t="s">
        <v>1045</v>
      </c>
      <c r="H197" s="12" t="s">
        <v>100</v>
      </c>
      <c r="I197" s="12" t="s">
        <v>1410</v>
      </c>
      <c r="J197" s="12" t="s">
        <v>1423</v>
      </c>
      <c r="K197" s="11">
        <v>44853.591331018521</v>
      </c>
      <c r="L197" s="11">
        <v>45839.565787037027</v>
      </c>
      <c r="M197" s="15">
        <v>1334.97</v>
      </c>
      <c r="N197" s="15">
        <v>348.99</v>
      </c>
      <c r="O197" s="12" t="b">
        <v>0</v>
      </c>
      <c r="P197" s="12" t="s">
        <v>930</v>
      </c>
      <c r="Q197" s="12">
        <v>0</v>
      </c>
      <c r="R197" s="12">
        <v>0</v>
      </c>
      <c r="S197" s="12">
        <v>0</v>
      </c>
      <c r="T197" s="12" t="s">
        <v>1424</v>
      </c>
    </row>
    <row r="198" spans="1:20" x14ac:dyDescent="0.35">
      <c r="A198" s="12" t="s">
        <v>1425</v>
      </c>
      <c r="B198" s="12" t="s">
        <v>1426</v>
      </c>
      <c r="C198" s="12" t="s">
        <v>81</v>
      </c>
      <c r="D198" s="12"/>
      <c r="E198" s="12" t="s">
        <v>96</v>
      </c>
      <c r="F198" s="12" t="s">
        <v>263</v>
      </c>
      <c r="G198" s="12" t="s">
        <v>1045</v>
      </c>
      <c r="H198" s="12" t="s">
        <v>100</v>
      </c>
      <c r="I198" s="12" t="s">
        <v>1410</v>
      </c>
      <c r="J198" s="12" t="s">
        <v>1427</v>
      </c>
      <c r="K198" s="11">
        <v>44853.591527777768</v>
      </c>
      <c r="L198" s="11">
        <v>45839.565821759257</v>
      </c>
      <c r="M198" s="15">
        <v>1334.97</v>
      </c>
      <c r="N198" s="15">
        <v>348.99</v>
      </c>
      <c r="O198" s="12" t="b">
        <v>0</v>
      </c>
      <c r="P198" s="12" t="s">
        <v>930</v>
      </c>
      <c r="Q198" s="12">
        <v>0</v>
      </c>
      <c r="R198" s="12">
        <v>0</v>
      </c>
      <c r="S198" s="12">
        <v>0</v>
      </c>
      <c r="T198" s="12" t="s">
        <v>1428</v>
      </c>
    </row>
    <row r="199" spans="1:20" x14ac:dyDescent="0.35">
      <c r="A199" s="12" t="s">
        <v>1429</v>
      </c>
      <c r="B199" s="12" t="s">
        <v>1430</v>
      </c>
      <c r="C199" s="12" t="s">
        <v>81</v>
      </c>
      <c r="D199" s="12"/>
      <c r="E199" s="12" t="s">
        <v>96</v>
      </c>
      <c r="F199" s="12" t="s">
        <v>263</v>
      </c>
      <c r="G199" s="12" t="s">
        <v>79</v>
      </c>
      <c r="H199" s="12" t="s">
        <v>1000</v>
      </c>
      <c r="I199" s="12" t="s">
        <v>922</v>
      </c>
      <c r="J199" s="12" t="s">
        <v>1431</v>
      </c>
      <c r="K199" s="11">
        <v>44853.602870370371</v>
      </c>
      <c r="L199" s="11">
        <v>45670.58315972222</v>
      </c>
      <c r="M199" s="15">
        <v>1334.95</v>
      </c>
      <c r="N199" s="15">
        <v>517.97</v>
      </c>
      <c r="O199" s="12" t="b">
        <v>0</v>
      </c>
      <c r="P199" s="12" t="s">
        <v>930</v>
      </c>
      <c r="Q199" s="12">
        <v>1</v>
      </c>
      <c r="R199" s="12">
        <v>0</v>
      </c>
      <c r="S199" s="12">
        <v>0</v>
      </c>
      <c r="T199" s="12" t="s">
        <v>1432</v>
      </c>
    </row>
    <row r="200" spans="1:20" x14ac:dyDescent="0.35">
      <c r="A200" s="12" t="s">
        <v>1433</v>
      </c>
      <c r="B200" s="12" t="s">
        <v>1434</v>
      </c>
      <c r="C200" s="12" t="s">
        <v>81</v>
      </c>
      <c r="D200" s="12"/>
      <c r="E200" s="12" t="s">
        <v>96</v>
      </c>
      <c r="F200" s="12" t="s">
        <v>263</v>
      </c>
      <c r="G200" s="12" t="s">
        <v>79</v>
      </c>
      <c r="H200" s="12" t="s">
        <v>100</v>
      </c>
      <c r="I200" s="12" t="s">
        <v>922</v>
      </c>
      <c r="J200" s="12" t="s">
        <v>1435</v>
      </c>
      <c r="K200" s="11">
        <v>44853.602893518517</v>
      </c>
      <c r="L200" s="11">
        <v>45670.583067129628</v>
      </c>
      <c r="M200" s="15">
        <v>1334.95</v>
      </c>
      <c r="N200" s="15">
        <v>517.97</v>
      </c>
      <c r="O200" s="12" t="b">
        <v>0</v>
      </c>
      <c r="P200" s="12" t="s">
        <v>930</v>
      </c>
      <c r="Q200" s="12">
        <v>1</v>
      </c>
      <c r="R200" s="12">
        <v>0</v>
      </c>
      <c r="S200" s="12">
        <v>0</v>
      </c>
      <c r="T200" s="12" t="s">
        <v>1436</v>
      </c>
    </row>
    <row r="201" spans="1:20" x14ac:dyDescent="0.35">
      <c r="A201" s="12" t="s">
        <v>1437</v>
      </c>
      <c r="B201" s="12" t="s">
        <v>1438</v>
      </c>
      <c r="C201" s="12" t="s">
        <v>81</v>
      </c>
      <c r="D201" s="12"/>
      <c r="E201" s="12" t="s">
        <v>96</v>
      </c>
      <c r="F201" s="12" t="s">
        <v>263</v>
      </c>
      <c r="G201" s="12" t="s">
        <v>79</v>
      </c>
      <c r="H201" s="12" t="s">
        <v>1000</v>
      </c>
      <c r="I201" s="12" t="s">
        <v>922</v>
      </c>
      <c r="J201" s="12" t="s">
        <v>1439</v>
      </c>
      <c r="K201" s="11">
        <v>44853.602939814817</v>
      </c>
      <c r="L201" s="11">
        <v>45670.583194444444</v>
      </c>
      <c r="M201" s="15">
        <v>1334.95</v>
      </c>
      <c r="N201" s="15">
        <v>517.97</v>
      </c>
      <c r="O201" s="12" t="b">
        <v>0</v>
      </c>
      <c r="P201" s="12" t="s">
        <v>930</v>
      </c>
      <c r="Q201" s="12">
        <v>1</v>
      </c>
      <c r="R201" s="12">
        <v>0</v>
      </c>
      <c r="S201" s="12">
        <v>0</v>
      </c>
      <c r="T201" s="12" t="s">
        <v>1440</v>
      </c>
    </row>
    <row r="202" spans="1:20" x14ac:dyDescent="0.35">
      <c r="A202" s="12" t="s">
        <v>1441</v>
      </c>
      <c r="B202" s="12" t="s">
        <v>1442</v>
      </c>
      <c r="C202" s="12" t="s">
        <v>81</v>
      </c>
      <c r="D202" s="12"/>
      <c r="E202" s="12" t="s">
        <v>96</v>
      </c>
      <c r="F202" s="12" t="s">
        <v>263</v>
      </c>
      <c r="G202" s="12" t="s">
        <v>79</v>
      </c>
      <c r="H202" s="12" t="s">
        <v>1000</v>
      </c>
      <c r="I202" s="12" t="s">
        <v>1443</v>
      </c>
      <c r="J202" s="12" t="s">
        <v>1444</v>
      </c>
      <c r="K202" s="11">
        <v>44853.603020833332</v>
      </c>
      <c r="L202" s="11">
        <v>45670.582997685182</v>
      </c>
      <c r="M202" s="15">
        <v>1334.95</v>
      </c>
      <c r="N202" s="15">
        <v>517.97</v>
      </c>
      <c r="O202" s="12" t="b">
        <v>0</v>
      </c>
      <c r="P202" s="12" t="s">
        <v>930</v>
      </c>
      <c r="Q202" s="12">
        <v>2</v>
      </c>
      <c r="R202" s="12">
        <v>0</v>
      </c>
      <c r="S202" s="12">
        <v>0</v>
      </c>
      <c r="T202" s="12" t="s">
        <v>1445</v>
      </c>
    </row>
    <row r="203" spans="1:20" ht="29" x14ac:dyDescent="0.35">
      <c r="A203" s="12" t="s">
        <v>1446</v>
      </c>
      <c r="B203" s="12" t="s">
        <v>1447</v>
      </c>
      <c r="C203" s="12" t="s">
        <v>81</v>
      </c>
      <c r="D203" s="12"/>
      <c r="E203" s="12" t="s">
        <v>96</v>
      </c>
      <c r="F203" s="12" t="s">
        <v>263</v>
      </c>
      <c r="G203" s="12" t="s">
        <v>79</v>
      </c>
      <c r="H203" s="12" t="s">
        <v>1000</v>
      </c>
      <c r="I203" s="12" t="s">
        <v>1443</v>
      </c>
      <c r="J203" s="12" t="s">
        <v>1448</v>
      </c>
      <c r="K203" s="11">
        <v>44853.603032407409</v>
      </c>
      <c r="L203" s="11">
        <v>45672.407175925917</v>
      </c>
      <c r="M203" s="15">
        <v>1334.95</v>
      </c>
      <c r="N203" s="15">
        <v>516.15</v>
      </c>
      <c r="O203" s="12" t="b">
        <v>0</v>
      </c>
      <c r="P203" s="12" t="s">
        <v>930</v>
      </c>
      <c r="Q203" s="12">
        <v>2</v>
      </c>
      <c r="R203" s="12">
        <v>0</v>
      </c>
      <c r="S203" s="12">
        <v>0</v>
      </c>
      <c r="T203" s="12" t="s">
        <v>1449</v>
      </c>
    </row>
    <row r="204" spans="1:20" x14ac:dyDescent="0.35">
      <c r="A204" s="12" t="s">
        <v>1450</v>
      </c>
      <c r="B204" s="12" t="s">
        <v>1451</v>
      </c>
      <c r="C204" s="12" t="s">
        <v>81</v>
      </c>
      <c r="D204" s="12"/>
      <c r="E204" s="12" t="s">
        <v>96</v>
      </c>
      <c r="F204" s="12" t="s">
        <v>263</v>
      </c>
      <c r="G204" s="12" t="s">
        <v>79</v>
      </c>
      <c r="H204" s="12" t="s">
        <v>1000</v>
      </c>
      <c r="I204" s="12" t="s">
        <v>1443</v>
      </c>
      <c r="J204" s="12" t="s">
        <v>1452</v>
      </c>
      <c r="K204" s="11">
        <v>44853.603043981479</v>
      </c>
      <c r="L204" s="11">
        <v>45670.583078703698</v>
      </c>
      <c r="M204" s="15">
        <v>1334.95</v>
      </c>
      <c r="N204" s="15">
        <v>517.97</v>
      </c>
      <c r="O204" s="12" t="b">
        <v>0</v>
      </c>
      <c r="P204" s="12" t="s">
        <v>930</v>
      </c>
      <c r="Q204" s="12">
        <v>2</v>
      </c>
      <c r="R204" s="12">
        <v>0</v>
      </c>
      <c r="S204" s="12">
        <v>0</v>
      </c>
      <c r="T204" s="12" t="s">
        <v>1453</v>
      </c>
    </row>
    <row r="205" spans="1:20" x14ac:dyDescent="0.35">
      <c r="A205" s="12" t="s">
        <v>1454</v>
      </c>
      <c r="B205" s="12" t="s">
        <v>1455</v>
      </c>
      <c r="C205" s="12" t="s">
        <v>81</v>
      </c>
      <c r="D205" s="12"/>
      <c r="E205" s="12" t="s">
        <v>96</v>
      </c>
      <c r="F205" s="12" t="s">
        <v>263</v>
      </c>
      <c r="G205" s="12" t="s">
        <v>79</v>
      </c>
      <c r="H205" s="12" t="s">
        <v>100</v>
      </c>
      <c r="I205" s="12" t="s">
        <v>1443</v>
      </c>
      <c r="J205" s="12" t="s">
        <v>1456</v>
      </c>
      <c r="K205" s="11">
        <v>44853.603043981479</v>
      </c>
      <c r="L205" s="11">
        <v>45868.327233796299</v>
      </c>
      <c r="M205" s="15">
        <v>1334.95</v>
      </c>
      <c r="N205" s="15">
        <v>320.23</v>
      </c>
      <c r="O205" s="12" t="b">
        <v>0</v>
      </c>
      <c r="P205" s="12" t="s">
        <v>930</v>
      </c>
      <c r="Q205" s="12">
        <v>5</v>
      </c>
      <c r="R205" s="12">
        <v>1</v>
      </c>
      <c r="S205" s="12">
        <v>0</v>
      </c>
      <c r="T205" s="12" t="s">
        <v>1457</v>
      </c>
    </row>
    <row r="206" spans="1:20" x14ac:dyDescent="0.35">
      <c r="A206" s="12" t="s">
        <v>1458</v>
      </c>
      <c r="B206" s="12" t="s">
        <v>1459</v>
      </c>
      <c r="C206" s="12" t="s">
        <v>81</v>
      </c>
      <c r="D206" s="12"/>
      <c r="E206" s="12" t="s">
        <v>96</v>
      </c>
      <c r="F206" s="12" t="s">
        <v>263</v>
      </c>
      <c r="G206" s="12" t="s">
        <v>1045</v>
      </c>
      <c r="H206" s="12" t="s">
        <v>100</v>
      </c>
      <c r="I206" s="12" t="s">
        <v>1460</v>
      </c>
      <c r="J206" s="12" t="s">
        <v>1461</v>
      </c>
      <c r="K206" s="11">
        <v>44873.85659722222</v>
      </c>
      <c r="L206" s="11">
        <v>45839.565810185188</v>
      </c>
      <c r="M206" s="15">
        <v>1314.7</v>
      </c>
      <c r="N206" s="15">
        <v>348.99</v>
      </c>
      <c r="O206" s="12" t="b">
        <v>0</v>
      </c>
      <c r="P206" s="12" t="s">
        <v>930</v>
      </c>
      <c r="Q206" s="12">
        <v>0</v>
      </c>
      <c r="R206" s="12">
        <v>0</v>
      </c>
      <c r="S206" s="12">
        <v>0</v>
      </c>
      <c r="T206" s="12" t="s">
        <v>1462</v>
      </c>
    </row>
    <row r="207" spans="1:20" x14ac:dyDescent="0.35">
      <c r="A207" s="12" t="s">
        <v>1463</v>
      </c>
      <c r="B207" s="12" t="s">
        <v>1464</v>
      </c>
      <c r="C207" s="12" t="s">
        <v>81</v>
      </c>
      <c r="D207" s="12"/>
      <c r="E207" s="12" t="s">
        <v>96</v>
      </c>
      <c r="F207" s="12" t="s">
        <v>263</v>
      </c>
      <c r="G207" s="12" t="s">
        <v>79</v>
      </c>
      <c r="H207" s="12" t="s">
        <v>100</v>
      </c>
      <c r="I207" s="12" t="s">
        <v>1465</v>
      </c>
      <c r="J207" s="12" t="s">
        <v>1466</v>
      </c>
      <c r="K207" s="11">
        <v>44873.876979166656</v>
      </c>
      <c r="L207" s="11">
        <v>45670.583020833343</v>
      </c>
      <c r="M207" s="15">
        <v>1314.68</v>
      </c>
      <c r="N207" s="15">
        <v>517.97</v>
      </c>
      <c r="O207" s="12" t="b">
        <v>0</v>
      </c>
      <c r="P207" s="12" t="s">
        <v>930</v>
      </c>
      <c r="Q207" s="12">
        <v>2</v>
      </c>
      <c r="R207" s="12">
        <v>0</v>
      </c>
      <c r="S207" s="12">
        <v>0</v>
      </c>
      <c r="T207" s="12" t="s">
        <v>1467</v>
      </c>
    </row>
    <row r="208" spans="1:20" x14ac:dyDescent="0.35">
      <c r="A208" s="12" t="s">
        <v>1468</v>
      </c>
      <c r="B208" s="12" t="s">
        <v>1469</v>
      </c>
      <c r="C208" s="12" t="s">
        <v>81</v>
      </c>
      <c r="D208" s="12"/>
      <c r="E208" s="12" t="s">
        <v>260</v>
      </c>
      <c r="F208" s="12" t="s">
        <v>264</v>
      </c>
      <c r="G208" s="12" t="s">
        <v>195</v>
      </c>
      <c r="H208" s="12" t="s">
        <v>100</v>
      </c>
      <c r="I208" s="12" t="s">
        <v>197</v>
      </c>
      <c r="J208" s="12" t="s">
        <v>1470</v>
      </c>
      <c r="K208" s="11">
        <v>44893.42627314815</v>
      </c>
      <c r="L208" s="11">
        <v>45072.507743055547</v>
      </c>
      <c r="M208" s="15">
        <v>1295.1300000000001</v>
      </c>
      <c r="N208" s="15">
        <v>1116.05</v>
      </c>
      <c r="O208" s="12" t="b">
        <v>0</v>
      </c>
      <c r="P208" s="12" t="s">
        <v>930</v>
      </c>
      <c r="Q208" s="12">
        <v>0</v>
      </c>
      <c r="R208" s="12">
        <v>0</v>
      </c>
      <c r="S208" s="12">
        <v>1</v>
      </c>
      <c r="T208" s="12" t="s">
        <v>1471</v>
      </c>
    </row>
    <row r="209" spans="1:20" x14ac:dyDescent="0.35">
      <c r="A209" s="12" t="s">
        <v>1472</v>
      </c>
      <c r="B209" s="12" t="s">
        <v>1473</v>
      </c>
      <c r="C209" s="12" t="s">
        <v>81</v>
      </c>
      <c r="D209" s="12"/>
      <c r="E209" s="12" t="s">
        <v>310</v>
      </c>
      <c r="F209" s="12" t="s">
        <v>402</v>
      </c>
      <c r="G209" s="12" t="s">
        <v>1045</v>
      </c>
      <c r="H209" s="12" t="s">
        <v>100</v>
      </c>
      <c r="I209" s="12" t="s">
        <v>1474</v>
      </c>
      <c r="J209" s="12" t="s">
        <v>1475</v>
      </c>
      <c r="K209" s="11">
        <v>44895.587534722217</v>
      </c>
      <c r="L209" s="11">
        <v>45993.556898148148</v>
      </c>
      <c r="M209" s="15">
        <v>1292.97</v>
      </c>
      <c r="N209" s="15">
        <v>195</v>
      </c>
      <c r="O209" s="12" t="b">
        <v>0</v>
      </c>
      <c r="P209" s="12" t="s">
        <v>930</v>
      </c>
      <c r="Q209" s="12">
        <v>0</v>
      </c>
      <c r="R209" s="12">
        <v>0</v>
      </c>
      <c r="S209" s="12">
        <v>1</v>
      </c>
      <c r="T209" s="12" t="s">
        <v>1476</v>
      </c>
    </row>
    <row r="210" spans="1:20" x14ac:dyDescent="0.35">
      <c r="A210" s="12" t="s">
        <v>1477</v>
      </c>
      <c r="B210" s="12" t="s">
        <v>1478</v>
      </c>
      <c r="C210" s="12" t="s">
        <v>81</v>
      </c>
      <c r="D210" s="12"/>
      <c r="E210" s="12" t="s">
        <v>310</v>
      </c>
      <c r="F210" s="12" t="s">
        <v>402</v>
      </c>
      <c r="G210" s="12" t="s">
        <v>305</v>
      </c>
      <c r="H210" s="12" t="s">
        <v>324</v>
      </c>
      <c r="I210" s="12" t="s">
        <v>964</v>
      </c>
      <c r="J210" s="12" t="s">
        <v>1479</v>
      </c>
      <c r="K210" s="11">
        <v>45453.299027777779</v>
      </c>
      <c r="L210" s="11">
        <v>45835.496574074074</v>
      </c>
      <c r="M210" s="15">
        <v>735.26</v>
      </c>
      <c r="N210" s="15">
        <v>353.06</v>
      </c>
      <c r="O210" s="12" t="b">
        <v>0</v>
      </c>
      <c r="P210" s="12" t="s">
        <v>930</v>
      </c>
      <c r="Q210" s="12">
        <v>9</v>
      </c>
      <c r="R210" s="12">
        <v>0</v>
      </c>
      <c r="S210" s="12">
        <v>0</v>
      </c>
      <c r="T210" s="12" t="s">
        <v>1480</v>
      </c>
    </row>
  </sheetData>
  <autoFilter ref="A1:T210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46" customWidth="1"/>
  </cols>
  <sheetData>
    <row r="1" spans="1:2" x14ac:dyDescent="0.35">
      <c r="A1" s="13" t="s">
        <v>1481</v>
      </c>
      <c r="B1" s="13" t="s">
        <v>1482</v>
      </c>
    </row>
    <row r="2" spans="1:2" ht="58" x14ac:dyDescent="0.35">
      <c r="A2" s="12" t="s">
        <v>1483</v>
      </c>
      <c r="B2" s="12" t="s">
        <v>1484</v>
      </c>
    </row>
    <row r="3" spans="1:2" ht="43.5" x14ac:dyDescent="0.35">
      <c r="A3" s="12" t="s">
        <v>1485</v>
      </c>
      <c r="B3" s="12" t="s">
        <v>1486</v>
      </c>
    </row>
    <row r="4" spans="1:2" ht="58" x14ac:dyDescent="0.35">
      <c r="A4" s="12" t="s">
        <v>16</v>
      </c>
      <c r="B4" s="12" t="s">
        <v>1487</v>
      </c>
    </row>
    <row r="5" spans="1:2" ht="43.5" x14ac:dyDescent="0.35">
      <c r="A5" s="12" t="s">
        <v>1488</v>
      </c>
      <c r="B5" s="12" t="s">
        <v>1489</v>
      </c>
    </row>
  </sheetData>
  <autoFilter ref="A1:B5" xr:uid="{00000000-0009-0000-0000-00001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Synthese</vt:lpstr>
      <vt:lpstr>Slide_2_Story_AC</vt:lpstr>
      <vt:lpstr>Analyse_filtrable</vt:lpstr>
      <vt:lpstr>Listes_filtres</vt:lpstr>
      <vt:lpstr>_Story_AC_Lists</vt:lpstr>
      <vt:lpstr>_Story_AC_KPI</vt:lpstr>
      <vt:lpstr>_Story_AC_Field</vt:lpstr>
      <vt:lpstr>_Story_AC_Evo</vt:lpstr>
      <vt:lpstr>_Story_AC_Top</vt:lpstr>
      <vt:lpstr>_Story_AC_Recent</vt:lpstr>
      <vt:lpstr>Modifications_focus</vt:lpstr>
      <vt:lpstr>Modifications_toutes</vt:lpstr>
      <vt:lpstr>KPI_fenetres</vt:lpstr>
      <vt:lpstr>KPI_sprint_status</vt:lpstr>
      <vt:lpstr>Descriptions_modifiees</vt:lpstr>
      <vt:lpstr>AC_modifies</vt:lpstr>
      <vt:lpstr>Story_Desc_AC_events</vt:lpstr>
      <vt:lpstr>Lifecycle</vt:lpstr>
      <vt:lpstr>Top_tickets</vt:lpstr>
      <vt:lpstr>Snapshots</vt:lpstr>
      <vt:lpstr>Latest_snapshot</vt:lpstr>
      <vt:lpstr>Limites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KPI modifications Jira RSS</dc:title>
  <dc:creator>analyse_jira_rss.py</dc:creator>
  <cp:lastModifiedBy>Romain CIESLIK</cp:lastModifiedBy>
  <dcterms:created xsi:type="dcterms:W3CDTF">2026-06-15T13:23:11Z</dcterms:created>
  <dcterms:modified xsi:type="dcterms:W3CDTF">2026-06-15T13:43:36Z</dcterms:modified>
</cp:coreProperties>
</file>