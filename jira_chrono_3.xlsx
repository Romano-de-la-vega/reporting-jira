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anallmanassociates-my.sharepoint.com/personal/romain_cieslik_argain-consulting_com/Documents/Documents/IA/rss jira analyse/"/>
    </mc:Choice>
  </mc:AlternateContent>
  <xr:revisionPtr revIDLastSave="3" documentId="11_D798541B2258947137588C919CE22D824C694EED" xr6:coauthVersionLast="47" xr6:coauthVersionMax="47" xr10:uidLastSave="{44B27FB4-D0CE-4DD3-9AEA-1E33F8939152}"/>
  <bookViews>
    <workbookView xWindow="-120" yWindow="-120" windowWidth="29040" windowHeight="15720" activeTab="1" xr2:uid="{00000000-000D-0000-FFFF-FFFF00000000}"/>
  </bookViews>
  <sheets>
    <sheet name="Synthese" sheetId="1" r:id="rId1"/>
    <sheet name="Slide_2_Story_AC" sheetId="2" r:id="rId2"/>
    <sheet name="Analyse_filtrable" sheetId="3" r:id="rId3"/>
    <sheet name="Listes_filtres" sheetId="4" state="hidden" r:id="rId4"/>
    <sheet name="_Story_AC_Lists" sheetId="5" state="hidden" r:id="rId5"/>
    <sheet name="_Story_AC_KPI" sheetId="6" state="hidden" r:id="rId6"/>
    <sheet name="_Story_AC_Field" sheetId="7" state="hidden" r:id="rId7"/>
    <sheet name="_Story_AC_Evo" sheetId="8" state="hidden" r:id="rId8"/>
    <sheet name="_Story_AC_Top" sheetId="9" state="hidden" r:id="rId9"/>
    <sheet name="_Story_AC_Recent" sheetId="10" state="hidden" r:id="rId10"/>
    <sheet name="Modifications_focus" sheetId="11" r:id="rId11"/>
    <sheet name="Modifications_toutes" sheetId="12" r:id="rId12"/>
    <sheet name="KPI_fenetres" sheetId="13" r:id="rId13"/>
    <sheet name="KPI_sprint_status" sheetId="14" r:id="rId14"/>
    <sheet name="Descriptions_modifiees" sheetId="15" r:id="rId15"/>
    <sheet name="AC_modifies" sheetId="16" r:id="rId16"/>
    <sheet name="Story_Desc_AC_events" sheetId="17" r:id="rId17"/>
    <sheet name="Lifecycle" sheetId="18" r:id="rId18"/>
    <sheet name="Top_tickets" sheetId="19" r:id="rId19"/>
    <sheet name="Snapshots" sheetId="20" r:id="rId20"/>
    <sheet name="Latest_snapshot" sheetId="21" r:id="rId21"/>
    <sheet name="Limites" sheetId="22" r:id="rId22"/>
  </sheets>
  <definedNames>
    <definedName name="_xlnm._FilterDatabase" localSheetId="2" hidden="1">Analyse_filtrable!$A$1:$T$5</definedName>
    <definedName name="_xlnm._FilterDatabase" localSheetId="12" hidden="1">KPI_fenetres!$A$1:$M$2</definedName>
    <definedName name="_xlnm._FilterDatabase" localSheetId="13" hidden="1">KPI_sprint_status!$A$1:$F$5</definedName>
    <definedName name="_xlnm._FilterDatabase" localSheetId="20" hidden="1">Latest_snapshot!$A$1:$T$177</definedName>
    <definedName name="_xlnm._FilterDatabase" localSheetId="21" hidden="1">Limites!$A$1:$B$5</definedName>
    <definedName name="_xlnm._FilterDatabase" localSheetId="10" hidden="1">Modifications_focus!$A$1:$AH$5</definedName>
    <definedName name="_xlnm._FilterDatabase" localSheetId="11" hidden="1">Modifications_toutes!$A$1:$AH$5</definedName>
    <definedName name="_xlnm._FilterDatabase" localSheetId="19" hidden="1">Snapshots!$A$1:$G$3</definedName>
    <definedName name="_xlnm._FilterDatabase" localSheetId="18" hidden="1">Top_tickets!$A$1:$L$2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2" l="1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H89" i="2"/>
  <c r="G89" i="2"/>
  <c r="F89" i="2"/>
  <c r="E89" i="2"/>
  <c r="D89" i="2"/>
  <c r="C89" i="2"/>
  <c r="B89" i="2"/>
  <c r="H88" i="2"/>
  <c r="G88" i="2"/>
  <c r="F88" i="2"/>
  <c r="E88" i="2"/>
  <c r="D88" i="2"/>
  <c r="C88" i="2"/>
  <c r="B88" i="2"/>
  <c r="H87" i="2"/>
  <c r="G87" i="2"/>
  <c r="F87" i="2"/>
  <c r="E87" i="2"/>
  <c r="D87" i="2"/>
  <c r="C87" i="2"/>
  <c r="B87" i="2"/>
  <c r="H86" i="2"/>
  <c r="G86" i="2"/>
  <c r="F86" i="2"/>
  <c r="E86" i="2"/>
  <c r="D86" i="2"/>
  <c r="C86" i="2"/>
  <c r="B86" i="2"/>
  <c r="H85" i="2"/>
  <c r="G85" i="2"/>
  <c r="F85" i="2"/>
  <c r="E85" i="2"/>
  <c r="D85" i="2"/>
  <c r="C85" i="2"/>
  <c r="B85" i="2"/>
  <c r="I79" i="2"/>
  <c r="H79" i="2"/>
  <c r="G79" i="2"/>
  <c r="F79" i="2"/>
  <c r="E79" i="2"/>
  <c r="D79" i="2"/>
  <c r="C79" i="2"/>
  <c r="B79" i="2"/>
  <c r="I78" i="2"/>
  <c r="H78" i="2"/>
  <c r="G78" i="2"/>
  <c r="F78" i="2"/>
  <c r="E78" i="2"/>
  <c r="D78" i="2"/>
  <c r="C78" i="2"/>
  <c r="B78" i="2"/>
  <c r="I77" i="2"/>
  <c r="H77" i="2"/>
  <c r="G77" i="2"/>
  <c r="F77" i="2"/>
  <c r="E77" i="2"/>
  <c r="D77" i="2"/>
  <c r="C77" i="2"/>
  <c r="B77" i="2"/>
  <c r="I76" i="2"/>
  <c r="H76" i="2"/>
  <c r="G76" i="2"/>
  <c r="F76" i="2"/>
  <c r="E76" i="2"/>
  <c r="D76" i="2"/>
  <c r="C76" i="2"/>
  <c r="B76" i="2"/>
  <c r="I75" i="2"/>
  <c r="H75" i="2"/>
  <c r="G75" i="2"/>
  <c r="F75" i="2"/>
  <c r="E75" i="2"/>
  <c r="D75" i="2"/>
  <c r="C75" i="2"/>
  <c r="B75" i="2"/>
  <c r="I74" i="2"/>
  <c r="H74" i="2"/>
  <c r="G74" i="2"/>
  <c r="F74" i="2"/>
  <c r="E74" i="2"/>
  <c r="D74" i="2"/>
  <c r="C74" i="2"/>
  <c r="B74" i="2"/>
  <c r="I73" i="2"/>
  <c r="H73" i="2"/>
  <c r="G73" i="2"/>
  <c r="F73" i="2"/>
  <c r="E73" i="2"/>
  <c r="D73" i="2"/>
  <c r="C73" i="2"/>
  <c r="B73" i="2"/>
  <c r="I72" i="2"/>
  <c r="H72" i="2"/>
  <c r="G72" i="2"/>
  <c r="F72" i="2"/>
  <c r="E72" i="2"/>
  <c r="D72" i="2"/>
  <c r="C72" i="2"/>
  <c r="B72" i="2"/>
  <c r="I71" i="2"/>
  <c r="H71" i="2"/>
  <c r="G71" i="2"/>
  <c r="F71" i="2"/>
  <c r="E71" i="2"/>
  <c r="D71" i="2"/>
  <c r="C71" i="2"/>
  <c r="B71" i="2"/>
  <c r="I70" i="2"/>
  <c r="H70" i="2"/>
  <c r="G70" i="2"/>
  <c r="F70" i="2"/>
  <c r="E70" i="2"/>
  <c r="D70" i="2"/>
  <c r="C70" i="2"/>
  <c r="B70" i="2"/>
  <c r="D36" i="2"/>
  <c r="C36" i="2"/>
  <c r="B36" i="2"/>
  <c r="C23" i="2"/>
  <c r="B23" i="2"/>
  <c r="C22" i="2"/>
  <c r="B22" i="2"/>
  <c r="J15" i="2"/>
  <c r="G15" i="2"/>
  <c r="D15" i="2"/>
  <c r="A15" i="2"/>
  <c r="J11" i="2"/>
  <c r="G11" i="2"/>
  <c r="D11" i="2"/>
  <c r="A11" i="2"/>
</calcChain>
</file>

<file path=xl/sharedStrings.xml><?xml version="1.0" encoding="utf-8"?>
<sst xmlns="http://schemas.openxmlformats.org/spreadsheetml/2006/main" count="3232" uniqueCount="1053">
  <si>
    <t>Suivi des modifications Jira RSS</t>
  </si>
  <si>
    <t>Exports analysés</t>
  </si>
  <si>
    <t>Cette synthèse est volontairement statique pour garantir l'ouverture Excel. La vue interactive demandée est en onglet 2 : Slide_2_Story_AC. Elle permet de choisir le sprint et le statut pour suivre les modifications Story sur Description et Acceptance Criteria.</t>
  </si>
  <si>
    <t>Premier export</t>
  </si>
  <si>
    <t>Dernier export</t>
  </si>
  <si>
    <t>Période début</t>
  </si>
  <si>
    <t>Période fin</t>
  </si>
  <si>
    <t>Périmètre</t>
  </si>
  <si>
    <t>Aucun filtre en ligne de commande</t>
  </si>
  <si>
    <t>Tickets modifiés</t>
  </si>
  <si>
    <t>Total modifications</t>
  </si>
  <si>
    <t>Descriptions modifiées</t>
  </si>
  <si>
    <t>AC modifiés</t>
  </si>
  <si>
    <t>Changements statut</t>
  </si>
  <si>
    <t>Changements sprint</t>
  </si>
  <si>
    <t>Tickets apparus</t>
  </si>
  <si>
    <t>Tickets disparus</t>
  </si>
  <si>
    <t>Modifications par champ</t>
  </si>
  <si>
    <t>Champ modifié</t>
  </si>
  <si>
    <t>Modifications</t>
  </si>
  <si>
    <t>Tickets concernés</t>
  </si>
  <si>
    <t>Assigné</t>
  </si>
  <si>
    <t>Commentaires</t>
  </si>
  <si>
    <t>Custom fields</t>
  </si>
  <si>
    <t>Statut</t>
  </si>
  <si>
    <t>Onglet 2 à utiliser : Slide_2_Story_AC — suivi visuel des modifications Story sur Description et Acceptance Criteria.</t>
  </si>
  <si>
    <t>Slide 2 - Évolution des Stories : Description &amp; Acceptance Criteria</t>
  </si>
  <si>
    <t>Objectif
Suivre, par sprint, les changements intervenus sur les tickets de type Story pour les champs Description et Acceptance Criteria.</t>
  </si>
  <si>
    <t>Sprint à analyser</t>
  </si>
  <si>
    <t>Tous</t>
  </si>
  <si>
    <t>Sélectionne un sprint en E4 et, si besoin, un statut en I4. La page utilise uniquement des formules Excel compatibles : INDEX/MATCH et SUMIFS. Type de ticket fixé : Story. Champs suivis : Description et Acceptance Criteria.</t>
  </si>
  <si>
    <t>Stories dans le dernier export</t>
  </si>
  <si>
    <t>Stories impactées</t>
  </si>
  <si>
    <t>Total modifs Desc/AC</t>
  </si>
  <si>
    <t>Stories avec Desc + AC</t>
  </si>
  <si>
    <t>Taux de stories impactées</t>
  </si>
  <si>
    <t>Dernière détection</t>
  </si>
  <si>
    <t>Répartition des changements Story</t>
  </si>
  <si>
    <t>Champ</t>
  </si>
  <si>
    <t>Description</t>
  </si>
  <si>
    <t>Acceptance Criteria</t>
  </si>
  <si>
    <t>Évolution par fenêtre d'export</t>
  </si>
  <si>
    <t>Date de détection</t>
  </si>
  <si>
    <t>Descriptions</t>
  </si>
  <si>
    <t>AC</t>
  </si>
  <si>
    <t>Tickets impactés</t>
  </si>
  <si>
    <t>2026-06-08 08:07:02 UTC</t>
  </si>
  <si>
    <t>Top tickets Story modifiés sur Description / AC</t>
  </si>
  <si>
    <t>Rang</t>
  </si>
  <si>
    <t>Key</t>
  </si>
  <si>
    <t>Desc</t>
  </si>
  <si>
    <t>Total</t>
  </si>
  <si>
    <t>Résumé</t>
  </si>
  <si>
    <t>Lien</t>
  </si>
  <si>
    <t>Derniers changements détectés - extraits avant / après</t>
  </si>
  <si>
    <t>Détection</t>
  </si>
  <si>
    <t>Extrait avant</t>
  </si>
  <si>
    <t>Extrait après</t>
  </si>
  <si>
    <t>Début fenêtre</t>
  </si>
  <si>
    <t>Ticket ID</t>
  </si>
  <si>
    <t>Sprint</t>
  </si>
  <si>
    <t>Type</t>
  </si>
  <si>
    <t>Type de modification</t>
  </si>
  <si>
    <t>Projet</t>
  </si>
  <si>
    <t>Priorité</t>
  </si>
  <si>
    <t>Valeur avant</t>
  </si>
  <si>
    <t>Valeur après</t>
  </si>
  <si>
    <t>Fichier précédent</t>
  </si>
  <si>
    <t>Fichier courant</t>
  </si>
  <si>
    <t>Jira updated après</t>
  </si>
  <si>
    <t>392738</t>
  </si>
  <si>
    <t>PPMG-1549</t>
  </si>
  <si>
    <t>Sprint 17 2026</t>
  </si>
  <si>
    <t>In Refinement</t>
  </si>
  <si>
    <t>Story</t>
  </si>
  <si>
    <t>Assigné modifié</t>
  </si>
  <si>
    <t>PPMG</t>
  </si>
  <si>
    <t>Patrick PONCET</t>
  </si>
  <si>
    <t>High</t>
  </si>
  <si>
    <t>Yosra MANAI</t>
  </si>
  <si>
    <t>https://data-servier.atlassian.net/browse/PPMG-1549</t>
  </si>
  <si>
    <t>ticket non clot (Jira)(2).xml</t>
  </si>
  <si>
    <t>ticket non clot (Jira)(3).xml</t>
  </si>
  <si>
    <t>Commentaires modifiés</t>
  </si>
  <si>
    <t>4</t>
  </si>
  <si>
    <t>Custom fields modifiés</t>
  </si>
  <si>
    <t>Rank</t>
  </si>
  <si>
    <t>Statut modifié</t>
  </si>
  <si>
    <t>Analyse</t>
  </si>
  <si>
    <t>Sprint 10; Sprint 17 2026</t>
  </si>
  <si>
    <t>Sprint 14 2026; Sprint 15 2026</t>
  </si>
  <si>
    <t>Backlog</t>
  </si>
  <si>
    <t>Sprint 15 2026</t>
  </si>
  <si>
    <t>Candidate</t>
  </si>
  <si>
    <t>Dev in Progress</t>
  </si>
  <si>
    <t>Go Prod</t>
  </si>
  <si>
    <t>Ready for Development</t>
  </si>
  <si>
    <t>Stories dernier export</t>
  </si>
  <si>
    <t>Tickets Story impactés</t>
  </si>
  <si>
    <t>Tickets desc modifiée</t>
  </si>
  <si>
    <t>Tickets AC modifiés</t>
  </si>
  <si>
    <t>Tickets desc+AC</t>
  </si>
  <si>
    <t>Taux impact</t>
  </si>
  <si>
    <t>Première détection</t>
  </si>
  <si>
    <t>Tous|Tous</t>
  </si>
  <si>
    <t>Tous|Analyse</t>
  </si>
  <si>
    <t>Tous|Backlog</t>
  </si>
  <si>
    <t>Tous|Candidate</t>
  </si>
  <si>
    <t>Tous|Dev in Progress</t>
  </si>
  <si>
    <t>Tous|Go Prod</t>
  </si>
  <si>
    <t>Tous|In Refinement</t>
  </si>
  <si>
    <t>Tous|Ready for Development</t>
  </si>
  <si>
    <t>Sprint 10; Sprint 17 2026|Tous</t>
  </si>
  <si>
    <t>Sprint 10; Sprint 17 2026|Analyse</t>
  </si>
  <si>
    <t>Sprint 10; Sprint 17 2026|Backlog</t>
  </si>
  <si>
    <t>Sprint 10; Sprint 17 2026|Candidate</t>
  </si>
  <si>
    <t>Sprint 10; Sprint 17 2026|Dev in Progress</t>
  </si>
  <si>
    <t>Sprint 10; Sprint 17 2026|Go Prod</t>
  </si>
  <si>
    <t>Sprint 10; Sprint 17 2026|In Refinement</t>
  </si>
  <si>
    <t>Sprint 10; Sprint 17 2026|Ready for Development</t>
  </si>
  <si>
    <t>Sprint 14 2026; Sprint 15 2026|Tous</t>
  </si>
  <si>
    <t>Sprint 14 2026; Sprint 15 2026|Analyse</t>
  </si>
  <si>
    <t>Sprint 14 2026; Sprint 15 2026|Backlog</t>
  </si>
  <si>
    <t>Sprint 14 2026; Sprint 15 2026|Candidate</t>
  </si>
  <si>
    <t>Sprint 14 2026; Sprint 15 2026|Dev in Progress</t>
  </si>
  <si>
    <t>Sprint 14 2026; Sprint 15 2026|Go Prod</t>
  </si>
  <si>
    <t>Sprint 14 2026; Sprint 15 2026|In Refinement</t>
  </si>
  <si>
    <t>Sprint 14 2026; Sprint 15 2026|Ready for Development</t>
  </si>
  <si>
    <t>Sprint 15 2026|Tous</t>
  </si>
  <si>
    <t>Sprint 15 2026|Analyse</t>
  </si>
  <si>
    <t>Sprint 15 2026|Backlog</t>
  </si>
  <si>
    <t>Sprint 15 2026|Candidate</t>
  </si>
  <si>
    <t>Sprint 15 2026|Dev in Progress</t>
  </si>
  <si>
    <t>Sprint 15 2026|Go Prod</t>
  </si>
  <si>
    <t>Sprint 15 2026|In Refinement</t>
  </si>
  <si>
    <t>Sprint 15 2026|Ready for Development</t>
  </si>
  <si>
    <t>Sprint 17 2026|Tous</t>
  </si>
  <si>
    <t>Sprint 17 2026|Analyse</t>
  </si>
  <si>
    <t>Sprint 17 2026|Backlog</t>
  </si>
  <si>
    <t>Sprint 17 2026|Candidate</t>
  </si>
  <si>
    <t>Sprint 17 2026|Dev in Progress</t>
  </si>
  <si>
    <t>Sprint 17 2026|Go Prod</t>
  </si>
  <si>
    <t>Sprint 17 2026|In Refinement</t>
  </si>
  <si>
    <t>Sprint 17 2026|Ready for Development</t>
  </si>
  <si>
    <t>Tous|Tous|Description</t>
  </si>
  <si>
    <t>Tous|Tous|Acceptance Criteria</t>
  </si>
  <si>
    <t>Tous|Analyse|Description</t>
  </si>
  <si>
    <t>Tous|Analyse|Acceptance Criteria</t>
  </si>
  <si>
    <t>Tous|Backlog|Description</t>
  </si>
  <si>
    <t>Tous|Backlog|Acceptance Criteria</t>
  </si>
  <si>
    <t>Tous|Candidate|Description</t>
  </si>
  <si>
    <t>Tous|Candidate|Acceptance Criteria</t>
  </si>
  <si>
    <t>Tous|Dev in Progress|Description</t>
  </si>
  <si>
    <t>Tous|Dev in Progress|Acceptance Criteria</t>
  </si>
  <si>
    <t>Tous|Go Prod|Description</t>
  </si>
  <si>
    <t>Tous|Go Prod|Acceptance Criteria</t>
  </si>
  <si>
    <t>Tous|In Refinement|Description</t>
  </si>
  <si>
    <t>Tous|In Refinement|Acceptance Criteria</t>
  </si>
  <si>
    <t>Tous|Ready for Development|Description</t>
  </si>
  <si>
    <t>Tous|Ready for Development|Acceptance Criteria</t>
  </si>
  <si>
    <t>Sprint 10; Sprint 17 2026|Tous|Description</t>
  </si>
  <si>
    <t>Sprint 10; Sprint 17 2026|Tous|Acceptance Criteria</t>
  </si>
  <si>
    <t>Sprint 10; Sprint 17 2026|Analyse|Description</t>
  </si>
  <si>
    <t>Sprint 10; Sprint 17 2026|Analyse|Acceptance Criteria</t>
  </si>
  <si>
    <t>Sprint 10; Sprint 17 2026|Backlog|Description</t>
  </si>
  <si>
    <t>Sprint 10; Sprint 17 2026|Backlog|Acceptance Criteria</t>
  </si>
  <si>
    <t>Sprint 10; Sprint 17 2026|Candidate|Description</t>
  </si>
  <si>
    <t>Sprint 10; Sprint 17 2026|Candidate|Acceptance Criteria</t>
  </si>
  <si>
    <t>Sprint 10; Sprint 17 2026|Dev in Progress|Description</t>
  </si>
  <si>
    <t>Sprint 10; Sprint 17 2026|Dev in Progress|Acceptance Criteria</t>
  </si>
  <si>
    <t>Sprint 10; Sprint 17 2026|Go Prod|Description</t>
  </si>
  <si>
    <t>Sprint 10; Sprint 17 2026|Go Prod|Acceptance Criteria</t>
  </si>
  <si>
    <t>Sprint 10; Sprint 17 2026|In Refinement|Description</t>
  </si>
  <si>
    <t>Sprint 10; Sprint 17 2026|In Refinement|Acceptance Criteria</t>
  </si>
  <si>
    <t>Sprint 10; Sprint 17 2026|Ready for Development|Description</t>
  </si>
  <si>
    <t>Sprint 10; Sprint 17 2026|Ready for Development|Acceptance Criteria</t>
  </si>
  <si>
    <t>Sprint 14 2026; Sprint 15 2026|Tous|Description</t>
  </si>
  <si>
    <t>Sprint 14 2026; Sprint 15 2026|Tous|Acceptance Criteria</t>
  </si>
  <si>
    <t>Sprint 14 2026; Sprint 15 2026|Analyse|Description</t>
  </si>
  <si>
    <t>Sprint 14 2026; Sprint 15 2026|Analyse|Acceptance Criteria</t>
  </si>
  <si>
    <t>Sprint 14 2026; Sprint 15 2026|Backlog|Description</t>
  </si>
  <si>
    <t>Sprint 14 2026; Sprint 15 2026|Backlog|Acceptance Criteria</t>
  </si>
  <si>
    <t>Sprint 14 2026; Sprint 15 2026|Candidate|Description</t>
  </si>
  <si>
    <t>Sprint 14 2026; Sprint 15 2026|Candidate|Acceptance Criteria</t>
  </si>
  <si>
    <t>Sprint 14 2026; Sprint 15 2026|Dev in Progress|Description</t>
  </si>
  <si>
    <t>Sprint 14 2026; Sprint 15 2026|Dev in Progress|Acceptance Criteria</t>
  </si>
  <si>
    <t>Sprint 14 2026; Sprint 15 2026|Go Prod|Description</t>
  </si>
  <si>
    <t>Sprint 14 2026; Sprint 15 2026|Go Prod|Acceptance Criteria</t>
  </si>
  <si>
    <t>Sprint 14 2026; Sprint 15 2026|In Refinement|Description</t>
  </si>
  <si>
    <t>Sprint 14 2026; Sprint 15 2026|In Refinement|Acceptance Criteria</t>
  </si>
  <si>
    <t>Sprint 14 2026; Sprint 15 2026|Ready for Development|Description</t>
  </si>
  <si>
    <t>Sprint 14 2026; Sprint 15 2026|Ready for Development|Acceptance Criteria</t>
  </si>
  <si>
    <t>Sprint 15 2026|Tous|Description</t>
  </si>
  <si>
    <t>Sprint 15 2026|Tous|Acceptance Criteria</t>
  </si>
  <si>
    <t>Sprint 15 2026|Analyse|Description</t>
  </si>
  <si>
    <t>Sprint 15 2026|Analyse|Acceptance Criteria</t>
  </si>
  <si>
    <t>Sprint 15 2026|Backlog|Description</t>
  </si>
  <si>
    <t>Sprint 15 2026|Backlog|Acceptance Criteria</t>
  </si>
  <si>
    <t>Sprint 15 2026|Candidate|Description</t>
  </si>
  <si>
    <t>Sprint 15 2026|Candidate|Acceptance Criteria</t>
  </si>
  <si>
    <t>Sprint 15 2026|Dev in Progress|Description</t>
  </si>
  <si>
    <t>Sprint 15 2026|Dev in Progress|Acceptance Criteria</t>
  </si>
  <si>
    <t>Sprint 15 2026|Go Prod|Description</t>
  </si>
  <si>
    <t>Sprint 15 2026|Go Prod|Acceptance Criteria</t>
  </si>
  <si>
    <t>Sprint 15 2026|In Refinement|Description</t>
  </si>
  <si>
    <t>Sprint 15 2026|In Refinement|Acceptance Criteria</t>
  </si>
  <si>
    <t>Sprint 15 2026|Ready for Development|Description</t>
  </si>
  <si>
    <t>Sprint 15 2026|Ready for Development|Acceptance Criteria</t>
  </si>
  <si>
    <t>Sprint 17 2026|Tous|Description</t>
  </si>
  <si>
    <t>Sprint 17 2026|Tous|Acceptance Criteria</t>
  </si>
  <si>
    <t>Sprint 17 2026|Analyse|Description</t>
  </si>
  <si>
    <t>Sprint 17 2026|Analyse|Acceptance Criteria</t>
  </si>
  <si>
    <t>Sprint 17 2026|Backlog|Description</t>
  </si>
  <si>
    <t>Sprint 17 2026|Backlog|Acceptance Criteria</t>
  </si>
  <si>
    <t>Sprint 17 2026|Candidate|Description</t>
  </si>
  <si>
    <t>Sprint 17 2026|Candidate|Acceptance Criteria</t>
  </si>
  <si>
    <t>Sprint 17 2026|Dev in Progress|Description</t>
  </si>
  <si>
    <t>Sprint 17 2026|Dev in Progress|Acceptance Criteria</t>
  </si>
  <si>
    <t>Sprint 17 2026|Go Prod|Description</t>
  </si>
  <si>
    <t>Sprint 17 2026|Go Prod|Acceptance Criteria</t>
  </si>
  <si>
    <t>Sprint 17 2026|In Refinement|Description</t>
  </si>
  <si>
    <t>Sprint 17 2026|In Refinement|Acceptance Criteria</t>
  </si>
  <si>
    <t>Sprint 17 2026|Ready for Development|Description</t>
  </si>
  <si>
    <t>Sprint 17 2026|Ready for Development|Acceptance Criteria</t>
  </si>
  <si>
    <t>Date clé</t>
  </si>
  <si>
    <t>Tous|Tous|2026-06-08 08:07:02 UTC</t>
  </si>
  <si>
    <t>Tous|Analyse|2026-06-08 08:07:02 UTC</t>
  </si>
  <si>
    <t>Tous|Backlog|2026-06-08 08:07:02 UTC</t>
  </si>
  <si>
    <t>Tous|Candidate|2026-06-08 08:07:02 UTC</t>
  </si>
  <si>
    <t>Tous|Dev in Progress|2026-06-08 08:07:02 UTC</t>
  </si>
  <si>
    <t>Tous|Go Prod|2026-06-08 08:07:02 UTC</t>
  </si>
  <si>
    <t>Tous|In Refinement|2026-06-08 08:07:02 UTC</t>
  </si>
  <si>
    <t>Tous|Ready for Development|2026-06-08 08:07:02 UTC</t>
  </si>
  <si>
    <t>Sprint 10; Sprint 17 2026|Tous|2026-06-08 08:07:02 UTC</t>
  </si>
  <si>
    <t>Sprint 10; Sprint 17 2026|Analyse|2026-06-08 08:07:02 UTC</t>
  </si>
  <si>
    <t>Sprint 10; Sprint 17 2026|Backlog|2026-06-08 08:07:02 UTC</t>
  </si>
  <si>
    <t>Sprint 10; Sprint 17 2026|Candidate|2026-06-08 08:07:02 UTC</t>
  </si>
  <si>
    <t>Sprint 10; Sprint 17 2026|Dev in Progress|2026-06-08 08:07:02 UTC</t>
  </si>
  <si>
    <t>Sprint 10; Sprint 17 2026|Go Prod|2026-06-08 08:07:02 UTC</t>
  </si>
  <si>
    <t>Sprint 10; Sprint 17 2026|In Refinement|2026-06-08 08:07:02 UTC</t>
  </si>
  <si>
    <t>Sprint 10; Sprint 17 2026|Ready for Development|2026-06-08 08:07:02 UTC</t>
  </si>
  <si>
    <t>Sprint 14 2026; Sprint 15 2026|Tous|2026-06-08 08:07:02 UTC</t>
  </si>
  <si>
    <t>Sprint 14 2026; Sprint 15 2026|Analyse|2026-06-08 08:07:02 UTC</t>
  </si>
  <si>
    <t>Sprint 14 2026; Sprint 15 2026|Backlog|2026-06-08 08:07:02 UTC</t>
  </si>
  <si>
    <t>Sprint 14 2026; Sprint 15 2026|Candidate|2026-06-08 08:07:02 UTC</t>
  </si>
  <si>
    <t>Sprint 14 2026; Sprint 15 2026|Dev in Progress|2026-06-08 08:07:02 UTC</t>
  </si>
  <si>
    <t>Sprint 14 2026; Sprint 15 2026|Go Prod|2026-06-08 08:07:02 UTC</t>
  </si>
  <si>
    <t>Sprint 14 2026; Sprint 15 2026|In Refinement|2026-06-08 08:07:02 UTC</t>
  </si>
  <si>
    <t>Sprint 14 2026; Sprint 15 2026|Ready for Development|2026-06-08 08:07:02 UTC</t>
  </si>
  <si>
    <t>Sprint 15 2026|Tous|2026-06-08 08:07:02 UTC</t>
  </si>
  <si>
    <t>Sprint 15 2026|Analyse|2026-06-08 08:07:02 UTC</t>
  </si>
  <si>
    <t>Sprint 15 2026|Backlog|2026-06-08 08:07:02 UTC</t>
  </si>
  <si>
    <t>Sprint 15 2026|Candidate|2026-06-08 08:07:02 UTC</t>
  </si>
  <si>
    <t>Sprint 15 2026|Dev in Progress|2026-06-08 08:07:02 UTC</t>
  </si>
  <si>
    <t>Sprint 15 2026|Go Prod|2026-06-08 08:07:02 UTC</t>
  </si>
  <si>
    <t>Sprint 15 2026|In Refinement|2026-06-08 08:07:02 UTC</t>
  </si>
  <si>
    <t>Sprint 15 2026|Ready for Development|2026-06-08 08:07:02 UTC</t>
  </si>
  <si>
    <t>Sprint 17 2026|Tous|2026-06-08 08:07:02 UTC</t>
  </si>
  <si>
    <t>Sprint 17 2026|Analyse|2026-06-08 08:07:02 UTC</t>
  </si>
  <si>
    <t>Sprint 17 2026|Backlog|2026-06-08 08:07:02 UTC</t>
  </si>
  <si>
    <t>Sprint 17 2026|Candidate|2026-06-08 08:07:02 UTC</t>
  </si>
  <si>
    <t>Sprint 17 2026|Dev in Progress|2026-06-08 08:07:02 UTC</t>
  </si>
  <si>
    <t>Sprint 17 2026|Go Prod|2026-06-08 08:07:02 UTC</t>
  </si>
  <si>
    <t>Sprint 17 2026|In Refinement|2026-06-08 08:07:02 UTC</t>
  </si>
  <si>
    <t>Sprint 17 2026|Ready for Development|2026-06-08 08:07:02 UTC</t>
  </si>
  <si>
    <t>Jira key</t>
  </si>
  <si>
    <t>Statut ticket</t>
  </si>
  <si>
    <t>Sprint ticket</t>
  </si>
  <si>
    <t>Fenêtre début</t>
  </si>
  <si>
    <t>Fenêtre fin / détection</t>
  </si>
  <si>
    <t>Key avant</t>
  </si>
  <si>
    <t>Key après</t>
  </si>
  <si>
    <t>Sprint avant</t>
  </si>
  <si>
    <t>Sprint après</t>
  </si>
  <si>
    <t>Sprint effectif</t>
  </si>
  <si>
    <t>Statut avant</t>
  </si>
  <si>
    <t>Statut après</t>
  </si>
  <si>
    <t>Statut effectif</t>
  </si>
  <si>
    <t>Catégorie statut avant</t>
  </si>
  <si>
    <t>Catégorie statut après</t>
  </si>
  <si>
    <t>Type avant</t>
  </si>
  <si>
    <t>Type après</t>
  </si>
  <si>
    <t>Type effectif</t>
  </si>
  <si>
    <t>Assigné avant</t>
  </si>
  <si>
    <t>Assigné après</t>
  </si>
  <si>
    <t>Priorité avant</t>
  </si>
  <si>
    <t>Priorité après</t>
  </si>
  <si>
    <t>Taille avant</t>
  </si>
  <si>
    <t>Taille après</t>
  </si>
  <si>
    <t>Jira updated avant</t>
  </si>
  <si>
    <t>indeterminate</t>
  </si>
  <si>
    <t>Commentaires ajoutés/modifiés</t>
  </si>
  <si>
    <t>Aucune donnée</t>
  </si>
  <si>
    <t>Champs modifiés</t>
  </si>
  <si>
    <t>Assigné; Commentaires; Custom fields; Statut</t>
  </si>
  <si>
    <t>Ordre</t>
  </si>
  <si>
    <t>Date export</t>
  </si>
  <si>
    <t>Date source</t>
  </si>
  <si>
    <t>Fichier</t>
  </si>
  <si>
    <t>Chemin</t>
  </si>
  <si>
    <t>Tickets</t>
  </si>
  <si>
    <t>Warnings</t>
  </si>
  <si>
    <t>Fri Jun 05 15:33:16 UTC 2026</t>
  </si>
  <si>
    <t>C:\Users\ciesl\Downloads\rss chrono\ticket non clot (Jira)(2).xml</t>
  </si>
  <si>
    <t>Mon Jun 08 08:07:02 UTC 2026</t>
  </si>
  <si>
    <t>C:\Users\ciesl\Downloads\rss chrono\ticket non clot (Jira)(3).xml</t>
  </si>
  <si>
    <t>Catégorie statut</t>
  </si>
  <si>
    <t>Created</t>
  </si>
  <si>
    <t>Updated</t>
  </si>
  <si>
    <t>Âge jours</t>
  </si>
  <si>
    <t>Jours depuis update</t>
  </si>
  <si>
    <t>AC présent</t>
  </si>
  <si>
    <t>Source AC</t>
  </si>
  <si>
    <t>Pièces jointes</t>
  </si>
  <si>
    <t>Liens Jira</t>
  </si>
  <si>
    <t>169929</t>
  </si>
  <si>
    <t>PPMG-1027</t>
  </si>
  <si>
    <t>new</t>
  </si>
  <si>
    <t>Change</t>
  </si>
  <si>
    <t>Low</t>
  </si>
  <si>
    <t>Grégory RUGET</t>
  </si>
  <si>
    <t>[Gestion budgétaire V2-P1] Modification de l'option "View &gt; Grouping elements"</t>
  </si>
  <si>
    <t>customfield: Acceptance Criteria</t>
  </si>
  <si>
    <t>https://data-servier.atlassian.net/browse/PPMG-1027</t>
  </si>
  <si>
    <t>224092</t>
  </si>
  <si>
    <t>PPMG-1193</t>
  </si>
  <si>
    <t>En cours</t>
  </si>
  <si>
    <t>Tâche</t>
  </si>
  <si>
    <t>Highest</t>
  </si>
  <si>
    <t>Pierre KAYA</t>
  </si>
  <si>
    <t>[A TESTER Servier] Test nouvelle version interface ACTIVITY-VYP</t>
  </si>
  <si>
    <t>missing</t>
  </si>
  <si>
    <t>https://data-servier.atlassian.net/browse/PPMG-1193</t>
  </si>
  <si>
    <t>225874</t>
  </si>
  <si>
    <t>PPMG-1197</t>
  </si>
  <si>
    <t>Medium</t>
  </si>
  <si>
    <t>Yassine BOUARI</t>
  </si>
  <si>
    <t>[Tous les Champs texte enrichi] Taille de police par défaut (OTD 177189)</t>
  </si>
  <si>
    <t>https://data-servier.atlassian.net/browse/PPMG-1197</t>
  </si>
  <si>
    <t>230390</t>
  </si>
  <si>
    <t>PPMG-1205</t>
  </si>
  <si>
    <t>Analyse techniquo fonctionnel pour l'utilisation des budgets lines</t>
  </si>
  <si>
    <t>https://data-servier.atlassian.net/browse/PPMG-1205</t>
  </si>
  <si>
    <t>250815</t>
  </si>
  <si>
    <t>PPMG-1222</t>
  </si>
  <si>
    <t>RACHEL CLOIX</t>
  </si>
  <si>
    <t>Définir un nombre maximum de caractères pour les champs texte riche.</t>
  </si>
  <si>
    <t>https://data-servier.atlassian.net/browse/PPMG-1222</t>
  </si>
  <si>
    <t>250970</t>
  </si>
  <si>
    <t>PPMG-1227</t>
  </si>
  <si>
    <t>[Risques] gestion du Mitigation Plan</t>
  </si>
  <si>
    <t>description: expected/acceptance markers</t>
  </si>
  <si>
    <t>https://data-servier.atlassian.net/browse/PPMG-1227</t>
  </si>
  <si>
    <t>250974</t>
  </si>
  <si>
    <t>PPMG-1229</t>
  </si>
  <si>
    <t>Typhaine MICHEL</t>
  </si>
  <si>
    <t>[Issues] Plan d'action</t>
  </si>
  <si>
    <t>https://data-servier.atlassian.net/browse/PPMG-1229</t>
  </si>
  <si>
    <t>250977</t>
  </si>
  <si>
    <t>PPMG-1231</t>
  </si>
  <si>
    <t>[Gantt][ON HOLD PLW] OTD - 201933 Affichage par défaut</t>
  </si>
  <si>
    <t>https://data-servier.atlassian.net/browse/PPMG-1231</t>
  </si>
  <si>
    <t>251034</t>
  </si>
  <si>
    <t>PPMG-1233</t>
  </si>
  <si>
    <t>[Risques] [Issues] Gestion des plan d'actions</t>
  </si>
  <si>
    <t>https://data-servier.atlassian.net/browse/PPMG-1233</t>
  </si>
  <si>
    <t>252701</t>
  </si>
  <si>
    <t>PPMG-1241</t>
  </si>
  <si>
    <t>Identifier les couts/payroll/budget erronés sur une initiative</t>
  </si>
  <si>
    <t>https://data-servier.atlassian.net/browse/PPMG-1241</t>
  </si>
  <si>
    <t>258526</t>
  </si>
  <si>
    <t>PPMG-1257</t>
  </si>
  <si>
    <t>Hajar AIT MENDIL</t>
  </si>
  <si>
    <t>[INTERFACE LOG] - Intégrer la création de logs aux interfaces existantes</t>
  </si>
  <si>
    <t>https://data-servier.atlassian.net/browse/PPMG-1257</t>
  </si>
  <si>
    <t>264567</t>
  </si>
  <si>
    <t>PPMG-1268</t>
  </si>
  <si>
    <t>[MDM] [Attribut] Department Lead Domain à rendre monovalué</t>
  </si>
  <si>
    <t>https://data-servier.atlassian.net/browse/PPMG-1268</t>
  </si>
  <si>
    <t>264788</t>
  </si>
  <si>
    <t>PPMG-1269</t>
  </si>
  <si>
    <t>[Suite 2] - Interface DataPlatform - VYP : récupération des valeurs engagé, réalisé et temps passés de Pilot CT</t>
  </si>
  <si>
    <t>https://data-servier.atlassian.net/browse/PPMG-1269</t>
  </si>
  <si>
    <t>306680</t>
  </si>
  <si>
    <t>PPMG-1392</t>
  </si>
  <si>
    <t>Herve ONNO</t>
  </si>
  <si>
    <t>OTD - 212664 [INTERFACE VYP -&gt; DP] - Mettre en place un nettoyage des fichiers SFTP</t>
  </si>
  <si>
    <t>https://data-servier.atlassian.net/browse/PPMG-1392</t>
  </si>
  <si>
    <t>307578</t>
  </si>
  <si>
    <t>PPMG-1398</t>
  </si>
  <si>
    <t>BrainstormingACI Amélioration - Amelioration workbox + home projet</t>
  </si>
  <si>
    <t>https://data-servier.atlassian.net/browse/PPMG-1398</t>
  </si>
  <si>
    <t>307603</t>
  </si>
  <si>
    <t>PPMG-1399</t>
  </si>
  <si>
    <t>BrainstormingACI Amélioration - Indicateurs</t>
  </si>
  <si>
    <t>https://data-servier.atlassian.net/browse/PPMG-1399</t>
  </si>
  <si>
    <t>307605</t>
  </si>
  <si>
    <t>PPMG-1400</t>
  </si>
  <si>
    <t>BrainstormingACI Amélioration - Interfaces et intégrations</t>
  </si>
  <si>
    <t>https://data-servier.atlassian.net/browse/PPMG-1400</t>
  </si>
  <si>
    <t>307606</t>
  </si>
  <si>
    <t>PPMG-1401</t>
  </si>
  <si>
    <t>BrainstormingACI Amélioration - ID card et des dashboards</t>
  </si>
  <si>
    <t>https://data-servier.atlassian.net/browse/PPMG-1401</t>
  </si>
  <si>
    <t>307607</t>
  </si>
  <si>
    <t>PPMG-1402</t>
  </si>
  <si>
    <t>BrainstormingACI Amélioration - Amelioration de l'organisation</t>
  </si>
  <si>
    <t>https://data-servier.atlassian.net/browse/PPMG-1402</t>
  </si>
  <si>
    <t>309547</t>
  </si>
  <si>
    <t>PPMG-1411</t>
  </si>
  <si>
    <t>[INTERFACE - VYP -&gt; DP R&amp;D ] Export de la monthly baseline</t>
  </si>
  <si>
    <t>https://data-servier.atlassian.net/browse/PPMG-1411</t>
  </si>
  <si>
    <t>316352</t>
  </si>
  <si>
    <t>PPMG-1419</t>
  </si>
  <si>
    <t>Sprint 13 2026; Sprint 14 2026; Sprint 15 2026</t>
  </si>
  <si>
    <t>Automatisation des notifications pour le nettoyage des licences inutilisées</t>
  </si>
  <si>
    <t>https://data-servier.atlassian.net/browse/PPMG-1419</t>
  </si>
  <si>
    <t>317409</t>
  </si>
  <si>
    <t>PPMG-1425</t>
  </si>
  <si>
    <t>Lowest</t>
  </si>
  <si>
    <t>[Attributs] Modifications 3/3</t>
  </si>
  <si>
    <t>https://data-servier.atlassian.net/browse/PPMG-1425</t>
  </si>
  <si>
    <t>318635</t>
  </si>
  <si>
    <t>PPMG-1432</t>
  </si>
  <si>
    <t>[Attributs] [Module Project] Champs date</t>
  </si>
  <si>
    <t>https://data-servier.atlassian.net/browse/PPMG-1432</t>
  </si>
  <si>
    <t>327987</t>
  </si>
  <si>
    <t>PPMG-1440</t>
  </si>
  <si>
    <t>[AMOA] [Gantt] Ajout de nouvelles librairies d'activité &amp; Modification template standard</t>
  </si>
  <si>
    <t>https://data-servier.atlassian.net/browse/PPMG-1440</t>
  </si>
  <si>
    <t>329131</t>
  </si>
  <si>
    <t>PPMG-1446</t>
  </si>
  <si>
    <t>[R&amp;D] - Etude de faisabilité - Reporting pour visualiser les Baselines</t>
  </si>
  <si>
    <t>https://data-servier.atlassian.net/browse/PPMG-1446</t>
  </si>
  <si>
    <t>334862</t>
  </si>
  <si>
    <t>PPMG-1454</t>
  </si>
  <si>
    <t>[Value Business Case] VBC – Ajout d’un onglet de synthèse et évolutions associées</t>
  </si>
  <si>
    <t>https://data-servier.atlassian.net/browse/PPMG-1454</t>
  </si>
  <si>
    <t>334886</t>
  </si>
  <si>
    <t>PPMG-1455</t>
  </si>
  <si>
    <t>Non assigné</t>
  </si>
  <si>
    <t>Ne pas laisser la possibilité de modifier les lignes interfacées dans le module financier</t>
  </si>
  <si>
    <t>https://data-servier.atlassian.net/browse/PPMG-1455</t>
  </si>
  <si>
    <t>335765</t>
  </si>
  <si>
    <t>PPMG-1459</t>
  </si>
  <si>
    <t>Sprint 14 2026</t>
  </si>
  <si>
    <t>Ouvert</t>
  </si>
  <si>
    <t>Bug</t>
  </si>
  <si>
    <t>Romain CIESLIK</t>
  </si>
  <si>
    <t>Règles de gestion sur le champ "Name" du projet</t>
  </si>
  <si>
    <t>https://data-servier.atlassian.net/browse/PPMG-1459</t>
  </si>
  <si>
    <t>337641</t>
  </si>
  <si>
    <t>PPMG-1460</t>
  </si>
  <si>
    <t>[COST &amp; LOAD] Afficher la vue consolidée (somme verticale) au niveau des regroupements</t>
  </si>
  <si>
    <t>https://data-servier.atlassian.net/browse/PPMG-1460</t>
  </si>
  <si>
    <t>337646</t>
  </si>
  <si>
    <t>PPMG-1461</t>
  </si>
  <si>
    <t>[STAGE &amp; GATE] Ajouter le commentaire obligatoire du passage de gate dans un reporting</t>
  </si>
  <si>
    <t>https://data-servier.atlassian.net/browse/PPMG-1461</t>
  </si>
  <si>
    <t>339819</t>
  </si>
  <si>
    <t>PPMG-1470</t>
  </si>
  <si>
    <t>[SFTP] Accès aux fichiers sur le serveur SFTP OTD 205560</t>
  </si>
  <si>
    <t>https://data-servier.atlassian.net/browse/PPMG-1470</t>
  </si>
  <si>
    <t>342620</t>
  </si>
  <si>
    <t>PPMG-1474</t>
  </si>
  <si>
    <t>Sprint 16 2026</t>
  </si>
  <si>
    <t>Validated</t>
  </si>
  <si>
    <t>[OTD 207474] Trouver la cause du changement du thème des environnements</t>
  </si>
  <si>
    <t>https://data-servier.atlassian.net/browse/PPMG-1474</t>
  </si>
  <si>
    <t>342847</t>
  </si>
  <si>
    <t>PPMG-1476</t>
  </si>
  <si>
    <t>[GLOBAL] Champs attendus en Read-Only</t>
  </si>
  <si>
    <t>https://data-servier.atlassian.net/browse/PPMG-1476</t>
  </si>
  <si>
    <t>343177</t>
  </si>
  <si>
    <t>PPMG-1477</t>
  </si>
  <si>
    <t>VYP – Analyse des droits d’écriture pour les Gatekeepers des programmes SPOT</t>
  </si>
  <si>
    <t>https://data-servier.atlassian.net/browse/PPMG-1477</t>
  </si>
  <si>
    <t>345010</t>
  </si>
  <si>
    <t>PPMG-1479</t>
  </si>
  <si>
    <t>Feature</t>
  </si>
  <si>
    <t>MIGRATION</t>
  </si>
  <si>
    <t>https://data-servier.atlassian.net/browse/PPMG-1479</t>
  </si>
  <si>
    <t>345593</t>
  </si>
  <si>
    <t>PPMG-1482</t>
  </si>
  <si>
    <t>[OTD 208287] Les Key Risks ne s’affichent pas dans l’export PDF de l’Initiative Dashboard (OK dans l’export PPT)</t>
  </si>
  <si>
    <t>https://data-servier.atlassian.net/browse/PPMG-1482</t>
  </si>
  <si>
    <t>347980</t>
  </si>
  <si>
    <t>PPMG-1483</t>
  </si>
  <si>
    <t>Interfaçage MDM</t>
  </si>
  <si>
    <t>https://data-servier.atlassian.net/browse/PPMG-1483</t>
  </si>
  <si>
    <t>351111</t>
  </si>
  <si>
    <t>PPMG-1486</t>
  </si>
  <si>
    <t>[SPM] [Cost&amp;Load] Refonte et harmonisation des notions ETC / EAC dans le module Strategic Portfolios</t>
  </si>
  <si>
    <t>https://data-servier.atlassian.net/browse/PPMG-1486</t>
  </si>
  <si>
    <t>360128</t>
  </si>
  <si>
    <t>PPMG-1491</t>
  </si>
  <si>
    <t>[R&amp;D] - INTERFACE DP - VYP - Remontée du réel</t>
  </si>
  <si>
    <t>https://data-servier.atlassian.net/browse/PPMG-1491</t>
  </si>
  <si>
    <t>360846</t>
  </si>
  <si>
    <t>PPMG-1495</t>
  </si>
  <si>
    <t>[OTD209092] [COST &amp; LOAD] Répartition mensuelle différente entre des Forecast &amp; Actuals identiques sur une saisie à l'année</t>
  </si>
  <si>
    <t>https://data-servier.atlassian.net/browse/PPMG-1495</t>
  </si>
  <si>
    <t>362615</t>
  </si>
  <si>
    <t>PPMG-1498</t>
  </si>
  <si>
    <t>[A compléter] Interface VYP - MDM Group Project</t>
  </si>
  <si>
    <t>https://data-servier.atlassian.net/browse/PPMG-1498</t>
  </si>
  <si>
    <t>362723</t>
  </si>
  <si>
    <t>PPMG-1500</t>
  </si>
  <si>
    <t>[OTD XXX] [INC0853680] - La recherche globale via 'filter' ne retourne aucun résultat après sélection d’un portefeuille dans ALL PROJECTS</t>
  </si>
  <si>
    <t>https://data-servier.atlassian.net/browse/PPMG-1500</t>
  </si>
  <si>
    <t>363136</t>
  </si>
  <si>
    <t>PPMG-1501</t>
  </si>
  <si>
    <t>Double comptabilisation du forecast sur la page Cost &amp; Load ( au niveau Projet + WorkPackages)</t>
  </si>
  <si>
    <t>https://data-servier.atlassian.net/browse/PPMG-1501</t>
  </si>
  <si>
    <t>363485</t>
  </si>
  <si>
    <t>PPMG-1502</t>
  </si>
  <si>
    <t>[Ergonomie] Page Properties - Initiative Summary</t>
  </si>
  <si>
    <t>https://data-servier.atlassian.net/browse/PPMG-1502</t>
  </si>
  <si>
    <t>363513</t>
  </si>
  <si>
    <t>PPMG-1503</t>
  </si>
  <si>
    <t>[Ergonomie] Dashboard &gt; ID Card</t>
  </si>
  <si>
    <t>https://data-servier.atlassian.net/browse/PPMG-1503</t>
  </si>
  <si>
    <t>363523</t>
  </si>
  <si>
    <t>PPMG-1504</t>
  </si>
  <si>
    <t>[Ergonomie] Dashboard &gt; Initiative Dashboard</t>
  </si>
  <si>
    <t>https://data-servier.atlassian.net/browse/PPMG-1504</t>
  </si>
  <si>
    <t>363885</t>
  </si>
  <si>
    <t>PPMG-1505</t>
  </si>
  <si>
    <t>[MDM Référentiel Projet Groupe] Impacts VYP et Interface VYP-MDM ref Projet Groupe</t>
  </si>
  <si>
    <t>https://data-servier.atlassian.net/browse/PPMG-1505</t>
  </si>
  <si>
    <t>366711</t>
  </si>
  <si>
    <t>PPMG-1507</t>
  </si>
  <si>
    <t>"Forecast up to date" - dysfonctionnement</t>
  </si>
  <si>
    <t>https://data-servier.atlassian.net/browse/PPMG-1507</t>
  </si>
  <si>
    <t>367082</t>
  </si>
  <si>
    <t>PPMG-1508</t>
  </si>
  <si>
    <t>[AMOA] [TEST] Création de profils utilisateurs IO et PFM en PROD pour testing</t>
  </si>
  <si>
    <t>https://data-servier.atlassian.net/browse/PPMG-1508</t>
  </si>
  <si>
    <t>371407</t>
  </si>
  <si>
    <t>PPMG-1512</t>
  </si>
  <si>
    <t>[COST&amp;LOAD] Saisie des coûts sur un workpackage</t>
  </si>
  <si>
    <t>https://data-servier.atlassian.net/browse/PPMG-1512</t>
  </si>
  <si>
    <t>372247</t>
  </si>
  <si>
    <t>PPMG-1516</t>
  </si>
  <si>
    <t>[Ergonomie] Page Gantt - Mode Fold</t>
  </si>
  <si>
    <t>https://data-servier.atlassian.net/browse/PPMG-1516</t>
  </si>
  <si>
    <t>372342</t>
  </si>
  <si>
    <t>PPMG-1517</t>
  </si>
  <si>
    <t>[Risques] Risk amelioration/Evolutions - 3 (Export/Import)</t>
  </si>
  <si>
    <t>https://data-servier.atlassian.net/browse/PPMG-1517</t>
  </si>
  <si>
    <t>375988</t>
  </si>
  <si>
    <t>PPMG-1521</t>
  </si>
  <si>
    <t>Ligne dans Planned hours avec un cost account vide</t>
  </si>
  <si>
    <t>https://data-servier.atlassian.net/browse/PPMG-1521</t>
  </si>
  <si>
    <t>380552</t>
  </si>
  <si>
    <t>PPMG-1525</t>
  </si>
  <si>
    <t>[AMOA] Mise à jour OBS -&gt; Department Lead &amp; Department Involved</t>
  </si>
  <si>
    <t>https://data-servier.atlassian.net/browse/PPMG-1525</t>
  </si>
  <si>
    <t>382354</t>
  </si>
  <si>
    <t>PPMG-1527</t>
  </si>
  <si>
    <t>[INC0874083] - Changement de catégorie non pris en compte Value Business Case</t>
  </si>
  <si>
    <t>https://data-servier.atlassian.net/browse/PPMG-1527</t>
  </si>
  <si>
    <t>382401</t>
  </si>
  <si>
    <t>PPMG-1528</t>
  </si>
  <si>
    <t>[R&amp;D] Remontée du réel - Evolution du dev suite à reprise du besoin</t>
  </si>
  <si>
    <t>https://data-servier.atlassian.net/browse/PPMG-1528</t>
  </si>
  <si>
    <t>384372</t>
  </si>
  <si>
    <t>PPMG-1530</t>
  </si>
  <si>
    <t>[STAGE &amp; GATE] Empêcher la validation d'une gate si la date de la gate est dans le futur</t>
  </si>
  <si>
    <t>https://data-servier.atlassian.net/browse/PPMG-1530</t>
  </si>
  <si>
    <t>385510</t>
  </si>
  <si>
    <t>PPMG-1533</t>
  </si>
  <si>
    <t>Error message displayed when portfolio applied_Test Environment</t>
  </si>
  <si>
    <t>https://data-servier.atlassian.net/browse/PPMG-1533</t>
  </si>
  <si>
    <t>387351</t>
  </si>
  <si>
    <t>PPMG-1534</t>
  </si>
  <si>
    <t>[Ergonomie] Module Home - Categories/Workboxes​</t>
  </si>
  <si>
    <t>https://data-servier.atlassian.net/browse/PPMG-1534</t>
  </si>
  <si>
    <t>387457</t>
  </si>
  <si>
    <t>PPMG-1535</t>
  </si>
  <si>
    <t>[Ergonomie] Barre de menu principale</t>
  </si>
  <si>
    <t>https://data-servier.atlassian.net/browse/PPMG-1535</t>
  </si>
  <si>
    <t>387523</t>
  </si>
  <si>
    <t>PPMG-1537</t>
  </si>
  <si>
    <t>[Ergonomie] Module Projects - Configuration des pages par profil</t>
  </si>
  <si>
    <t>https://data-servier.atlassian.net/browse/PPMG-1537</t>
  </si>
  <si>
    <t>388732</t>
  </si>
  <si>
    <t>PPMG-1539</t>
  </si>
  <si>
    <t>[INC0879976] Analyse des points d’appel du User Attribute SER_UA_PRJ_TEMPLATE_FILTER</t>
  </si>
  <si>
    <t>https://data-servier.atlassian.net/browse/PPMG-1539</t>
  </si>
  <si>
    <t>389042</t>
  </si>
  <si>
    <t>PPMG-1540</t>
  </si>
  <si>
    <t>[MOE] UPGRADE v7.1.6 - Créer la liste des fonctionnalités</t>
  </si>
  <si>
    <t>https://data-servier.atlassian.net/browse/PPMG-1540</t>
  </si>
  <si>
    <t>390477</t>
  </si>
  <si>
    <t>PPMG-1541</t>
  </si>
  <si>
    <t>Comment Gate Log</t>
  </si>
  <si>
    <t>https://data-servier.atlassian.net/browse/PPMG-1541</t>
  </si>
  <si>
    <t>391357</t>
  </si>
  <si>
    <t>PPMG-1542</t>
  </si>
  <si>
    <t>Write access sur les projets enfants</t>
  </si>
  <si>
    <t>https://data-servier.atlassian.net/browse/PPMG-1542</t>
  </si>
  <si>
    <t>391358</t>
  </si>
  <si>
    <t>PPMG-1543</t>
  </si>
  <si>
    <t>Column to add un the Cost data reporting</t>
  </si>
  <si>
    <t>https://data-servier.atlassian.net/browse/PPMG-1543</t>
  </si>
  <si>
    <t>391359</t>
  </si>
  <si>
    <t>PPMG-1544</t>
  </si>
  <si>
    <t>Cost data reporting evolution</t>
  </si>
  <si>
    <t>https://data-servier.atlassian.net/browse/PPMG-1544</t>
  </si>
  <si>
    <t>391360</t>
  </si>
  <si>
    <t>PPMG-1545</t>
  </si>
  <si>
    <t>Budget Allocation - Filtre External/full costs</t>
  </si>
  <si>
    <t>https://data-servier.atlassian.net/browse/PPMG-1545</t>
  </si>
  <si>
    <t>391361</t>
  </si>
  <si>
    <t>PPMG-1546</t>
  </si>
  <si>
    <t>Rapport Portfolio Timeline - ajout de filtres</t>
  </si>
  <si>
    <t>https://data-servier.atlassian.net/browse/PPMG-1546</t>
  </si>
  <si>
    <t>392012</t>
  </si>
  <si>
    <t>PPMG-1548</t>
  </si>
  <si>
    <t>[AMOA] Suppression des utilisateurs BIOGARAN</t>
  </si>
  <si>
    <t>https://data-servier.atlassian.net/browse/PPMG-1548</t>
  </si>
  <si>
    <t>Gantt - Règles de gestion et contrôles d'intégrité – Librairie "DDIS-MVP"</t>
  </si>
  <si>
    <t>392839</t>
  </si>
  <si>
    <t>PPMG-1550</t>
  </si>
  <si>
    <t>Intégration Data Platform – Librairie "DDIS-MVP"</t>
  </si>
  <si>
    <t>https://data-servier.atlassian.net/browse/PPMG-1550</t>
  </si>
  <si>
    <t>393117</t>
  </si>
  <si>
    <t>PPMG-1551</t>
  </si>
  <si>
    <t>[Ergonomie] Module Portfolio Reporting - Reports</t>
  </si>
  <si>
    <t>https://data-servier.atlassian.net/browse/PPMG-1551</t>
  </si>
  <si>
    <t>393585</t>
  </si>
  <si>
    <t>PPMG-1552</t>
  </si>
  <si>
    <t>[PILOT] Règles de gestion et contrôles pour les champs d'interface PILOT</t>
  </si>
  <si>
    <t>https://data-servier.atlassian.net/browse/PPMG-1552</t>
  </si>
  <si>
    <t>393730</t>
  </si>
  <si>
    <t>PPMG-1553</t>
  </si>
  <si>
    <t>[Ergonomie] Page Properties - Initiative Health Status</t>
  </si>
  <si>
    <t>https://data-servier.atlassian.net/browse/PPMG-1553</t>
  </si>
  <si>
    <t>394245</t>
  </si>
  <si>
    <t>PPMG-1556</t>
  </si>
  <si>
    <t>Xray Test</t>
  </si>
  <si>
    <t>Test 1</t>
  </si>
  <si>
    <t>https://data-servier.atlassian.net/browse/PPMG-1556</t>
  </si>
  <si>
    <t>394246</t>
  </si>
  <si>
    <t>PPMG-1557</t>
  </si>
  <si>
    <t>Test Execution</t>
  </si>
  <si>
    <t>Exécution Ad-hoc de PPMG-1556</t>
  </si>
  <si>
    <t>https://data-servier.atlassian.net/browse/PPMG-1557</t>
  </si>
  <si>
    <t>395612</t>
  </si>
  <si>
    <t>PPMG-1558</t>
  </si>
  <si>
    <t>Selected</t>
  </si>
  <si>
    <t>ERGONOMIE</t>
  </si>
  <si>
    <t>https://data-servier.atlassian.net/browse/PPMG-1558</t>
  </si>
  <si>
    <t>395624</t>
  </si>
  <si>
    <t>PPMG-1559</t>
  </si>
  <si>
    <t>[Ergonomie] New Project Popup</t>
  </si>
  <si>
    <t>https://data-servier.atlassian.net/browse/PPMG-1559</t>
  </si>
  <si>
    <t>395628</t>
  </si>
  <si>
    <t>PPMG-1560</t>
  </si>
  <si>
    <t>[Ergonomie] Liste des onglets - Task Popup</t>
  </si>
  <si>
    <t>https://data-servier.atlassian.net/browse/PPMG-1560</t>
  </si>
  <si>
    <t>395641</t>
  </si>
  <si>
    <t>PPMG-1561</t>
  </si>
  <si>
    <t>[Ergonomie] New Task/ WBS Element Popup</t>
  </si>
  <si>
    <t>https://data-servier.atlassian.net/browse/PPMG-1561</t>
  </si>
  <si>
    <t>395646</t>
  </si>
  <si>
    <t>PPMG-1562</t>
  </si>
  <si>
    <t>[Ergonomie] New Forecast Popup</t>
  </si>
  <si>
    <t>https://data-servier.atlassian.net/browse/PPMG-1562</t>
  </si>
  <si>
    <t>395656</t>
  </si>
  <si>
    <t>PPMG-1563</t>
  </si>
  <si>
    <t>[Ergonomie] Page Properties - ID Card</t>
  </si>
  <si>
    <t>https://data-servier.atlassian.net/browse/PPMG-1563</t>
  </si>
  <si>
    <t>395847</t>
  </si>
  <si>
    <t>PPMG-1565</t>
  </si>
  <si>
    <t>[MOE] - Comparaison des fonctionnalités 7.0.6 VS 7.1.6</t>
  </si>
  <si>
    <t>https://data-servier.atlassian.net/browse/PPMG-1565</t>
  </si>
  <si>
    <t>395879</t>
  </si>
  <si>
    <t>PPMG-1566</t>
  </si>
  <si>
    <t>[MOE] - Lister les répertoires des diverses interfaces pour partage à PLW</t>
  </si>
  <si>
    <t>https://data-servier.atlassian.net/browse/PPMG-1566</t>
  </si>
  <si>
    <t>395880</t>
  </si>
  <si>
    <t>PPMG-1567</t>
  </si>
  <si>
    <t>[MOE] - Lister tables Admin fonctionnel pour faciliter l'administration des données avec version 7.1.6</t>
  </si>
  <si>
    <t>https://data-servier.atlassian.net/browse/PPMG-1567</t>
  </si>
  <si>
    <t>396904</t>
  </si>
  <si>
    <t>PPMG-1568</t>
  </si>
  <si>
    <t>[INTERFACE VYP-DP] - Ajout du champ "Level" dans l'export des activités</t>
  </si>
  <si>
    <t>https://data-servier.atlassian.net/browse/PPMG-1568</t>
  </si>
  <si>
    <t>399924</t>
  </si>
  <si>
    <t>PPMG-1570</t>
  </si>
  <si>
    <t>Restituer l’intégralité des données de référence dans Cost &amp; Load, y compris lorsque des coûts courants ont été supprimés</t>
  </si>
  <si>
    <t>https://data-servier.atlassian.net/browse/PPMG-1570</t>
  </si>
  <si>
    <t>400599</t>
  </si>
  <si>
    <t>PPMG-1571</t>
  </si>
  <si>
    <t>Affichage du menu Planisware Enterprise</t>
  </si>
  <si>
    <t>https://data-servier.atlassian.net/browse/PPMG-1571</t>
  </si>
  <si>
    <t>400600</t>
  </si>
  <si>
    <t>PPMG-1572</t>
  </si>
  <si>
    <t>Présence des sous-menus standards</t>
  </si>
  <si>
    <t>https://data-servier.atlassian.net/browse/PPMG-1572</t>
  </si>
  <si>
    <t>400607</t>
  </si>
  <si>
    <t>PPMG-1574</t>
  </si>
  <si>
    <t>https://data-servier.atlassian.net/browse/PPMG-1574</t>
  </si>
  <si>
    <t>400608</t>
  </si>
  <si>
    <t>PPMG-1575</t>
  </si>
  <si>
    <t>https://data-servier.atlassian.net/browse/PPMG-1575</t>
  </si>
  <si>
    <t>403089</t>
  </si>
  <si>
    <t>PPMG-1577</t>
  </si>
  <si>
    <t>Exécution Ad-hoc de PPMG-1574</t>
  </si>
  <si>
    <t>https://data-servier.atlassian.net/browse/PPMG-1577</t>
  </si>
  <si>
    <t>403230</t>
  </si>
  <si>
    <t>PPMG-1578</t>
  </si>
  <si>
    <t>https://data-servier.atlassian.net/browse/PPMG-1578</t>
  </si>
  <si>
    <t>403232</t>
  </si>
  <si>
    <t>PPMG-1579</t>
  </si>
  <si>
    <t>https://data-servier.atlassian.net/browse/PPMG-1579</t>
  </si>
  <si>
    <t>403487</t>
  </si>
  <si>
    <t>PPMG-1580</t>
  </si>
  <si>
    <t>TESTING IMPORT</t>
  </si>
  <si>
    <t>https://data-servier.atlassian.net/browse/PPMG-1580</t>
  </si>
  <si>
    <t>403489</t>
  </si>
  <si>
    <t>PPMG-1581</t>
  </si>
  <si>
    <t>https://data-servier.atlassian.net/browse/PPMG-1581</t>
  </si>
  <si>
    <t>403607</t>
  </si>
  <si>
    <t>PPMG-1582</t>
  </si>
  <si>
    <t>https://data-servier.atlassian.net/browse/PPMG-1582</t>
  </si>
  <si>
    <t>403609</t>
  </si>
  <si>
    <t>PPMG-1583</t>
  </si>
  <si>
    <t>https://data-servier.atlassian.net/browse/PPMG-1583</t>
  </si>
  <si>
    <t>403610</t>
  </si>
  <si>
    <t>PPMG-1584</t>
  </si>
  <si>
    <t>https://data-servier.atlassian.net/browse/PPMG-1584</t>
  </si>
  <si>
    <t>404157</t>
  </si>
  <si>
    <t>PPMG-1586</t>
  </si>
  <si>
    <t>Ad-hoc execution for PPMG-518</t>
  </si>
  <si>
    <t>https://data-servier.atlassian.net/browse/PPMG-1586</t>
  </si>
  <si>
    <t>404158</t>
  </si>
  <si>
    <t>PPMG-1587</t>
  </si>
  <si>
    <t>Ad-hoc execution for PPMG-1555</t>
  </si>
  <si>
    <t>https://data-servier.atlassian.net/browse/PPMG-1587</t>
  </si>
  <si>
    <t>404531</t>
  </si>
  <si>
    <t>PPMG-1589</t>
  </si>
  <si>
    <t>Mohamed Amine AOUAINIA</t>
  </si>
  <si>
    <t>Problème d'injection des données</t>
  </si>
  <si>
    <t>https://data-servier.atlassian.net/browse/PPMG-1589</t>
  </si>
  <si>
    <t>410628</t>
  </si>
  <si>
    <t>PPMG-1591</t>
  </si>
  <si>
    <t>Publié</t>
  </si>
  <si>
    <t>done</t>
  </si>
  <si>
    <t>Vérification des modules, pages et styles associés</t>
  </si>
  <si>
    <t>https://data-servier.atlassian.net/browse/PPMG-1591</t>
  </si>
  <si>
    <t>428228</t>
  </si>
  <si>
    <t>PPMG-1592</t>
  </si>
  <si>
    <t>[INC0892093-INC0892211] Analyse et correctif – erreur “Submitted Gate Not Found” sur Submit Next Gate</t>
  </si>
  <si>
    <t>https://data-servier.atlassian.net/browse/PPMG-1592</t>
  </si>
  <si>
    <t>428255</t>
  </si>
  <si>
    <t>PPMG-1593</t>
  </si>
  <si>
    <t>Vérification du menu Planisware</t>
  </si>
  <si>
    <t>https://data-servier.atlassian.net/browse/PPMG-1593</t>
  </si>
  <si>
    <t>428463</t>
  </si>
  <si>
    <t>PPMG-1691</t>
  </si>
  <si>
    <t>Vérification du module 'Project' , pages et styles associés</t>
  </si>
  <si>
    <t>https://data-servier.atlassian.net/browse/PPMG-1691</t>
  </si>
  <si>
    <t>428466</t>
  </si>
  <si>
    <t>PPMG-1692</t>
  </si>
  <si>
    <t>Création d'une initiative</t>
  </si>
  <si>
    <t>https://data-servier.atlassian.net/browse/PPMG-1692</t>
  </si>
  <si>
    <t>428469</t>
  </si>
  <si>
    <t>PPMG-1693</t>
  </si>
  <si>
    <t>Création d'une initiative à composante R&amp;D -PILOT</t>
  </si>
  <si>
    <t>https://data-servier.atlassian.net/browse/PPMG-1693</t>
  </si>
  <si>
    <t>428475</t>
  </si>
  <si>
    <t>PPMG-1694</t>
  </si>
  <si>
    <t>Synchronisation d'un projet VYP - ACTIVITY</t>
  </si>
  <si>
    <t>https://data-servier.atlassian.net/browse/PPMG-1694</t>
  </si>
  <si>
    <t>428478</t>
  </si>
  <si>
    <t>PPMG-1695</t>
  </si>
  <si>
    <t>Planification d'une initiative</t>
  </si>
  <si>
    <t>https://data-servier.atlassian.net/browse/PPMG-1695</t>
  </si>
  <si>
    <t>428480</t>
  </si>
  <si>
    <t>PPMG-1696</t>
  </si>
  <si>
    <t>Estimation budgétaire d'une initiative</t>
  </si>
  <si>
    <t>https://data-servier.atlassian.net/browse/PPMG-1696</t>
  </si>
  <si>
    <t>428483</t>
  </si>
  <si>
    <t>PPMG-1697</t>
  </si>
  <si>
    <t>Estimation de la charge</t>
  </si>
  <si>
    <t>https://data-servier.atlassian.net/browse/PPMG-1697</t>
  </si>
  <si>
    <t>428484</t>
  </si>
  <si>
    <t>PPMG-1698</t>
  </si>
  <si>
    <t>Définition de la valeur d'une initiative ( VBC)</t>
  </si>
  <si>
    <t>https://data-servier.atlassian.net/browse/PPMG-1698</t>
  </si>
  <si>
    <t>428489</t>
  </si>
  <si>
    <t>PPMG-1699</t>
  </si>
  <si>
    <t>Carte d'identité de l'initiative</t>
  </si>
  <si>
    <t>https://data-servier.atlassian.net/browse/PPMG-1699</t>
  </si>
  <si>
    <t>428501</t>
  </si>
  <si>
    <t>PPMG-1700</t>
  </si>
  <si>
    <t>Soumission de l'initiative</t>
  </si>
  <si>
    <t>https://data-servier.atlassian.net/browse/PPMG-1700</t>
  </si>
  <si>
    <t>428502</t>
  </si>
  <si>
    <t>PPMG-1701</t>
  </si>
  <si>
    <t>Créer programme</t>
  </si>
  <si>
    <t>https://data-servier.atlassian.net/browse/PPMG-1701</t>
  </si>
  <si>
    <t>428503</t>
  </si>
  <si>
    <t>PPMG-1702</t>
  </si>
  <si>
    <t>Contrôle de l'initiative</t>
  </si>
  <si>
    <t>https://data-servier.atlassian.net/browse/PPMG-1702</t>
  </si>
  <si>
    <t>428506</t>
  </si>
  <si>
    <t>PPMG-1703</t>
  </si>
  <si>
    <t>Evaluer le scoring</t>
  </si>
  <si>
    <t>https://data-servier.atlassian.net/browse/PPMG-1703</t>
  </si>
  <si>
    <t>428507</t>
  </si>
  <si>
    <t>PPMG-1704</t>
  </si>
  <si>
    <t>Allocation de budget</t>
  </si>
  <si>
    <t>https://data-servier.atlassian.net/browse/PPMG-1704</t>
  </si>
  <si>
    <t>428517</t>
  </si>
  <si>
    <t>PPMG-1705</t>
  </si>
  <si>
    <t>Validation de gate</t>
  </si>
  <si>
    <t>https://data-servier.atlassian.net/browse/PPMG-1705</t>
  </si>
  <si>
    <t>428527</t>
  </si>
  <si>
    <t>PPMG-1706</t>
  </si>
  <si>
    <t>Mise à jour de l'avancement</t>
  </si>
  <si>
    <t>https://data-servier.atlassian.net/browse/PPMG-1706</t>
  </si>
  <si>
    <t>428528</t>
  </si>
  <si>
    <t>PPMG-1707</t>
  </si>
  <si>
    <t>Gestion des risques ( Risks)</t>
  </si>
  <si>
    <t>https://data-servier.atlassian.net/browse/PPMG-1707</t>
  </si>
  <si>
    <t>428533</t>
  </si>
  <si>
    <t>PPMG-1708</t>
  </si>
  <si>
    <t>Gestion des problèmes ( Issues)</t>
  </si>
  <si>
    <t>https://data-servier.atlassian.net/browse/PPMG-1708</t>
  </si>
  <si>
    <t>428534</t>
  </si>
  <si>
    <t>PPMG-1709</t>
  </si>
  <si>
    <t>Indicateurs de santé</t>
  </si>
  <si>
    <t>https://data-servier.atlassian.net/browse/PPMG-1709</t>
  </si>
  <si>
    <t>428535</t>
  </si>
  <si>
    <t>PPMG-1710</t>
  </si>
  <si>
    <t>Rapport de l'initiative</t>
  </si>
  <si>
    <t>https://data-servier.atlassian.net/browse/PPMG-1710</t>
  </si>
  <si>
    <t>428546</t>
  </si>
  <si>
    <t>PPMG-1711</t>
  </si>
  <si>
    <t>Suivi des références ( Baselines)</t>
  </si>
  <si>
    <t>https://data-servier.atlassian.net/browse/PPMG-1711</t>
  </si>
  <si>
    <t>428643</t>
  </si>
  <si>
    <t>PPMG-1712</t>
  </si>
  <si>
    <t>Création du portefeuille</t>
  </si>
  <si>
    <t>https://data-servier.atlassian.net/browse/PPMG-1712</t>
  </si>
  <si>
    <t>428646</t>
  </si>
  <si>
    <t>PPMG-1713</t>
  </si>
  <si>
    <t>Contrôle et visualisation des rapports portefeuille</t>
  </si>
  <si>
    <t>https://data-servier.atlassian.net/browse/PPMG-1713</t>
  </si>
  <si>
    <t>428648</t>
  </si>
  <si>
    <t>PPMG-1715</t>
  </si>
  <si>
    <t>Vérification Interface ACTIVITY</t>
  </si>
  <si>
    <t>https://data-servier.atlassian.net/browse/PPMG-1715</t>
  </si>
  <si>
    <t>428649</t>
  </si>
  <si>
    <t>PPMG-1716</t>
  </si>
  <si>
    <t>Vérification Interface FEDERATES (Portal)</t>
  </si>
  <si>
    <t>https://data-servier.atlassian.net/browse/PPMG-1716</t>
  </si>
  <si>
    <t>428651</t>
  </si>
  <si>
    <t>PPMG-1717</t>
  </si>
  <si>
    <t>Vérification Interface PILOT</t>
  </si>
  <si>
    <t>https://data-servier.atlassian.net/browse/PPMG-1717</t>
  </si>
  <si>
    <t>428652</t>
  </si>
  <si>
    <t>PPMG-1718</t>
  </si>
  <si>
    <t>Vérification Interface DATAPLATFORM</t>
  </si>
  <si>
    <t>https://data-servier.atlassian.net/browse/PPMG-1718</t>
  </si>
  <si>
    <t>428653</t>
  </si>
  <si>
    <t>PPMG-1719</t>
  </si>
  <si>
    <t>Vérification des batchs applicatifs</t>
  </si>
  <si>
    <t>https://data-servier.atlassian.net/browse/PPMG-1719</t>
  </si>
  <si>
    <t>428654</t>
  </si>
  <si>
    <t>PPMG-1720</t>
  </si>
  <si>
    <t>Vérification du calcul des dates</t>
  </si>
  <si>
    <t>https://data-servier.atlassian.net/browse/PPMG-1720</t>
  </si>
  <si>
    <t>428741</t>
  </si>
  <si>
    <t>PPMG-1721</t>
  </si>
  <si>
    <t>Contrôle global des modules, pages et onglets visibles après migration 7.1.6</t>
  </si>
  <si>
    <t>https://data-servier.atlassian.net/browse/PPMG-1721</t>
  </si>
  <si>
    <t>428817</t>
  </si>
  <si>
    <t>PPMG-1722</t>
  </si>
  <si>
    <t>Test Set</t>
  </si>
  <si>
    <t>Initialisation d'une initiative</t>
  </si>
  <si>
    <t>https://data-servier.atlassian.net/browse/PPMG-1722</t>
  </si>
  <si>
    <t>428831</t>
  </si>
  <si>
    <t>PPMG-1723</t>
  </si>
  <si>
    <t>HOME - Navigation et visualisation</t>
  </si>
  <si>
    <t>https://data-servier.atlassian.net/browse/PPMG-1723</t>
  </si>
  <si>
    <t>428832</t>
  </si>
  <si>
    <t>PPMG-1724</t>
  </si>
  <si>
    <t>PROJECT - Navigation et visualisation</t>
  </si>
  <si>
    <t>https://data-servier.atlassian.net/browse/PPMG-1724</t>
  </si>
  <si>
    <t>428834</t>
  </si>
  <si>
    <t>PPMG-1725</t>
  </si>
  <si>
    <t>Gestion d'un programme</t>
  </si>
  <si>
    <t>https://data-servier.atlassian.net/browse/PPMG-1725</t>
  </si>
  <si>
    <t>428835</t>
  </si>
  <si>
    <t>PPMG-1726</t>
  </si>
  <si>
    <t>Gestion de l'initiative</t>
  </si>
  <si>
    <t>https://data-servier.atlassian.net/browse/PPMG-1726</t>
  </si>
  <si>
    <t>428839</t>
  </si>
  <si>
    <t>PPMG-1727</t>
  </si>
  <si>
    <t>Pilotage d'une initiative</t>
  </si>
  <si>
    <t>https://data-servier.atlassian.net/browse/PPMG-1727</t>
  </si>
  <si>
    <t>428856</t>
  </si>
  <si>
    <t>PPMG-1728</t>
  </si>
  <si>
    <t>Contrôle du Reporting</t>
  </si>
  <si>
    <t>https://data-servier.atlassian.net/browse/PPMG-1728</t>
  </si>
  <si>
    <t>428857</t>
  </si>
  <si>
    <t>PPMG-1729</t>
  </si>
  <si>
    <t>Administration - Interface</t>
  </si>
  <si>
    <t>https://data-servier.atlassian.net/browse/PPMG-1729</t>
  </si>
  <si>
    <t>428859</t>
  </si>
  <si>
    <t>PPMG-1730</t>
  </si>
  <si>
    <t>Administration - Batchs</t>
  </si>
  <si>
    <t>https://data-servier.atlassian.net/browse/PPMG-1730</t>
  </si>
  <si>
    <t>428860</t>
  </si>
  <si>
    <t>PPMG-1731</t>
  </si>
  <si>
    <t>Contrôle global</t>
  </si>
  <si>
    <t>https://data-servier.atlassian.net/browse/PPMG-1731</t>
  </si>
  <si>
    <t>428893</t>
  </si>
  <si>
    <t>PPMG-1734</t>
  </si>
  <si>
    <t>Exécution Ad-hoc de PPMG-1732</t>
  </si>
  <si>
    <t>https://data-servier.atlassian.net/browse/PPMG-1734</t>
  </si>
  <si>
    <t>430762</t>
  </si>
  <si>
    <t>PPMG-1735</t>
  </si>
  <si>
    <t>[MONITORING] BOARD VYP -&gt; DP</t>
  </si>
  <si>
    <t>https://data-servier.atlassian.net/browse/PPMG-1735</t>
  </si>
  <si>
    <t>430771</t>
  </si>
  <si>
    <t>PPMG-1736</t>
  </si>
  <si>
    <t>Suivi des OTDS corrigés en 7.1.6</t>
  </si>
  <si>
    <t>https://data-servier.atlassian.net/browse/PPMG-1736</t>
  </si>
  <si>
    <t>431337</t>
  </si>
  <si>
    <t>PPMG-1738</t>
  </si>
  <si>
    <t>[INC0894833] [Activity] Analyse et évolution de la gestion des erreurs du batch d'import des coûts</t>
  </si>
  <si>
    <t>https://data-servier.atlassian.net/browse/PPMG-1738</t>
  </si>
  <si>
    <t>431565</t>
  </si>
  <si>
    <t>PPMG-1744</t>
  </si>
  <si>
    <t>Exécution Ad-hoc de PPMG-1721</t>
  </si>
  <si>
    <t>https://data-servier.atlassian.net/browse/PPMG-1744</t>
  </si>
  <si>
    <t>431566</t>
  </si>
  <si>
    <t>PPMG-1745</t>
  </si>
  <si>
    <t>https://data-servier.atlassian.net/browse/PPMG-1745</t>
  </si>
  <si>
    <t>432027</t>
  </si>
  <si>
    <t>PPMG-1747</t>
  </si>
  <si>
    <t>https://data-servier.atlassian.net/browse/PPMG-1747</t>
  </si>
  <si>
    <t>432030</t>
  </si>
  <si>
    <t>PPMG-1748</t>
  </si>
  <si>
    <t>Exécution Ad-hoc de PPMG-1591</t>
  </si>
  <si>
    <t>https://data-servier.atlassian.net/browse/PPMG-1748</t>
  </si>
  <si>
    <t>432142</t>
  </si>
  <si>
    <t>PPMG-1749</t>
  </si>
  <si>
    <t>https://data-servier.atlassian.net/browse/PPMG-1749</t>
  </si>
  <si>
    <t>432178</t>
  </si>
  <si>
    <t>PPMG-1750</t>
  </si>
  <si>
    <t>[MIG 7.1.6] - Masquer certaines pages dans le module Home</t>
  </si>
  <si>
    <t>https://data-servier.atlassian.net/browse/PPMG-1750</t>
  </si>
  <si>
    <t>432193</t>
  </si>
  <si>
    <t>PPMG-1751</t>
  </si>
  <si>
    <t>TEST</t>
  </si>
  <si>
    <t>https://data-servier.atlassian.net/browse/PPMG-1751</t>
  </si>
  <si>
    <t>432196</t>
  </si>
  <si>
    <t>PPMG-1752</t>
  </si>
  <si>
    <t>Exécution Ad-hoc de PPMG-1751</t>
  </si>
  <si>
    <t>https://data-servier.atlassian.net/browse/PPMG-1752</t>
  </si>
  <si>
    <t>432211</t>
  </si>
  <si>
    <t>PPMG-1754</t>
  </si>
  <si>
    <t>[MIG 7.1.6] - Home page - Liste des "Catégories" différente entre 7.0.6 et 7.1.6</t>
  </si>
  <si>
    <t>https://data-servier.atlassian.net/browse/PPMG-1754</t>
  </si>
  <si>
    <t>85724</t>
  </si>
  <si>
    <t>PPMG-333</t>
  </si>
  <si>
    <t>Fabrice MARTEL</t>
  </si>
  <si>
    <t>GESTION BUDGETAIRE/UG</t>
  </si>
  <si>
    <t>https://data-servier.atlassian.net/browse/PPMG-333</t>
  </si>
  <si>
    <t>85725</t>
  </si>
  <si>
    <t>PPMG-334</t>
  </si>
  <si>
    <t>GESTION DE LA VALEUR</t>
  </si>
  <si>
    <t>https://data-servier.atlassian.net/browse/PPMG-334</t>
  </si>
  <si>
    <t>85727</t>
  </si>
  <si>
    <t>PPMG-336</t>
  </si>
  <si>
    <t>PILOTAGE &amp; PLANIFICATION</t>
  </si>
  <si>
    <t>https://data-servier.atlassian.net/browse/PPMG-336</t>
  </si>
  <si>
    <t>85730</t>
  </si>
  <si>
    <t>PPMG-339</t>
  </si>
  <si>
    <t>SIMULATION DU PORTEFEUILLE</t>
  </si>
  <si>
    <t>https://data-servier.atlassian.net/browse/PPMG-339</t>
  </si>
  <si>
    <t>85731</t>
  </si>
  <si>
    <t>PPMG-340</t>
  </si>
  <si>
    <t>GESTION DU PORTEFEUILLE</t>
  </si>
  <si>
    <t>https://data-servier.atlassian.net/browse/PPMG-340</t>
  </si>
  <si>
    <t>85774</t>
  </si>
  <si>
    <t>PPMG-373</t>
  </si>
  <si>
    <t>Allouer/Affecter les ressources sur la WBS (activités)</t>
  </si>
  <si>
    <t>https://data-servier.atlassian.net/browse/PPMG-373</t>
  </si>
  <si>
    <t>85777</t>
  </si>
  <si>
    <t>PPMG-376</t>
  </si>
  <si>
    <t>Clôturer / Archiver le projet/programme</t>
  </si>
  <si>
    <t>https://data-servier.atlassian.net/browse/PPMG-376</t>
  </si>
  <si>
    <t>85783</t>
  </si>
  <si>
    <t>PPMG-382</t>
  </si>
  <si>
    <t>Gérer les alertes / notifications</t>
  </si>
  <si>
    <t>https://data-servier.atlassian.net/browse/PPMG-382</t>
  </si>
  <si>
    <t>85795</t>
  </si>
  <si>
    <t>PPMG-394</t>
  </si>
  <si>
    <t>Corinne THOMAS</t>
  </si>
  <si>
    <t>Création d'un scénario / simulation du portefeuille</t>
  </si>
  <si>
    <t>https://data-servier.atlassian.net/browse/PPMG-394</t>
  </si>
  <si>
    <t>85796</t>
  </si>
  <si>
    <t>PPMG-395</t>
  </si>
  <si>
    <t>Comparer un scenario avec mon portefeuille courant ou comparer des scenarii entre eux</t>
  </si>
  <si>
    <t>https://data-servier.atlassian.net/browse/PPMG-395</t>
  </si>
  <si>
    <t>85797</t>
  </si>
  <si>
    <t>PPMG-396</t>
  </si>
  <si>
    <t>Appliquer / Valider un scenario</t>
  </si>
  <si>
    <t>https://data-servier.atlassian.net/browse/PPMG-396</t>
  </si>
  <si>
    <t>85798</t>
  </si>
  <si>
    <t>PPMG-397</t>
  </si>
  <si>
    <t>Gestion des interdépendances dans le portefeuille</t>
  </si>
  <si>
    <t>https://data-servier.atlassian.net/browse/PPMG-397</t>
  </si>
  <si>
    <t>87564</t>
  </si>
  <si>
    <t>PPMG-408</t>
  </si>
  <si>
    <t>jean-marc.delabriere</t>
  </si>
  <si>
    <t>ADMINISTRATION</t>
  </si>
  <si>
    <t>https://data-servier.atlassian.net/browse/PPMG-408</t>
  </si>
  <si>
    <t>87568</t>
  </si>
  <si>
    <t>PPMG-412</t>
  </si>
  <si>
    <t>Ahmed TOUBALINE</t>
  </si>
  <si>
    <t>Administrer le Portfolio</t>
  </si>
  <si>
    <t>https://data-servier.atlassian.net/browse/PPMG-412</t>
  </si>
  <si>
    <t>89702</t>
  </si>
  <si>
    <t>PPMG-434</t>
  </si>
  <si>
    <t>[PPMG-407] Test : Administrer les profils utilisateurs</t>
  </si>
  <si>
    <t>https://data-servier.atlassian.net/browse/PPMG-434</t>
  </si>
  <si>
    <t>90203</t>
  </si>
  <si>
    <t>PPMG-491</t>
  </si>
  <si>
    <t>Mustapha DJEBBAR</t>
  </si>
  <si>
    <t>INTERFACES</t>
  </si>
  <si>
    <t>https://data-servier.atlassian.net/browse/PPMG-491</t>
  </si>
  <si>
    <t>154451</t>
  </si>
  <si>
    <t>PPMG-984</t>
  </si>
  <si>
    <t>Synchronisation des Comptes avec l'AD</t>
  </si>
  <si>
    <t>https://data-servier.atlassian.net/browse/PPMG-984</t>
  </si>
  <si>
    <t>Sujet</t>
  </si>
  <si>
    <t>Message</t>
  </si>
  <si>
    <t>Nature de la date</t>
  </si>
  <si>
    <t>Les dates de modification sont des fenêtres de détection entre deux exports RSS. Le RSS ne donne pas l'heure exacte ni l'auteur exact de chaque changement de champ.</t>
  </si>
  <si>
    <t>Identifiant ticket</t>
  </si>
  <si>
    <t>La comparaison utilise l'id technique de &lt;key id=...&gt;. Si absent, le script utilise la key Jira et l'indique dans les warnings.</t>
  </si>
  <si>
    <t>Un ticket disparu signifie qu'il est absent de l'export suivant. Cela peut venir d'une clôture, d'un changement de filtre Jira, d'un droit d'accès ou d'une suppression.</t>
  </si>
  <si>
    <t>Filtres Jira</t>
  </si>
  <si>
    <t>Pour des comparaisons fiables, tous les fichiers du répertoire doivent provenir du même filtre Jira ou d'un périmètre fonctionnel comparable.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</si>
</sst>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18"/>
      <color rgb="FF17365D"/>
      <name val="Calibri"/>
    </font>
    <font>
      <b/>
      <sz val="12"/>
      <color rgb="FF1F4E78"/>
      <name val="Calibri"/>
    </font>
    <font>
      <b/>
      <sz val="12"/>
      <color rgb="FF17365D"/>
      <name val="Calibri"/>
    </font>
    <font>
      <b/>
      <sz val="11"/>
      <color rgb="FF17365D"/>
      <name val="Calibri"/>
    </font>
    <font>
      <b/>
      <sz val="17"/>
      <color rgb="FF17365D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8FBFD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2" xfId="0" applyFont="1" applyFill="1" applyBorder="1"/>
    <xf numFmtId="0" fontId="0" fillId="0" borderId="2" xfId="0" applyBorder="1"/>
    <xf numFmtId="165" fontId="0" fillId="0" borderId="2" xfId="0" applyNumberFormat="1" applyBorder="1"/>
    <xf numFmtId="0" fontId="1" fillId="5" borderId="2" xfId="0" applyFont="1" applyFill="1" applyBorder="1" applyAlignment="1">
      <alignment horizontal="center" vertical="center" wrapText="1"/>
    </xf>
    <xf numFmtId="0" fontId="5" fillId="0" borderId="0" xfId="0" applyFont="1"/>
    <xf numFmtId="0" fontId="7" fillId="9" borderId="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2" fontId="0" fillId="0" borderId="1" xfId="0" applyNumberFormat="1" applyBorder="1" applyAlignment="1">
      <alignment vertical="top" wrapText="1"/>
    </xf>
    <xf numFmtId="0" fontId="6" fillId="9" borderId="2" xfId="0" applyFont="1" applyFill="1" applyBorder="1" applyAlignment="1">
      <alignment horizontal="center" vertical="center" wrapText="1"/>
    </xf>
    <xf numFmtId="0" fontId="0" fillId="0" borderId="0" xfId="0"/>
    <xf numFmtId="0" fontId="1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left" vertical="top" wrapText="1"/>
    </xf>
    <xf numFmtId="9" fontId="8" fillId="9" borderId="2" xfId="0" applyNumberFormat="1" applyFont="1" applyFill="1" applyBorder="1" applyAlignment="1">
      <alignment horizontal="center" vertical="center" wrapText="1"/>
    </xf>
    <xf numFmtId="1" fontId="8" fillId="6" borderId="2" xfId="0" applyNumberFormat="1" applyFont="1" applyFill="1" applyBorder="1" applyAlignment="1">
      <alignment horizontal="center" vertical="center" wrapText="1"/>
    </xf>
    <xf numFmtId="1" fontId="8" fillId="8" borderId="2" xfId="0" applyNumberFormat="1" applyFont="1" applyFill="1" applyBorder="1" applyAlignment="1">
      <alignment horizontal="center" vertical="center" wrapText="1"/>
    </xf>
    <xf numFmtId="1" fontId="8" fillId="7" borderId="2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top" wrapText="1"/>
    </xf>
    <xf numFmtId="165" fontId="8" fillId="7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Modifications par champ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Synthese!$B$25</c:f>
              <c:strCache>
                <c:ptCount val="1"/>
                <c:pt idx="0">
                  <c:v>Modifications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Synthese!$A$26:$A$29</c:f>
              <c:strCache>
                <c:ptCount val="4"/>
                <c:pt idx="0">
                  <c:v>Assigné</c:v>
                </c:pt>
                <c:pt idx="1">
                  <c:v>Commentaires</c:v>
                </c:pt>
                <c:pt idx="2">
                  <c:v>Custom fields</c:v>
                </c:pt>
                <c:pt idx="3">
                  <c:v>Statut</c:v>
                </c:pt>
              </c:strCache>
            </c:strRef>
          </c:cat>
          <c:val>
            <c:numRef>
              <c:f>Synthese!$B$26:$B$29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9-440D-8A77-331D7A645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Nombre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Description vs Acceptance Criteria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Slide_2_Story_AC!$B$21</c:f>
              <c:strCache>
                <c:ptCount val="1"/>
                <c:pt idx="0">
                  <c:v>Modifications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Slide_2_Story_AC!$A$22:$A$23</c:f>
              <c:strCache>
                <c:ptCount val="2"/>
                <c:pt idx="0">
                  <c:v>Description</c:v>
                </c:pt>
                <c:pt idx="1">
                  <c:v>Acceptance Criteria</c:v>
                </c:pt>
              </c:strCache>
            </c:strRef>
          </c:cat>
          <c:val>
            <c:numRef>
              <c:f>Slide_2_Story_AC!$B$22:$B$23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6-45C3-8D3E-7240FE4A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Modifications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Tendance des modifications Story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Slide_2_Story_AC!$B$35</c:f>
              <c:strCache>
                <c:ptCount val="1"/>
                <c:pt idx="0">
                  <c:v>Descriptions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Slide_2_Story_AC!$A$36</c:f>
              <c:strCache>
                <c:ptCount val="1"/>
                <c:pt idx="0">
                  <c:v>2026-06-08 08:07:02 UTC</c:v>
                </c:pt>
              </c:strCache>
            </c:strRef>
          </c:cat>
          <c:val>
            <c:numRef>
              <c:f>Slide_2_Story_AC!$B$36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BC-4357-A5B1-4449166C989B}"/>
            </c:ext>
          </c:extLst>
        </c:ser>
        <c:ser>
          <c:idx val="1"/>
          <c:order val="1"/>
          <c:tx>
            <c:strRef>
              <c:f>Slide_2_Story_AC!$C$35</c:f>
              <c:strCache>
                <c:ptCount val="1"/>
                <c:pt idx="0">
                  <c:v>AC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Slide_2_Story_AC!$A$36</c:f>
              <c:strCache>
                <c:ptCount val="1"/>
                <c:pt idx="0">
                  <c:v>2026-06-08 08:07:02 UTC</c:v>
                </c:pt>
              </c:strCache>
            </c:strRef>
          </c:cat>
          <c:val>
            <c:numRef>
              <c:f>Slide_2_Story_AC!$C$36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BC-4357-A5B1-4449166C989B}"/>
            </c:ext>
          </c:extLst>
        </c:ser>
        <c:ser>
          <c:idx val="2"/>
          <c:order val="2"/>
          <c:tx>
            <c:strRef>
              <c:f>Slide_2_Story_AC!$D$35</c:f>
              <c:strCache>
                <c:ptCount val="1"/>
                <c:pt idx="0">
                  <c:v>Tickets impactés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Slide_2_Story_AC!$A$36</c:f>
              <c:strCache>
                <c:ptCount val="1"/>
                <c:pt idx="0">
                  <c:v>2026-06-08 08:07:02 UTC</c:v>
                </c:pt>
              </c:strCache>
            </c:strRef>
          </c:cat>
          <c:val>
            <c:numRef>
              <c:f>Slide_2_Story_AC!$D$36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ABC-4357-A5B1-4449166C9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Nombre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733425</xdr:colOff>
      <xdr:row>17</xdr:row>
      <xdr:rowOff>104775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showGridLines="0" workbookViewId="0">
      <pane ySplit="3" topLeftCell="A19" activePane="bottomLeft" state="frozen"/>
      <selection pane="bottomLeft" activeCell="D13" sqref="D13:E14"/>
    </sheetView>
  </sheetViews>
  <sheetFormatPr baseColWidth="10" defaultColWidth="9.140625" defaultRowHeight="15" x14ac:dyDescent="0.25"/>
  <cols>
    <col min="1" max="1" width="28" customWidth="1"/>
    <col min="2" max="2" width="18" customWidth="1"/>
    <col min="3" max="3" width="15" customWidth="1"/>
    <col min="4" max="4" width="18" customWidth="1"/>
    <col min="5" max="14" width="15" customWidth="1"/>
  </cols>
  <sheetData>
    <row r="1" spans="1:14" ht="27.95" customHeight="1" x14ac:dyDescent="0.25">
      <c r="A1" s="23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8.1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x14ac:dyDescent="0.25">
      <c r="A4" s="1" t="s">
        <v>1</v>
      </c>
      <c r="B4" s="2">
        <v>2</v>
      </c>
      <c r="D4" s="24" t="s">
        <v>2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25">
      <c r="A5" s="1" t="s">
        <v>3</v>
      </c>
      <c r="B5" s="3">
        <v>46178.648101851853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25">
      <c r="A6" s="1" t="s">
        <v>4</v>
      </c>
      <c r="B6" s="3">
        <v>46181.338217592587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25">
      <c r="A7" s="1" t="s">
        <v>5</v>
      </c>
      <c r="B7" s="2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x14ac:dyDescent="0.25">
      <c r="A8" s="1" t="s">
        <v>6</v>
      </c>
      <c r="B8" s="2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1" t="s">
        <v>7</v>
      </c>
      <c r="B9" s="2" t="s">
        <v>8</v>
      </c>
    </row>
    <row r="12" spans="1:14" x14ac:dyDescent="0.25">
      <c r="A12" s="18" t="s">
        <v>9</v>
      </c>
      <c r="B12" s="19"/>
      <c r="D12" s="18" t="s">
        <v>10</v>
      </c>
      <c r="E12" s="19"/>
      <c r="G12" s="18" t="s">
        <v>11</v>
      </c>
      <c r="H12" s="19"/>
      <c r="J12" s="18" t="s">
        <v>12</v>
      </c>
      <c r="K12" s="19"/>
    </row>
    <row r="13" spans="1:14" x14ac:dyDescent="0.25">
      <c r="A13" s="21">
        <v>1</v>
      </c>
      <c r="B13" s="19"/>
      <c r="D13" s="20">
        <v>4</v>
      </c>
      <c r="E13" s="19"/>
      <c r="G13" s="22">
        <v>0</v>
      </c>
      <c r="H13" s="19"/>
      <c r="J13" s="22">
        <v>0</v>
      </c>
      <c r="K13" s="19"/>
    </row>
    <row r="14" spans="1:14" x14ac:dyDescent="0.25">
      <c r="A14" s="19"/>
      <c r="B14" s="19"/>
      <c r="D14" s="19"/>
      <c r="E14" s="19"/>
      <c r="G14" s="19"/>
      <c r="H14" s="19"/>
      <c r="J14" s="19"/>
      <c r="K14" s="19"/>
    </row>
    <row r="16" spans="1:14" x14ac:dyDescent="0.25">
      <c r="A16" s="18" t="s">
        <v>13</v>
      </c>
      <c r="B16" s="19"/>
      <c r="D16" s="18" t="s">
        <v>14</v>
      </c>
      <c r="E16" s="19"/>
      <c r="G16" s="18" t="s">
        <v>15</v>
      </c>
      <c r="H16" s="19"/>
      <c r="J16" s="18" t="s">
        <v>16</v>
      </c>
      <c r="K16" s="19"/>
    </row>
    <row r="17" spans="1:11" x14ac:dyDescent="0.25">
      <c r="A17" s="20">
        <v>1</v>
      </c>
      <c r="B17" s="19"/>
      <c r="D17" s="20">
        <v>0</v>
      </c>
      <c r="E17" s="19"/>
      <c r="G17" s="21">
        <v>0</v>
      </c>
      <c r="H17" s="19"/>
      <c r="J17" s="22">
        <v>0</v>
      </c>
      <c r="K17" s="19"/>
    </row>
    <row r="18" spans="1:11" x14ac:dyDescent="0.25">
      <c r="A18" s="19"/>
      <c r="B18" s="19"/>
      <c r="D18" s="19"/>
      <c r="E18" s="19"/>
      <c r="G18" s="19"/>
      <c r="H18" s="19"/>
      <c r="J18" s="19"/>
      <c r="K18" s="19"/>
    </row>
    <row r="24" spans="1:11" ht="15.75" x14ac:dyDescent="0.25">
      <c r="A24" s="5" t="s">
        <v>17</v>
      </c>
    </row>
    <row r="25" spans="1:11" ht="30" x14ac:dyDescent="0.25">
      <c r="A25" s="4" t="s">
        <v>18</v>
      </c>
      <c r="B25" s="4" t="s">
        <v>19</v>
      </c>
      <c r="C25" s="4" t="s">
        <v>20</v>
      </c>
    </row>
    <row r="26" spans="1:11" x14ac:dyDescent="0.25">
      <c r="A26" s="2" t="s">
        <v>21</v>
      </c>
      <c r="B26" s="2">
        <v>1</v>
      </c>
      <c r="C26" s="2">
        <v>1</v>
      </c>
    </row>
    <row r="27" spans="1:11" x14ac:dyDescent="0.25">
      <c r="A27" s="2" t="s">
        <v>22</v>
      </c>
      <c r="B27" s="2">
        <v>1</v>
      </c>
      <c r="C27" s="2">
        <v>1</v>
      </c>
    </row>
    <row r="28" spans="1:11" x14ac:dyDescent="0.25">
      <c r="A28" s="2" t="s">
        <v>23</v>
      </c>
      <c r="B28" s="2">
        <v>1</v>
      </c>
      <c r="C28" s="2">
        <v>1</v>
      </c>
    </row>
    <row r="29" spans="1:11" x14ac:dyDescent="0.25">
      <c r="A29" s="2" t="s">
        <v>24</v>
      </c>
      <c r="B29" s="2">
        <v>1</v>
      </c>
      <c r="C29" s="2">
        <v>1</v>
      </c>
    </row>
    <row r="40" spans="1:14" x14ac:dyDescent="0.25">
      <c r="A40" s="16" t="s">
        <v>25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</sheetData>
  <mergeCells count="19">
    <mergeCell ref="A1:N2"/>
    <mergeCell ref="G13:H14"/>
    <mergeCell ref="J12:K12"/>
    <mergeCell ref="G16:H16"/>
    <mergeCell ref="D17:E18"/>
    <mergeCell ref="D4:N8"/>
    <mergeCell ref="D13:E14"/>
    <mergeCell ref="A40:N40"/>
    <mergeCell ref="G12:H12"/>
    <mergeCell ref="A17:B18"/>
    <mergeCell ref="A13:B14"/>
    <mergeCell ref="A16:B16"/>
    <mergeCell ref="A12:B12"/>
    <mergeCell ref="J17:K18"/>
    <mergeCell ref="D16:E16"/>
    <mergeCell ref="J16:K16"/>
    <mergeCell ref="J13:K14"/>
    <mergeCell ref="D12:E12"/>
    <mergeCell ref="G17:H1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"/>
  <sheetViews>
    <sheetView showGridLines="0" tabSelected="1" workbookViewId="0">
      <pane ySplit="8" topLeftCell="A31" activePane="bottomLeft" state="frozen"/>
      <selection pane="bottomLeft" activeCell="H22" sqref="H22"/>
    </sheetView>
  </sheetViews>
  <sheetFormatPr baseColWidth="10" defaultColWidth="9.140625" defaultRowHeight="15" x14ac:dyDescent="0.25"/>
  <cols>
    <col min="1" max="1" width="15" customWidth="1"/>
    <col min="2" max="2" width="18" customWidth="1"/>
    <col min="3" max="3" width="16" customWidth="1"/>
    <col min="4" max="5" width="18" customWidth="1"/>
    <col min="6" max="7" width="42" customWidth="1"/>
    <col min="8" max="8" width="36" customWidth="1"/>
    <col min="9" max="9" width="28" customWidth="1"/>
    <col min="10" max="14" width="15" customWidth="1"/>
  </cols>
  <sheetData>
    <row r="1" spans="1:14" x14ac:dyDescent="0.25">
      <c r="A1" s="23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x14ac:dyDescent="0.25">
      <c r="A4" s="24" t="s">
        <v>27</v>
      </c>
      <c r="B4" s="17"/>
      <c r="C4" s="17"/>
      <c r="D4" s="4" t="s">
        <v>28</v>
      </c>
      <c r="E4" s="6" t="s">
        <v>72</v>
      </c>
      <c r="H4" s="4" t="s">
        <v>24</v>
      </c>
      <c r="I4" s="6" t="s">
        <v>29</v>
      </c>
    </row>
    <row r="5" spans="1:14" x14ac:dyDescent="0.25">
      <c r="A5" s="17"/>
      <c r="B5" s="17"/>
      <c r="C5" s="17"/>
    </row>
    <row r="6" spans="1:14" x14ac:dyDescent="0.25">
      <c r="A6" s="17"/>
      <c r="B6" s="17"/>
      <c r="C6" s="17"/>
      <c r="D6" s="29" t="s">
        <v>30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10" spans="1:14" x14ac:dyDescent="0.25">
      <c r="A10" s="18" t="s">
        <v>31</v>
      </c>
      <c r="B10" s="19"/>
      <c r="D10" s="18" t="s">
        <v>32</v>
      </c>
      <c r="E10" s="19"/>
      <c r="G10" s="18" t="s">
        <v>33</v>
      </c>
      <c r="H10" s="19"/>
      <c r="J10" s="18" t="s">
        <v>11</v>
      </c>
      <c r="K10" s="19"/>
    </row>
    <row r="11" spans="1:14" x14ac:dyDescent="0.25">
      <c r="A11" s="28">
        <f>IFERROR(INDEX(_Story_AC_KPI!$D:$D,MATCH($E$4&amp;"|"&amp;$I$4,_Story_AC_KPI!$A:$A,0)),0)</f>
        <v>20</v>
      </c>
      <c r="B11" s="19"/>
      <c r="D11" s="26">
        <f>IFERROR(INDEX(_Story_AC_KPI!$E:$E,MATCH($E$4&amp;"|"&amp;$I$4,_Story_AC_KPI!$A:$A,0)),0)</f>
        <v>0</v>
      </c>
      <c r="E11" s="19"/>
      <c r="G11" s="28">
        <f>IFERROR(INDEX(_Story_AC_KPI!$F:$F,MATCH($E$4&amp;"|"&amp;$I$4,_Story_AC_KPI!$A:$A,0)),0)</f>
        <v>0</v>
      </c>
      <c r="H11" s="19"/>
      <c r="J11" s="27">
        <f>IFERROR(INDEX(_Story_AC_KPI!$G:$G,MATCH($E$4&amp;"|"&amp;$I$4,_Story_AC_KPI!$A:$A,0)),0)</f>
        <v>0</v>
      </c>
      <c r="K11" s="19"/>
    </row>
    <row r="12" spans="1:14" x14ac:dyDescent="0.25">
      <c r="A12" s="19"/>
      <c r="B12" s="19"/>
      <c r="D12" s="19"/>
      <c r="E12" s="19"/>
      <c r="G12" s="19"/>
      <c r="H12" s="19"/>
      <c r="J12" s="19"/>
      <c r="K12" s="19"/>
    </row>
    <row r="14" spans="1:14" x14ac:dyDescent="0.25">
      <c r="A14" s="18" t="s">
        <v>12</v>
      </c>
      <c r="B14" s="19"/>
      <c r="D14" s="18" t="s">
        <v>34</v>
      </c>
      <c r="E14" s="19"/>
      <c r="G14" s="18" t="s">
        <v>35</v>
      </c>
      <c r="H14" s="19"/>
      <c r="J14" s="18" t="s">
        <v>36</v>
      </c>
      <c r="K14" s="19"/>
    </row>
    <row r="15" spans="1:14" x14ac:dyDescent="0.25">
      <c r="A15" s="27">
        <f>IFERROR(INDEX(_Story_AC_KPI!$H:$H,MATCH($E$4&amp;"|"&amp;$I$4,_Story_AC_KPI!$A:$A,0)),0)</f>
        <v>0</v>
      </c>
      <c r="B15" s="19"/>
      <c r="D15" s="26">
        <f>IFERROR(INDEX(_Story_AC_KPI!$K:$K,MATCH($E$4&amp;"|"&amp;$I$4,_Story_AC_KPI!$A:$A,0)),0)</f>
        <v>0</v>
      </c>
      <c r="E15" s="19"/>
      <c r="G15" s="25">
        <f>IFERROR(INDEX(_Story_AC_KPI!$L:$L,MATCH($E$4&amp;"|"&amp;$I$4,_Story_AC_KPI!$A:$A,0)),0)</f>
        <v>0</v>
      </c>
      <c r="H15" s="19"/>
      <c r="J15" s="30">
        <f>IFERROR(INDEX(_Story_AC_KPI!$N:$N,MATCH($E$4&amp;"|"&amp;$I$4,_Story_AC_KPI!$A:$A,0)),"")</f>
        <v>0</v>
      </c>
      <c r="K15" s="19"/>
    </row>
    <row r="16" spans="1:14" x14ac:dyDescent="0.25">
      <c r="A16" s="19"/>
      <c r="B16" s="19"/>
      <c r="D16" s="19"/>
      <c r="E16" s="19"/>
      <c r="G16" s="19"/>
      <c r="H16" s="19"/>
      <c r="J16" s="19"/>
      <c r="K16" s="19"/>
    </row>
    <row r="20" spans="1:3" ht="15.75" x14ac:dyDescent="0.25">
      <c r="A20" s="7" t="s">
        <v>37</v>
      </c>
    </row>
    <row r="21" spans="1:3" ht="30" x14ac:dyDescent="0.25">
      <c r="A21" s="4" t="s">
        <v>38</v>
      </c>
      <c r="B21" s="4" t="s">
        <v>19</v>
      </c>
      <c r="C21" s="4" t="s">
        <v>20</v>
      </c>
    </row>
    <row r="22" spans="1:3" x14ac:dyDescent="0.25">
      <c r="A22" s="2" t="s">
        <v>39</v>
      </c>
      <c r="B22" s="2">
        <f>IFERROR(INDEX(_Story_AC_Field!$E:$E,MATCH($E$4&amp;"|"&amp;$I$4&amp;"|"&amp;A22,_Story_AC_Field!$A:$A,0)),0)</f>
        <v>0</v>
      </c>
      <c r="C22" s="2">
        <f>IFERROR(INDEX(_Story_AC_Field!$F:$F,MATCH($E$4&amp;"|"&amp;$I$4&amp;"|"&amp;A22,_Story_AC_Field!$A:$A,0)),0)</f>
        <v>0</v>
      </c>
    </row>
    <row r="23" spans="1:3" x14ac:dyDescent="0.25">
      <c r="A23" s="2" t="s">
        <v>40</v>
      </c>
      <c r="B23" s="2">
        <f>IFERROR(INDEX(_Story_AC_Field!$E:$E,MATCH($E$4&amp;"|"&amp;$I$4&amp;"|"&amp;A23,_Story_AC_Field!$A:$A,0)),0)</f>
        <v>0</v>
      </c>
      <c r="C23" s="2">
        <f>IFERROR(INDEX(_Story_AC_Field!$F:$F,MATCH($E$4&amp;"|"&amp;$I$4&amp;"|"&amp;A23,_Story_AC_Field!$A:$A,0)),0)</f>
        <v>0</v>
      </c>
    </row>
    <row r="34" spans="1:4" ht="15.75" x14ac:dyDescent="0.25">
      <c r="A34" s="7" t="s">
        <v>41</v>
      </c>
    </row>
    <row r="35" spans="1:4" ht="30" x14ac:dyDescent="0.25">
      <c r="A35" s="4" t="s">
        <v>42</v>
      </c>
      <c r="B35" s="4" t="s">
        <v>43</v>
      </c>
      <c r="C35" s="4" t="s">
        <v>44</v>
      </c>
      <c r="D35" s="4" t="s">
        <v>45</v>
      </c>
    </row>
    <row r="36" spans="1:4" x14ac:dyDescent="0.25">
      <c r="A36" s="2" t="s">
        <v>46</v>
      </c>
      <c r="B36" s="2">
        <f>IFERROR(INDEX(_Story_AC_Evo!$E:$E,MATCH($E$4&amp;"|"&amp;$I$4&amp;"|"&amp;A36,_Story_AC_Evo!$A:$A,0)),0)</f>
        <v>0</v>
      </c>
      <c r="C36" s="2">
        <f>IFERROR(INDEX(_Story_AC_Evo!$F:$F,MATCH($E$4&amp;"|"&amp;$I$4&amp;"|"&amp;A36,_Story_AC_Evo!$A:$A,0)),0)</f>
        <v>0</v>
      </c>
      <c r="D36" s="2">
        <f>IFERROR(INDEX(_Story_AC_Evo!$G:$G,MATCH($E$4&amp;"|"&amp;$I$4&amp;"|"&amp;A36,_Story_AC_Evo!$A:$A,0)),0)</f>
        <v>0</v>
      </c>
    </row>
    <row r="68" spans="1:9" ht="15.75" x14ac:dyDescent="0.25">
      <c r="A68" s="7" t="s">
        <v>47</v>
      </c>
    </row>
    <row r="69" spans="1:9" x14ac:dyDescent="0.25">
      <c r="A69" s="4" t="s">
        <v>48</v>
      </c>
      <c r="B69" s="4" t="s">
        <v>49</v>
      </c>
      <c r="C69" s="4" t="s">
        <v>24</v>
      </c>
      <c r="D69" s="4" t="s">
        <v>50</v>
      </c>
      <c r="E69" s="4" t="s">
        <v>44</v>
      </c>
      <c r="F69" s="4" t="s">
        <v>51</v>
      </c>
      <c r="G69" s="4" t="s">
        <v>36</v>
      </c>
      <c r="H69" s="4" t="s">
        <v>52</v>
      </c>
      <c r="I69" s="4" t="s">
        <v>53</v>
      </c>
    </row>
    <row r="70" spans="1:9" x14ac:dyDescent="0.25">
      <c r="A70" s="8">
        <v>1</v>
      </c>
      <c r="B70" s="8" t="str">
        <f>IFERROR(INDEX(_Story_AC_Top!$F:$F,MATCH($E$4&amp;"|"&amp;$I$4&amp;"|"&amp;A70,_Story_AC_Top!$A:$A,0)),"")</f>
        <v/>
      </c>
      <c r="C70" s="8" t="str">
        <f>IFERROR(INDEX(_Story_AC_Top!$H:$H,MATCH($E$4&amp;"|"&amp;$I$4&amp;"|"&amp;A70,_Story_AC_Top!$A:$A,0)),"")</f>
        <v/>
      </c>
      <c r="D70" s="8">
        <f>IFERROR(INDEX(_Story_AC_Top!$I:$I,MATCH($E$4&amp;"|"&amp;$I$4&amp;"|"&amp;A70,_Story_AC_Top!$A:$A,0)),0)</f>
        <v>0</v>
      </c>
      <c r="E70" s="8">
        <f>IFERROR(INDEX(_Story_AC_Top!$J:$J,MATCH($E$4&amp;"|"&amp;$I$4&amp;"|"&amp;A70,_Story_AC_Top!$A:$A,0)),0)</f>
        <v>0</v>
      </c>
      <c r="F70" s="8">
        <f>IFERROR(INDEX(_Story_AC_Top!$K:$K,MATCH($E$4&amp;"|"&amp;$I$4&amp;"|"&amp;A70,_Story_AC_Top!$A:$A,0)),0)</f>
        <v>0</v>
      </c>
      <c r="G70" s="8" t="str">
        <f>IFERROR(INDEX(_Story_AC_Top!$L:$L,MATCH($E$4&amp;"|"&amp;$I$4&amp;"|"&amp;A70,_Story_AC_Top!$A:$A,0)),"")</f>
        <v/>
      </c>
      <c r="H70" s="9" t="str">
        <f>IFERROR(INDEX(_Story_AC_Top!$G:$G,MATCH($E$4&amp;"|"&amp;$I$4&amp;"|"&amp;A70,_Story_AC_Top!$A:$A,0)),"")</f>
        <v/>
      </c>
      <c r="I70" s="9" t="str">
        <f>IFERROR(INDEX(_Story_AC_Top!$M:$M,MATCH($E$4&amp;"|"&amp;$I$4&amp;"|"&amp;A70,_Story_AC_Top!$A:$A,0)),"")</f>
        <v/>
      </c>
    </row>
    <row r="71" spans="1:9" x14ac:dyDescent="0.25">
      <c r="A71" s="8">
        <v>2</v>
      </c>
      <c r="B71" s="8" t="str">
        <f>IFERROR(INDEX(_Story_AC_Top!$F:$F,MATCH($E$4&amp;"|"&amp;$I$4&amp;"|"&amp;A71,_Story_AC_Top!$A:$A,0)),"")</f>
        <v/>
      </c>
      <c r="C71" s="8" t="str">
        <f>IFERROR(INDEX(_Story_AC_Top!$H:$H,MATCH($E$4&amp;"|"&amp;$I$4&amp;"|"&amp;A71,_Story_AC_Top!$A:$A,0)),"")</f>
        <v/>
      </c>
      <c r="D71" s="8">
        <f>IFERROR(INDEX(_Story_AC_Top!$I:$I,MATCH($E$4&amp;"|"&amp;$I$4&amp;"|"&amp;A71,_Story_AC_Top!$A:$A,0)),0)</f>
        <v>0</v>
      </c>
      <c r="E71" s="8">
        <f>IFERROR(INDEX(_Story_AC_Top!$J:$J,MATCH($E$4&amp;"|"&amp;$I$4&amp;"|"&amp;A71,_Story_AC_Top!$A:$A,0)),0)</f>
        <v>0</v>
      </c>
      <c r="F71" s="8">
        <f>IFERROR(INDEX(_Story_AC_Top!$K:$K,MATCH($E$4&amp;"|"&amp;$I$4&amp;"|"&amp;A71,_Story_AC_Top!$A:$A,0)),0)</f>
        <v>0</v>
      </c>
      <c r="G71" s="8" t="str">
        <f>IFERROR(INDEX(_Story_AC_Top!$L:$L,MATCH($E$4&amp;"|"&amp;$I$4&amp;"|"&amp;A71,_Story_AC_Top!$A:$A,0)),"")</f>
        <v/>
      </c>
      <c r="H71" s="9" t="str">
        <f>IFERROR(INDEX(_Story_AC_Top!$G:$G,MATCH($E$4&amp;"|"&amp;$I$4&amp;"|"&amp;A71,_Story_AC_Top!$A:$A,0)),"")</f>
        <v/>
      </c>
      <c r="I71" s="9" t="str">
        <f>IFERROR(INDEX(_Story_AC_Top!$M:$M,MATCH($E$4&amp;"|"&amp;$I$4&amp;"|"&amp;A71,_Story_AC_Top!$A:$A,0)),"")</f>
        <v/>
      </c>
    </row>
    <row r="72" spans="1:9" x14ac:dyDescent="0.25">
      <c r="A72" s="8">
        <v>3</v>
      </c>
      <c r="B72" s="8" t="str">
        <f>IFERROR(INDEX(_Story_AC_Top!$F:$F,MATCH($E$4&amp;"|"&amp;$I$4&amp;"|"&amp;A72,_Story_AC_Top!$A:$A,0)),"")</f>
        <v/>
      </c>
      <c r="C72" s="8" t="str">
        <f>IFERROR(INDEX(_Story_AC_Top!$H:$H,MATCH($E$4&amp;"|"&amp;$I$4&amp;"|"&amp;A72,_Story_AC_Top!$A:$A,0)),"")</f>
        <v/>
      </c>
      <c r="D72" s="8">
        <f>IFERROR(INDEX(_Story_AC_Top!$I:$I,MATCH($E$4&amp;"|"&amp;$I$4&amp;"|"&amp;A72,_Story_AC_Top!$A:$A,0)),0)</f>
        <v>0</v>
      </c>
      <c r="E72" s="8">
        <f>IFERROR(INDEX(_Story_AC_Top!$J:$J,MATCH($E$4&amp;"|"&amp;$I$4&amp;"|"&amp;A72,_Story_AC_Top!$A:$A,0)),0)</f>
        <v>0</v>
      </c>
      <c r="F72" s="8">
        <f>IFERROR(INDEX(_Story_AC_Top!$K:$K,MATCH($E$4&amp;"|"&amp;$I$4&amp;"|"&amp;A72,_Story_AC_Top!$A:$A,0)),0)</f>
        <v>0</v>
      </c>
      <c r="G72" s="8" t="str">
        <f>IFERROR(INDEX(_Story_AC_Top!$L:$L,MATCH($E$4&amp;"|"&amp;$I$4&amp;"|"&amp;A72,_Story_AC_Top!$A:$A,0)),"")</f>
        <v/>
      </c>
      <c r="H72" s="9" t="str">
        <f>IFERROR(INDEX(_Story_AC_Top!$G:$G,MATCH($E$4&amp;"|"&amp;$I$4&amp;"|"&amp;A72,_Story_AC_Top!$A:$A,0)),"")</f>
        <v/>
      </c>
      <c r="I72" s="9" t="str">
        <f>IFERROR(INDEX(_Story_AC_Top!$M:$M,MATCH($E$4&amp;"|"&amp;$I$4&amp;"|"&amp;A72,_Story_AC_Top!$A:$A,0)),"")</f>
        <v/>
      </c>
    </row>
    <row r="73" spans="1:9" x14ac:dyDescent="0.25">
      <c r="A73" s="8">
        <v>4</v>
      </c>
      <c r="B73" s="8" t="str">
        <f>IFERROR(INDEX(_Story_AC_Top!$F:$F,MATCH($E$4&amp;"|"&amp;$I$4&amp;"|"&amp;A73,_Story_AC_Top!$A:$A,0)),"")</f>
        <v/>
      </c>
      <c r="C73" s="8" t="str">
        <f>IFERROR(INDEX(_Story_AC_Top!$H:$H,MATCH($E$4&amp;"|"&amp;$I$4&amp;"|"&amp;A73,_Story_AC_Top!$A:$A,0)),"")</f>
        <v/>
      </c>
      <c r="D73" s="8">
        <f>IFERROR(INDEX(_Story_AC_Top!$I:$I,MATCH($E$4&amp;"|"&amp;$I$4&amp;"|"&amp;A73,_Story_AC_Top!$A:$A,0)),0)</f>
        <v>0</v>
      </c>
      <c r="E73" s="8">
        <f>IFERROR(INDEX(_Story_AC_Top!$J:$J,MATCH($E$4&amp;"|"&amp;$I$4&amp;"|"&amp;A73,_Story_AC_Top!$A:$A,0)),0)</f>
        <v>0</v>
      </c>
      <c r="F73" s="8">
        <f>IFERROR(INDEX(_Story_AC_Top!$K:$K,MATCH($E$4&amp;"|"&amp;$I$4&amp;"|"&amp;A73,_Story_AC_Top!$A:$A,0)),0)</f>
        <v>0</v>
      </c>
      <c r="G73" s="8" t="str">
        <f>IFERROR(INDEX(_Story_AC_Top!$L:$L,MATCH($E$4&amp;"|"&amp;$I$4&amp;"|"&amp;A73,_Story_AC_Top!$A:$A,0)),"")</f>
        <v/>
      </c>
      <c r="H73" s="9" t="str">
        <f>IFERROR(INDEX(_Story_AC_Top!$G:$G,MATCH($E$4&amp;"|"&amp;$I$4&amp;"|"&amp;A73,_Story_AC_Top!$A:$A,0)),"")</f>
        <v/>
      </c>
      <c r="I73" s="9" t="str">
        <f>IFERROR(INDEX(_Story_AC_Top!$M:$M,MATCH($E$4&amp;"|"&amp;$I$4&amp;"|"&amp;A73,_Story_AC_Top!$A:$A,0)),"")</f>
        <v/>
      </c>
    </row>
    <row r="74" spans="1:9" x14ac:dyDescent="0.25">
      <c r="A74" s="8">
        <v>5</v>
      </c>
      <c r="B74" s="8" t="str">
        <f>IFERROR(INDEX(_Story_AC_Top!$F:$F,MATCH($E$4&amp;"|"&amp;$I$4&amp;"|"&amp;A74,_Story_AC_Top!$A:$A,0)),"")</f>
        <v/>
      </c>
      <c r="C74" s="8" t="str">
        <f>IFERROR(INDEX(_Story_AC_Top!$H:$H,MATCH($E$4&amp;"|"&amp;$I$4&amp;"|"&amp;A74,_Story_AC_Top!$A:$A,0)),"")</f>
        <v/>
      </c>
      <c r="D74" s="8">
        <f>IFERROR(INDEX(_Story_AC_Top!$I:$I,MATCH($E$4&amp;"|"&amp;$I$4&amp;"|"&amp;A74,_Story_AC_Top!$A:$A,0)),0)</f>
        <v>0</v>
      </c>
      <c r="E74" s="8">
        <f>IFERROR(INDEX(_Story_AC_Top!$J:$J,MATCH($E$4&amp;"|"&amp;$I$4&amp;"|"&amp;A74,_Story_AC_Top!$A:$A,0)),0)</f>
        <v>0</v>
      </c>
      <c r="F74" s="8">
        <f>IFERROR(INDEX(_Story_AC_Top!$K:$K,MATCH($E$4&amp;"|"&amp;$I$4&amp;"|"&amp;A74,_Story_AC_Top!$A:$A,0)),0)</f>
        <v>0</v>
      </c>
      <c r="G74" s="8" t="str">
        <f>IFERROR(INDEX(_Story_AC_Top!$L:$L,MATCH($E$4&amp;"|"&amp;$I$4&amp;"|"&amp;A74,_Story_AC_Top!$A:$A,0)),"")</f>
        <v/>
      </c>
      <c r="H74" s="9" t="str">
        <f>IFERROR(INDEX(_Story_AC_Top!$G:$G,MATCH($E$4&amp;"|"&amp;$I$4&amp;"|"&amp;A74,_Story_AC_Top!$A:$A,0)),"")</f>
        <v/>
      </c>
      <c r="I74" s="9" t="str">
        <f>IFERROR(INDEX(_Story_AC_Top!$M:$M,MATCH($E$4&amp;"|"&amp;$I$4&amp;"|"&amp;A74,_Story_AC_Top!$A:$A,0)),"")</f>
        <v/>
      </c>
    </row>
    <row r="75" spans="1:9" x14ac:dyDescent="0.25">
      <c r="A75" s="8">
        <v>6</v>
      </c>
      <c r="B75" s="8" t="str">
        <f>IFERROR(INDEX(_Story_AC_Top!$F:$F,MATCH($E$4&amp;"|"&amp;$I$4&amp;"|"&amp;A75,_Story_AC_Top!$A:$A,0)),"")</f>
        <v/>
      </c>
      <c r="C75" s="8" t="str">
        <f>IFERROR(INDEX(_Story_AC_Top!$H:$H,MATCH($E$4&amp;"|"&amp;$I$4&amp;"|"&amp;A75,_Story_AC_Top!$A:$A,0)),"")</f>
        <v/>
      </c>
      <c r="D75" s="8">
        <f>IFERROR(INDEX(_Story_AC_Top!$I:$I,MATCH($E$4&amp;"|"&amp;$I$4&amp;"|"&amp;A75,_Story_AC_Top!$A:$A,0)),0)</f>
        <v>0</v>
      </c>
      <c r="E75" s="8">
        <f>IFERROR(INDEX(_Story_AC_Top!$J:$J,MATCH($E$4&amp;"|"&amp;$I$4&amp;"|"&amp;A75,_Story_AC_Top!$A:$A,0)),0)</f>
        <v>0</v>
      </c>
      <c r="F75" s="8">
        <f>IFERROR(INDEX(_Story_AC_Top!$K:$K,MATCH($E$4&amp;"|"&amp;$I$4&amp;"|"&amp;A75,_Story_AC_Top!$A:$A,0)),0)</f>
        <v>0</v>
      </c>
      <c r="G75" s="8" t="str">
        <f>IFERROR(INDEX(_Story_AC_Top!$L:$L,MATCH($E$4&amp;"|"&amp;$I$4&amp;"|"&amp;A75,_Story_AC_Top!$A:$A,0)),"")</f>
        <v/>
      </c>
      <c r="H75" s="9" t="str">
        <f>IFERROR(INDEX(_Story_AC_Top!$G:$G,MATCH($E$4&amp;"|"&amp;$I$4&amp;"|"&amp;A75,_Story_AC_Top!$A:$A,0)),"")</f>
        <v/>
      </c>
      <c r="I75" s="9" t="str">
        <f>IFERROR(INDEX(_Story_AC_Top!$M:$M,MATCH($E$4&amp;"|"&amp;$I$4&amp;"|"&amp;A75,_Story_AC_Top!$A:$A,0)),"")</f>
        <v/>
      </c>
    </row>
    <row r="76" spans="1:9" x14ac:dyDescent="0.25">
      <c r="A76" s="8">
        <v>7</v>
      </c>
      <c r="B76" s="8" t="str">
        <f>IFERROR(INDEX(_Story_AC_Top!$F:$F,MATCH($E$4&amp;"|"&amp;$I$4&amp;"|"&amp;A76,_Story_AC_Top!$A:$A,0)),"")</f>
        <v/>
      </c>
      <c r="C76" s="8" t="str">
        <f>IFERROR(INDEX(_Story_AC_Top!$H:$H,MATCH($E$4&amp;"|"&amp;$I$4&amp;"|"&amp;A76,_Story_AC_Top!$A:$A,0)),"")</f>
        <v/>
      </c>
      <c r="D76" s="8">
        <f>IFERROR(INDEX(_Story_AC_Top!$I:$I,MATCH($E$4&amp;"|"&amp;$I$4&amp;"|"&amp;A76,_Story_AC_Top!$A:$A,0)),0)</f>
        <v>0</v>
      </c>
      <c r="E76" s="8">
        <f>IFERROR(INDEX(_Story_AC_Top!$J:$J,MATCH($E$4&amp;"|"&amp;$I$4&amp;"|"&amp;A76,_Story_AC_Top!$A:$A,0)),0)</f>
        <v>0</v>
      </c>
      <c r="F76" s="8">
        <f>IFERROR(INDEX(_Story_AC_Top!$K:$K,MATCH($E$4&amp;"|"&amp;$I$4&amp;"|"&amp;A76,_Story_AC_Top!$A:$A,0)),0)</f>
        <v>0</v>
      </c>
      <c r="G76" s="8" t="str">
        <f>IFERROR(INDEX(_Story_AC_Top!$L:$L,MATCH($E$4&amp;"|"&amp;$I$4&amp;"|"&amp;A76,_Story_AC_Top!$A:$A,0)),"")</f>
        <v/>
      </c>
      <c r="H76" s="9" t="str">
        <f>IFERROR(INDEX(_Story_AC_Top!$G:$G,MATCH($E$4&amp;"|"&amp;$I$4&amp;"|"&amp;A76,_Story_AC_Top!$A:$A,0)),"")</f>
        <v/>
      </c>
      <c r="I76" s="9" t="str">
        <f>IFERROR(INDEX(_Story_AC_Top!$M:$M,MATCH($E$4&amp;"|"&amp;$I$4&amp;"|"&amp;A76,_Story_AC_Top!$A:$A,0)),"")</f>
        <v/>
      </c>
    </row>
    <row r="77" spans="1:9" x14ac:dyDescent="0.25">
      <c r="A77" s="8">
        <v>8</v>
      </c>
      <c r="B77" s="8" t="str">
        <f>IFERROR(INDEX(_Story_AC_Top!$F:$F,MATCH($E$4&amp;"|"&amp;$I$4&amp;"|"&amp;A77,_Story_AC_Top!$A:$A,0)),"")</f>
        <v/>
      </c>
      <c r="C77" s="8" t="str">
        <f>IFERROR(INDEX(_Story_AC_Top!$H:$H,MATCH($E$4&amp;"|"&amp;$I$4&amp;"|"&amp;A77,_Story_AC_Top!$A:$A,0)),"")</f>
        <v/>
      </c>
      <c r="D77" s="8">
        <f>IFERROR(INDEX(_Story_AC_Top!$I:$I,MATCH($E$4&amp;"|"&amp;$I$4&amp;"|"&amp;A77,_Story_AC_Top!$A:$A,0)),0)</f>
        <v>0</v>
      </c>
      <c r="E77" s="8">
        <f>IFERROR(INDEX(_Story_AC_Top!$J:$J,MATCH($E$4&amp;"|"&amp;$I$4&amp;"|"&amp;A77,_Story_AC_Top!$A:$A,0)),0)</f>
        <v>0</v>
      </c>
      <c r="F77" s="8">
        <f>IFERROR(INDEX(_Story_AC_Top!$K:$K,MATCH($E$4&amp;"|"&amp;$I$4&amp;"|"&amp;A77,_Story_AC_Top!$A:$A,0)),0)</f>
        <v>0</v>
      </c>
      <c r="G77" s="8" t="str">
        <f>IFERROR(INDEX(_Story_AC_Top!$L:$L,MATCH($E$4&amp;"|"&amp;$I$4&amp;"|"&amp;A77,_Story_AC_Top!$A:$A,0)),"")</f>
        <v/>
      </c>
      <c r="H77" s="9" t="str">
        <f>IFERROR(INDEX(_Story_AC_Top!$G:$G,MATCH($E$4&amp;"|"&amp;$I$4&amp;"|"&amp;A77,_Story_AC_Top!$A:$A,0)),"")</f>
        <v/>
      </c>
      <c r="I77" s="9" t="str">
        <f>IFERROR(INDEX(_Story_AC_Top!$M:$M,MATCH($E$4&amp;"|"&amp;$I$4&amp;"|"&amp;A77,_Story_AC_Top!$A:$A,0)),"")</f>
        <v/>
      </c>
    </row>
    <row r="78" spans="1:9" x14ac:dyDescent="0.25">
      <c r="A78" s="8">
        <v>9</v>
      </c>
      <c r="B78" s="8" t="str">
        <f>IFERROR(INDEX(_Story_AC_Top!$F:$F,MATCH($E$4&amp;"|"&amp;$I$4&amp;"|"&amp;A78,_Story_AC_Top!$A:$A,0)),"")</f>
        <v/>
      </c>
      <c r="C78" s="8" t="str">
        <f>IFERROR(INDEX(_Story_AC_Top!$H:$H,MATCH($E$4&amp;"|"&amp;$I$4&amp;"|"&amp;A78,_Story_AC_Top!$A:$A,0)),"")</f>
        <v/>
      </c>
      <c r="D78" s="8">
        <f>IFERROR(INDEX(_Story_AC_Top!$I:$I,MATCH($E$4&amp;"|"&amp;$I$4&amp;"|"&amp;A78,_Story_AC_Top!$A:$A,0)),0)</f>
        <v>0</v>
      </c>
      <c r="E78" s="8">
        <f>IFERROR(INDEX(_Story_AC_Top!$J:$J,MATCH($E$4&amp;"|"&amp;$I$4&amp;"|"&amp;A78,_Story_AC_Top!$A:$A,0)),0)</f>
        <v>0</v>
      </c>
      <c r="F78" s="8">
        <f>IFERROR(INDEX(_Story_AC_Top!$K:$K,MATCH($E$4&amp;"|"&amp;$I$4&amp;"|"&amp;A78,_Story_AC_Top!$A:$A,0)),0)</f>
        <v>0</v>
      </c>
      <c r="G78" s="8" t="str">
        <f>IFERROR(INDEX(_Story_AC_Top!$L:$L,MATCH($E$4&amp;"|"&amp;$I$4&amp;"|"&amp;A78,_Story_AC_Top!$A:$A,0)),"")</f>
        <v/>
      </c>
      <c r="H78" s="9" t="str">
        <f>IFERROR(INDEX(_Story_AC_Top!$G:$G,MATCH($E$4&amp;"|"&amp;$I$4&amp;"|"&amp;A78,_Story_AC_Top!$A:$A,0)),"")</f>
        <v/>
      </c>
      <c r="I78" s="9" t="str">
        <f>IFERROR(INDEX(_Story_AC_Top!$M:$M,MATCH($E$4&amp;"|"&amp;$I$4&amp;"|"&amp;A78,_Story_AC_Top!$A:$A,0)),"")</f>
        <v/>
      </c>
    </row>
    <row r="79" spans="1:9" x14ac:dyDescent="0.25">
      <c r="A79" s="8">
        <v>10</v>
      </c>
      <c r="B79" s="8" t="str">
        <f>IFERROR(INDEX(_Story_AC_Top!$F:$F,MATCH($E$4&amp;"|"&amp;$I$4&amp;"|"&amp;A79,_Story_AC_Top!$A:$A,0)),"")</f>
        <v/>
      </c>
      <c r="C79" s="8" t="str">
        <f>IFERROR(INDEX(_Story_AC_Top!$H:$H,MATCH($E$4&amp;"|"&amp;$I$4&amp;"|"&amp;A79,_Story_AC_Top!$A:$A,0)),"")</f>
        <v/>
      </c>
      <c r="D79" s="8">
        <f>IFERROR(INDEX(_Story_AC_Top!$I:$I,MATCH($E$4&amp;"|"&amp;$I$4&amp;"|"&amp;A79,_Story_AC_Top!$A:$A,0)),0)</f>
        <v>0</v>
      </c>
      <c r="E79" s="8">
        <f>IFERROR(INDEX(_Story_AC_Top!$J:$J,MATCH($E$4&amp;"|"&amp;$I$4&amp;"|"&amp;A79,_Story_AC_Top!$A:$A,0)),0)</f>
        <v>0</v>
      </c>
      <c r="F79" s="8">
        <f>IFERROR(INDEX(_Story_AC_Top!$K:$K,MATCH($E$4&amp;"|"&amp;$I$4&amp;"|"&amp;A79,_Story_AC_Top!$A:$A,0)),0)</f>
        <v>0</v>
      </c>
      <c r="G79" s="8" t="str">
        <f>IFERROR(INDEX(_Story_AC_Top!$L:$L,MATCH($E$4&amp;"|"&amp;$I$4&amp;"|"&amp;A79,_Story_AC_Top!$A:$A,0)),"")</f>
        <v/>
      </c>
      <c r="H79" s="9" t="str">
        <f>IFERROR(INDEX(_Story_AC_Top!$G:$G,MATCH($E$4&amp;"|"&amp;$I$4&amp;"|"&amp;A79,_Story_AC_Top!$A:$A,0)),"")</f>
        <v/>
      </c>
      <c r="I79" s="9" t="str">
        <f>IFERROR(INDEX(_Story_AC_Top!$M:$M,MATCH($E$4&amp;"|"&amp;$I$4&amp;"|"&amp;A79,_Story_AC_Top!$A:$A,0)),"")</f>
        <v/>
      </c>
    </row>
    <row r="83" spans="1:8" ht="42" customHeight="1" x14ac:dyDescent="0.25">
      <c r="A83" s="7" t="s">
        <v>54</v>
      </c>
    </row>
    <row r="84" spans="1:8" ht="42" customHeight="1" x14ac:dyDescent="0.25">
      <c r="A84" s="4" t="s">
        <v>48</v>
      </c>
      <c r="B84" s="4" t="s">
        <v>55</v>
      </c>
      <c r="C84" s="4" t="s">
        <v>49</v>
      </c>
      <c r="D84" s="4" t="s">
        <v>38</v>
      </c>
      <c r="E84" s="4" t="s">
        <v>24</v>
      </c>
      <c r="F84" s="4" t="s">
        <v>56</v>
      </c>
      <c r="G84" s="4" t="s">
        <v>57</v>
      </c>
      <c r="H84" s="4" t="s">
        <v>53</v>
      </c>
    </row>
    <row r="85" spans="1:8" ht="42" customHeight="1" x14ac:dyDescent="0.25">
      <c r="A85" s="8">
        <v>1</v>
      </c>
      <c r="B85" s="8" t="str">
        <f>IFERROR(INDEX(_Story_AC_Recent!$E:$E,MATCH($E$4&amp;"|"&amp;$I$4&amp;"|"&amp;A85,_Story_AC_Recent!$A:$A,0)),"")</f>
        <v/>
      </c>
      <c r="C85" s="8" t="str">
        <f>IFERROR(INDEX(_Story_AC_Recent!$F:$F,MATCH($E$4&amp;"|"&amp;$I$4&amp;"|"&amp;A85,_Story_AC_Recent!$A:$A,0)),"")</f>
        <v/>
      </c>
      <c r="D85" s="8" t="str">
        <f>IFERROR(INDEX(_Story_AC_Recent!$G:$G,MATCH($E$4&amp;"|"&amp;$I$4&amp;"|"&amp;A85,_Story_AC_Recent!$A:$A,0)),"")</f>
        <v/>
      </c>
      <c r="E85" s="8" t="str">
        <f>IFERROR(INDEX(_Story_AC_Recent!$H:$H,MATCH($E$4&amp;"|"&amp;$I$4&amp;"|"&amp;A85,_Story_AC_Recent!$A:$A,0)),"")</f>
        <v/>
      </c>
      <c r="F85" s="9" t="str">
        <f>IFERROR(INDEX(_Story_AC_Recent!$J:$J,MATCH($E$4&amp;"|"&amp;$I$4&amp;"|"&amp;A85,_Story_AC_Recent!$A:$A,0)),"")</f>
        <v/>
      </c>
      <c r="G85" s="9" t="str">
        <f>IFERROR(INDEX(_Story_AC_Recent!$K:$K,MATCH($E$4&amp;"|"&amp;$I$4&amp;"|"&amp;A85,_Story_AC_Recent!$A:$A,0)),"")</f>
        <v/>
      </c>
      <c r="H85" s="9" t="str">
        <f>IFERROR(INDEX(_Story_AC_Recent!$L:$L,MATCH($E$4&amp;"|"&amp;$I$4&amp;"|"&amp;A85,_Story_AC_Recent!$A:$A,0)),"")</f>
        <v/>
      </c>
    </row>
    <row r="86" spans="1:8" ht="42" customHeight="1" x14ac:dyDescent="0.25">
      <c r="A86" s="8">
        <v>2</v>
      </c>
      <c r="B86" s="8" t="str">
        <f>IFERROR(INDEX(_Story_AC_Recent!$E:$E,MATCH($E$4&amp;"|"&amp;$I$4&amp;"|"&amp;A86,_Story_AC_Recent!$A:$A,0)),"")</f>
        <v/>
      </c>
      <c r="C86" s="8" t="str">
        <f>IFERROR(INDEX(_Story_AC_Recent!$F:$F,MATCH($E$4&amp;"|"&amp;$I$4&amp;"|"&amp;A86,_Story_AC_Recent!$A:$A,0)),"")</f>
        <v/>
      </c>
      <c r="D86" s="8" t="str">
        <f>IFERROR(INDEX(_Story_AC_Recent!$G:$G,MATCH($E$4&amp;"|"&amp;$I$4&amp;"|"&amp;A86,_Story_AC_Recent!$A:$A,0)),"")</f>
        <v/>
      </c>
      <c r="E86" s="8" t="str">
        <f>IFERROR(INDEX(_Story_AC_Recent!$H:$H,MATCH($E$4&amp;"|"&amp;$I$4&amp;"|"&amp;A86,_Story_AC_Recent!$A:$A,0)),"")</f>
        <v/>
      </c>
      <c r="F86" s="9" t="str">
        <f>IFERROR(INDEX(_Story_AC_Recent!$J:$J,MATCH($E$4&amp;"|"&amp;$I$4&amp;"|"&amp;A86,_Story_AC_Recent!$A:$A,0)),"")</f>
        <v/>
      </c>
      <c r="G86" s="9" t="str">
        <f>IFERROR(INDEX(_Story_AC_Recent!$K:$K,MATCH($E$4&amp;"|"&amp;$I$4&amp;"|"&amp;A86,_Story_AC_Recent!$A:$A,0)),"")</f>
        <v/>
      </c>
      <c r="H86" s="9" t="str">
        <f>IFERROR(INDEX(_Story_AC_Recent!$L:$L,MATCH($E$4&amp;"|"&amp;$I$4&amp;"|"&amp;A86,_Story_AC_Recent!$A:$A,0)),"")</f>
        <v/>
      </c>
    </row>
    <row r="87" spans="1:8" ht="42" customHeight="1" x14ac:dyDescent="0.25">
      <c r="A87" s="8">
        <v>3</v>
      </c>
      <c r="B87" s="8" t="str">
        <f>IFERROR(INDEX(_Story_AC_Recent!$E:$E,MATCH($E$4&amp;"|"&amp;$I$4&amp;"|"&amp;A87,_Story_AC_Recent!$A:$A,0)),"")</f>
        <v/>
      </c>
      <c r="C87" s="8" t="str">
        <f>IFERROR(INDEX(_Story_AC_Recent!$F:$F,MATCH($E$4&amp;"|"&amp;$I$4&amp;"|"&amp;A87,_Story_AC_Recent!$A:$A,0)),"")</f>
        <v/>
      </c>
      <c r="D87" s="8" t="str">
        <f>IFERROR(INDEX(_Story_AC_Recent!$G:$G,MATCH($E$4&amp;"|"&amp;$I$4&amp;"|"&amp;A87,_Story_AC_Recent!$A:$A,0)),"")</f>
        <v/>
      </c>
      <c r="E87" s="8" t="str">
        <f>IFERROR(INDEX(_Story_AC_Recent!$H:$H,MATCH($E$4&amp;"|"&amp;$I$4&amp;"|"&amp;A87,_Story_AC_Recent!$A:$A,0)),"")</f>
        <v/>
      </c>
      <c r="F87" s="9" t="str">
        <f>IFERROR(INDEX(_Story_AC_Recent!$J:$J,MATCH($E$4&amp;"|"&amp;$I$4&amp;"|"&amp;A87,_Story_AC_Recent!$A:$A,0)),"")</f>
        <v/>
      </c>
      <c r="G87" s="9" t="str">
        <f>IFERROR(INDEX(_Story_AC_Recent!$K:$K,MATCH($E$4&amp;"|"&amp;$I$4&amp;"|"&amp;A87,_Story_AC_Recent!$A:$A,0)),"")</f>
        <v/>
      </c>
      <c r="H87" s="9" t="str">
        <f>IFERROR(INDEX(_Story_AC_Recent!$L:$L,MATCH($E$4&amp;"|"&amp;$I$4&amp;"|"&amp;A87,_Story_AC_Recent!$A:$A,0)),"")</f>
        <v/>
      </c>
    </row>
    <row r="88" spans="1:8" ht="42" customHeight="1" x14ac:dyDescent="0.25">
      <c r="A88" s="8">
        <v>4</v>
      </c>
      <c r="B88" s="8" t="str">
        <f>IFERROR(INDEX(_Story_AC_Recent!$E:$E,MATCH($E$4&amp;"|"&amp;$I$4&amp;"|"&amp;A88,_Story_AC_Recent!$A:$A,0)),"")</f>
        <v/>
      </c>
      <c r="C88" s="8" t="str">
        <f>IFERROR(INDEX(_Story_AC_Recent!$F:$F,MATCH($E$4&amp;"|"&amp;$I$4&amp;"|"&amp;A88,_Story_AC_Recent!$A:$A,0)),"")</f>
        <v/>
      </c>
      <c r="D88" s="8" t="str">
        <f>IFERROR(INDEX(_Story_AC_Recent!$G:$G,MATCH($E$4&amp;"|"&amp;$I$4&amp;"|"&amp;A88,_Story_AC_Recent!$A:$A,0)),"")</f>
        <v/>
      </c>
      <c r="E88" s="8" t="str">
        <f>IFERROR(INDEX(_Story_AC_Recent!$H:$H,MATCH($E$4&amp;"|"&amp;$I$4&amp;"|"&amp;A88,_Story_AC_Recent!$A:$A,0)),"")</f>
        <v/>
      </c>
      <c r="F88" s="9" t="str">
        <f>IFERROR(INDEX(_Story_AC_Recent!$J:$J,MATCH($E$4&amp;"|"&amp;$I$4&amp;"|"&amp;A88,_Story_AC_Recent!$A:$A,0)),"")</f>
        <v/>
      </c>
      <c r="G88" s="9" t="str">
        <f>IFERROR(INDEX(_Story_AC_Recent!$K:$K,MATCH($E$4&amp;"|"&amp;$I$4&amp;"|"&amp;A88,_Story_AC_Recent!$A:$A,0)),"")</f>
        <v/>
      </c>
      <c r="H88" s="9" t="str">
        <f>IFERROR(INDEX(_Story_AC_Recent!$L:$L,MATCH($E$4&amp;"|"&amp;$I$4&amp;"|"&amp;A88,_Story_AC_Recent!$A:$A,0)),"")</f>
        <v/>
      </c>
    </row>
    <row r="89" spans="1:8" ht="42" customHeight="1" x14ac:dyDescent="0.25">
      <c r="A89" s="8">
        <v>5</v>
      </c>
      <c r="B89" s="8" t="str">
        <f>IFERROR(INDEX(_Story_AC_Recent!$E:$E,MATCH($E$4&amp;"|"&amp;$I$4&amp;"|"&amp;A89,_Story_AC_Recent!$A:$A,0)),"")</f>
        <v/>
      </c>
      <c r="C89" s="8" t="str">
        <f>IFERROR(INDEX(_Story_AC_Recent!$F:$F,MATCH($E$4&amp;"|"&amp;$I$4&amp;"|"&amp;A89,_Story_AC_Recent!$A:$A,0)),"")</f>
        <v/>
      </c>
      <c r="D89" s="8" t="str">
        <f>IFERROR(INDEX(_Story_AC_Recent!$G:$G,MATCH($E$4&amp;"|"&amp;$I$4&amp;"|"&amp;A89,_Story_AC_Recent!$A:$A,0)),"")</f>
        <v/>
      </c>
      <c r="E89" s="8" t="str">
        <f>IFERROR(INDEX(_Story_AC_Recent!$H:$H,MATCH($E$4&amp;"|"&amp;$I$4&amp;"|"&amp;A89,_Story_AC_Recent!$A:$A,0)),"")</f>
        <v/>
      </c>
      <c r="F89" s="9" t="str">
        <f>IFERROR(INDEX(_Story_AC_Recent!$J:$J,MATCH($E$4&amp;"|"&amp;$I$4&amp;"|"&amp;A89,_Story_AC_Recent!$A:$A,0)),"")</f>
        <v/>
      </c>
      <c r="G89" s="9" t="str">
        <f>IFERROR(INDEX(_Story_AC_Recent!$K:$K,MATCH($E$4&amp;"|"&amp;$I$4&amp;"|"&amp;A89,_Story_AC_Recent!$A:$A,0)),"")</f>
        <v/>
      </c>
      <c r="H89" s="9" t="str">
        <f>IFERROR(INDEX(_Story_AC_Recent!$L:$L,MATCH($E$4&amp;"|"&amp;$I$4&amp;"|"&amp;A89,_Story_AC_Recent!$A:$A,0)),"")</f>
        <v/>
      </c>
    </row>
    <row r="90" spans="1:8" ht="42" customHeight="1" x14ac:dyDescent="0.25">
      <c r="A90" s="8">
        <v>6</v>
      </c>
      <c r="B90" s="8" t="str">
        <f>IFERROR(INDEX(_Story_AC_Recent!$E:$E,MATCH($E$4&amp;"|"&amp;$I$4&amp;"|"&amp;A90,_Story_AC_Recent!$A:$A,0)),"")</f>
        <v/>
      </c>
      <c r="C90" s="8" t="str">
        <f>IFERROR(INDEX(_Story_AC_Recent!$F:$F,MATCH($E$4&amp;"|"&amp;$I$4&amp;"|"&amp;A90,_Story_AC_Recent!$A:$A,0)),"")</f>
        <v/>
      </c>
      <c r="D90" s="8" t="str">
        <f>IFERROR(INDEX(_Story_AC_Recent!$G:$G,MATCH($E$4&amp;"|"&amp;$I$4&amp;"|"&amp;A90,_Story_AC_Recent!$A:$A,0)),"")</f>
        <v/>
      </c>
      <c r="E90" s="8" t="str">
        <f>IFERROR(INDEX(_Story_AC_Recent!$H:$H,MATCH($E$4&amp;"|"&amp;$I$4&amp;"|"&amp;A90,_Story_AC_Recent!$A:$A,0)),"")</f>
        <v/>
      </c>
      <c r="F90" s="9" t="str">
        <f>IFERROR(INDEX(_Story_AC_Recent!$J:$J,MATCH($E$4&amp;"|"&amp;$I$4&amp;"|"&amp;A90,_Story_AC_Recent!$A:$A,0)),"")</f>
        <v/>
      </c>
      <c r="G90" s="9" t="str">
        <f>IFERROR(INDEX(_Story_AC_Recent!$K:$K,MATCH($E$4&amp;"|"&amp;$I$4&amp;"|"&amp;A90,_Story_AC_Recent!$A:$A,0)),"")</f>
        <v/>
      </c>
      <c r="H90" s="9" t="str">
        <f>IFERROR(INDEX(_Story_AC_Recent!$L:$L,MATCH($E$4&amp;"|"&amp;$I$4&amp;"|"&amp;A90,_Story_AC_Recent!$A:$A,0)),"")</f>
        <v/>
      </c>
    </row>
    <row r="91" spans="1:8" ht="42" customHeight="1" x14ac:dyDescent="0.25">
      <c r="A91" s="8">
        <v>7</v>
      </c>
      <c r="B91" s="8" t="str">
        <f>IFERROR(INDEX(_Story_AC_Recent!$E:$E,MATCH($E$4&amp;"|"&amp;$I$4&amp;"|"&amp;A91,_Story_AC_Recent!$A:$A,0)),"")</f>
        <v/>
      </c>
      <c r="C91" s="8" t="str">
        <f>IFERROR(INDEX(_Story_AC_Recent!$F:$F,MATCH($E$4&amp;"|"&amp;$I$4&amp;"|"&amp;A91,_Story_AC_Recent!$A:$A,0)),"")</f>
        <v/>
      </c>
      <c r="D91" s="8" t="str">
        <f>IFERROR(INDEX(_Story_AC_Recent!$G:$G,MATCH($E$4&amp;"|"&amp;$I$4&amp;"|"&amp;A91,_Story_AC_Recent!$A:$A,0)),"")</f>
        <v/>
      </c>
      <c r="E91" s="8" t="str">
        <f>IFERROR(INDEX(_Story_AC_Recent!$H:$H,MATCH($E$4&amp;"|"&amp;$I$4&amp;"|"&amp;A91,_Story_AC_Recent!$A:$A,0)),"")</f>
        <v/>
      </c>
      <c r="F91" s="9" t="str">
        <f>IFERROR(INDEX(_Story_AC_Recent!$J:$J,MATCH($E$4&amp;"|"&amp;$I$4&amp;"|"&amp;A91,_Story_AC_Recent!$A:$A,0)),"")</f>
        <v/>
      </c>
      <c r="G91" s="9" t="str">
        <f>IFERROR(INDEX(_Story_AC_Recent!$K:$K,MATCH($E$4&amp;"|"&amp;$I$4&amp;"|"&amp;A91,_Story_AC_Recent!$A:$A,0)),"")</f>
        <v/>
      </c>
      <c r="H91" s="9" t="str">
        <f>IFERROR(INDEX(_Story_AC_Recent!$L:$L,MATCH($E$4&amp;"|"&amp;$I$4&amp;"|"&amp;A91,_Story_AC_Recent!$A:$A,0)),"")</f>
        <v/>
      </c>
    </row>
    <row r="92" spans="1:8" ht="42" customHeight="1" x14ac:dyDescent="0.25">
      <c r="A92" s="8">
        <v>8</v>
      </c>
      <c r="B92" s="8" t="str">
        <f>IFERROR(INDEX(_Story_AC_Recent!$E:$E,MATCH($E$4&amp;"|"&amp;$I$4&amp;"|"&amp;A92,_Story_AC_Recent!$A:$A,0)),"")</f>
        <v/>
      </c>
      <c r="C92" s="8" t="str">
        <f>IFERROR(INDEX(_Story_AC_Recent!$F:$F,MATCH($E$4&amp;"|"&amp;$I$4&amp;"|"&amp;A92,_Story_AC_Recent!$A:$A,0)),"")</f>
        <v/>
      </c>
      <c r="D92" s="8" t="str">
        <f>IFERROR(INDEX(_Story_AC_Recent!$G:$G,MATCH($E$4&amp;"|"&amp;$I$4&amp;"|"&amp;A92,_Story_AC_Recent!$A:$A,0)),"")</f>
        <v/>
      </c>
      <c r="E92" s="8" t="str">
        <f>IFERROR(INDEX(_Story_AC_Recent!$H:$H,MATCH($E$4&amp;"|"&amp;$I$4&amp;"|"&amp;A92,_Story_AC_Recent!$A:$A,0)),"")</f>
        <v/>
      </c>
      <c r="F92" s="9" t="str">
        <f>IFERROR(INDEX(_Story_AC_Recent!$J:$J,MATCH($E$4&amp;"|"&amp;$I$4&amp;"|"&amp;A92,_Story_AC_Recent!$A:$A,0)),"")</f>
        <v/>
      </c>
      <c r="G92" s="9" t="str">
        <f>IFERROR(INDEX(_Story_AC_Recent!$K:$K,MATCH($E$4&amp;"|"&amp;$I$4&amp;"|"&amp;A92,_Story_AC_Recent!$A:$A,0)),"")</f>
        <v/>
      </c>
      <c r="H92" s="9" t="str">
        <f>IFERROR(INDEX(_Story_AC_Recent!$L:$L,MATCH($E$4&amp;"|"&amp;$I$4&amp;"|"&amp;A92,_Story_AC_Recent!$A:$A,0)),"")</f>
        <v/>
      </c>
    </row>
    <row r="93" spans="1:8" ht="42" customHeight="1" x14ac:dyDescent="0.25">
      <c r="A93" s="8">
        <v>9</v>
      </c>
      <c r="B93" s="8" t="str">
        <f>IFERROR(INDEX(_Story_AC_Recent!$E:$E,MATCH($E$4&amp;"|"&amp;$I$4&amp;"|"&amp;A93,_Story_AC_Recent!$A:$A,0)),"")</f>
        <v/>
      </c>
      <c r="C93" s="8" t="str">
        <f>IFERROR(INDEX(_Story_AC_Recent!$F:$F,MATCH($E$4&amp;"|"&amp;$I$4&amp;"|"&amp;A93,_Story_AC_Recent!$A:$A,0)),"")</f>
        <v/>
      </c>
      <c r="D93" s="8" t="str">
        <f>IFERROR(INDEX(_Story_AC_Recent!$G:$G,MATCH($E$4&amp;"|"&amp;$I$4&amp;"|"&amp;A93,_Story_AC_Recent!$A:$A,0)),"")</f>
        <v/>
      </c>
      <c r="E93" s="8" t="str">
        <f>IFERROR(INDEX(_Story_AC_Recent!$H:$H,MATCH($E$4&amp;"|"&amp;$I$4&amp;"|"&amp;A93,_Story_AC_Recent!$A:$A,0)),"")</f>
        <v/>
      </c>
      <c r="F93" s="9" t="str">
        <f>IFERROR(INDEX(_Story_AC_Recent!$J:$J,MATCH($E$4&amp;"|"&amp;$I$4&amp;"|"&amp;A93,_Story_AC_Recent!$A:$A,0)),"")</f>
        <v/>
      </c>
      <c r="G93" s="9" t="str">
        <f>IFERROR(INDEX(_Story_AC_Recent!$K:$K,MATCH($E$4&amp;"|"&amp;$I$4&amp;"|"&amp;A93,_Story_AC_Recent!$A:$A,0)),"")</f>
        <v/>
      </c>
      <c r="H93" s="9" t="str">
        <f>IFERROR(INDEX(_Story_AC_Recent!$L:$L,MATCH($E$4&amp;"|"&amp;$I$4&amp;"|"&amp;A93,_Story_AC_Recent!$A:$A,0)),"")</f>
        <v/>
      </c>
    </row>
    <row r="94" spans="1:8" ht="42" customHeight="1" x14ac:dyDescent="0.25">
      <c r="A94" s="8">
        <v>10</v>
      </c>
      <c r="B94" s="8" t="str">
        <f>IFERROR(INDEX(_Story_AC_Recent!$E:$E,MATCH($E$4&amp;"|"&amp;$I$4&amp;"|"&amp;A94,_Story_AC_Recent!$A:$A,0)),"")</f>
        <v/>
      </c>
      <c r="C94" s="8" t="str">
        <f>IFERROR(INDEX(_Story_AC_Recent!$F:$F,MATCH($E$4&amp;"|"&amp;$I$4&amp;"|"&amp;A94,_Story_AC_Recent!$A:$A,0)),"")</f>
        <v/>
      </c>
      <c r="D94" s="8" t="str">
        <f>IFERROR(INDEX(_Story_AC_Recent!$G:$G,MATCH($E$4&amp;"|"&amp;$I$4&amp;"|"&amp;A94,_Story_AC_Recent!$A:$A,0)),"")</f>
        <v/>
      </c>
      <c r="E94" s="8" t="str">
        <f>IFERROR(INDEX(_Story_AC_Recent!$H:$H,MATCH($E$4&amp;"|"&amp;$I$4&amp;"|"&amp;A94,_Story_AC_Recent!$A:$A,0)),"")</f>
        <v/>
      </c>
      <c r="F94" s="9" t="str">
        <f>IFERROR(INDEX(_Story_AC_Recent!$J:$J,MATCH($E$4&amp;"|"&amp;$I$4&amp;"|"&amp;A94,_Story_AC_Recent!$A:$A,0)),"")</f>
        <v/>
      </c>
      <c r="G94" s="9" t="str">
        <f>IFERROR(INDEX(_Story_AC_Recent!$K:$K,MATCH($E$4&amp;"|"&amp;$I$4&amp;"|"&amp;A94,_Story_AC_Recent!$A:$A,0)),"")</f>
        <v/>
      </c>
      <c r="H94" s="9" t="str">
        <f>IFERROR(INDEX(_Story_AC_Recent!$L:$L,MATCH($E$4&amp;"|"&amp;$I$4&amp;"|"&amp;A94,_Story_AC_Recent!$A:$A,0)),"")</f>
        <v/>
      </c>
    </row>
    <row r="95" spans="1:8" ht="42" customHeight="1" x14ac:dyDescent="0.25"/>
  </sheetData>
  <mergeCells count="19">
    <mergeCell ref="A1:N2"/>
    <mergeCell ref="A10:B10"/>
    <mergeCell ref="D11:E12"/>
    <mergeCell ref="J15:K16"/>
    <mergeCell ref="D14:E14"/>
    <mergeCell ref="J11:K12"/>
    <mergeCell ref="D10:E10"/>
    <mergeCell ref="J14:K14"/>
    <mergeCell ref="G15:H16"/>
    <mergeCell ref="J10:K10"/>
    <mergeCell ref="A4:C7"/>
    <mergeCell ref="D15:E16"/>
    <mergeCell ref="G10:H10"/>
    <mergeCell ref="A15:B16"/>
    <mergeCell ref="A11:B12"/>
    <mergeCell ref="G11:H12"/>
    <mergeCell ref="A14:B14"/>
    <mergeCell ref="G14:H14"/>
    <mergeCell ref="D6:N7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Title="Valeur invalide" error="Choisis une valeur de la liste." xr:uid="{00000000-0002-0000-0100-000000000000}">
          <x14:formula1>
            <xm:f>_Story_AC_Lists!$A$2:$A$6</xm:f>
          </x14:formula1>
          <xm:sqref>E4</xm:sqref>
        </x14:dataValidation>
        <x14:dataValidation type="list" errorTitle="Valeur invalide" error="Choisis une valeur de la liste." xr:uid="{00000000-0002-0000-0100-000001000000}">
          <x14:formula1>
            <xm:f>_Story_AC_Lists!$B$2:$B$9</xm:f>
          </x14:formula1>
          <xm:sqref>I4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"/>
  <sheetViews>
    <sheetView showGridLines="0" workbookViewId="0">
      <pane ySplit="1" topLeftCell="A2" activePane="bottomLeft" state="frozen"/>
      <selection pane="bottomLeft" activeCell="H2" sqref="H2"/>
    </sheetView>
  </sheetViews>
  <sheetFormatPr baseColWidth="10" defaultColWidth="9.140625" defaultRowHeight="15" x14ac:dyDescent="0.25"/>
  <cols>
    <col min="1" max="2" width="21" customWidth="1"/>
    <col min="3" max="4" width="11" customWidth="1"/>
    <col min="5" max="8" width="18" customWidth="1"/>
    <col min="9" max="9" width="24" customWidth="1"/>
    <col min="10" max="10" width="11" customWidth="1"/>
    <col min="11" max="11" width="16" customWidth="1"/>
    <col min="12" max="12" width="11" customWidth="1"/>
    <col min="13" max="16" width="28" customWidth="1"/>
    <col min="17" max="17" width="46" customWidth="1"/>
    <col min="18" max="19" width="31" customWidth="1"/>
    <col min="20" max="20" width="21" customWidth="1"/>
  </cols>
  <sheetData>
    <row r="1" spans="1:20" x14ac:dyDescent="0.25">
      <c r="A1" s="10" t="s">
        <v>55</v>
      </c>
      <c r="B1" s="10" t="s">
        <v>58</v>
      </c>
      <c r="C1" s="10" t="s">
        <v>59</v>
      </c>
      <c r="D1" s="10" t="s">
        <v>49</v>
      </c>
      <c r="E1" s="10" t="s">
        <v>60</v>
      </c>
      <c r="F1" s="10" t="s">
        <v>24</v>
      </c>
      <c r="G1" s="10" t="s">
        <v>61</v>
      </c>
      <c r="H1" s="10" t="s">
        <v>18</v>
      </c>
      <c r="I1" s="10" t="s">
        <v>62</v>
      </c>
      <c r="J1" s="10" t="s">
        <v>63</v>
      </c>
      <c r="K1" s="10" t="s">
        <v>21</v>
      </c>
      <c r="L1" s="10" t="s">
        <v>64</v>
      </c>
      <c r="M1" s="10" t="s">
        <v>65</v>
      </c>
      <c r="N1" s="10" t="s">
        <v>66</v>
      </c>
      <c r="O1" s="10" t="s">
        <v>56</v>
      </c>
      <c r="P1" s="10" t="s">
        <v>57</v>
      </c>
      <c r="Q1" s="10" t="s">
        <v>53</v>
      </c>
      <c r="R1" s="10" t="s">
        <v>67</v>
      </c>
      <c r="S1" s="10" t="s">
        <v>68</v>
      </c>
      <c r="T1" s="10" t="s">
        <v>69</v>
      </c>
    </row>
    <row r="2" spans="1:20" ht="30" x14ac:dyDescent="0.25">
      <c r="A2" s="11">
        <v>46181.338217592587</v>
      </c>
      <c r="B2" s="11">
        <v>46178.648101851853</v>
      </c>
      <c r="C2" s="12" t="s">
        <v>70</v>
      </c>
      <c r="D2" s="12" t="s">
        <v>71</v>
      </c>
      <c r="E2" s="12" t="s">
        <v>72</v>
      </c>
      <c r="F2" s="12" t="s">
        <v>73</v>
      </c>
      <c r="G2" s="12" t="s">
        <v>74</v>
      </c>
      <c r="H2" s="12" t="s">
        <v>21</v>
      </c>
      <c r="I2" s="12" t="s">
        <v>75</v>
      </c>
      <c r="J2" s="12" t="s">
        <v>76</v>
      </c>
      <c r="K2" s="12" t="s">
        <v>77</v>
      </c>
      <c r="L2" s="12" t="s">
        <v>78</v>
      </c>
      <c r="M2" s="12" t="s">
        <v>79</v>
      </c>
      <c r="N2" s="12" t="s">
        <v>77</v>
      </c>
      <c r="O2" s="12" t="s">
        <v>79</v>
      </c>
      <c r="P2" s="12" t="s">
        <v>77</v>
      </c>
      <c r="Q2" s="12" t="s">
        <v>80</v>
      </c>
      <c r="R2" s="12" t="s">
        <v>81</v>
      </c>
      <c r="S2" s="12" t="s">
        <v>82</v>
      </c>
      <c r="T2" s="11">
        <v>46178.661608796298</v>
      </c>
    </row>
    <row r="3" spans="1:20" ht="30" x14ac:dyDescent="0.25">
      <c r="A3" s="11">
        <v>46181.338217592587</v>
      </c>
      <c r="B3" s="11">
        <v>46178.648101851853</v>
      </c>
      <c r="C3" s="12" t="s">
        <v>70</v>
      </c>
      <c r="D3" s="12" t="s">
        <v>71</v>
      </c>
      <c r="E3" s="12" t="s">
        <v>72</v>
      </c>
      <c r="F3" s="12" t="s">
        <v>73</v>
      </c>
      <c r="G3" s="12" t="s">
        <v>74</v>
      </c>
      <c r="H3" s="12" t="s">
        <v>22</v>
      </c>
      <c r="I3" s="12" t="s">
        <v>83</v>
      </c>
      <c r="J3" s="12" t="s">
        <v>76</v>
      </c>
      <c r="K3" s="12" t="s">
        <v>77</v>
      </c>
      <c r="L3" s="12" t="s">
        <v>78</v>
      </c>
      <c r="M3" s="12" t="s">
        <v>84</v>
      </c>
      <c r="N3" s="12" t="s">
        <v>84</v>
      </c>
      <c r="O3" s="12" t="s">
        <v>84</v>
      </c>
      <c r="P3" s="12" t="s">
        <v>84</v>
      </c>
      <c r="Q3" s="12" t="s">
        <v>80</v>
      </c>
      <c r="R3" s="12" t="s">
        <v>81</v>
      </c>
      <c r="S3" s="12" t="s">
        <v>82</v>
      </c>
      <c r="T3" s="11">
        <v>46178.661608796298</v>
      </c>
    </row>
    <row r="4" spans="1:20" ht="30" x14ac:dyDescent="0.25">
      <c r="A4" s="11">
        <v>46181.338217592587</v>
      </c>
      <c r="B4" s="11">
        <v>46178.648101851853</v>
      </c>
      <c r="C4" s="12" t="s">
        <v>70</v>
      </c>
      <c r="D4" s="12" t="s">
        <v>71</v>
      </c>
      <c r="E4" s="12" t="s">
        <v>72</v>
      </c>
      <c r="F4" s="12" t="s">
        <v>73</v>
      </c>
      <c r="G4" s="12" t="s">
        <v>74</v>
      </c>
      <c r="H4" s="12" t="s">
        <v>23</v>
      </c>
      <c r="I4" s="12" t="s">
        <v>85</v>
      </c>
      <c r="J4" s="12" t="s">
        <v>76</v>
      </c>
      <c r="K4" s="12" t="s">
        <v>77</v>
      </c>
      <c r="L4" s="12" t="s">
        <v>78</v>
      </c>
      <c r="M4" s="12" t="s">
        <v>86</v>
      </c>
      <c r="N4" s="12" t="s">
        <v>86</v>
      </c>
      <c r="O4" s="12" t="s">
        <v>86</v>
      </c>
      <c r="P4" s="12" t="s">
        <v>86</v>
      </c>
      <c r="Q4" s="12" t="s">
        <v>80</v>
      </c>
      <c r="R4" s="12" t="s">
        <v>81</v>
      </c>
      <c r="S4" s="12" t="s">
        <v>82</v>
      </c>
      <c r="T4" s="11">
        <v>46178.661608796298</v>
      </c>
    </row>
    <row r="5" spans="1:20" ht="30" x14ac:dyDescent="0.25">
      <c r="A5" s="11">
        <v>46181.338217592587</v>
      </c>
      <c r="B5" s="11">
        <v>46178.648101851853</v>
      </c>
      <c r="C5" s="12" t="s">
        <v>70</v>
      </c>
      <c r="D5" s="12" t="s">
        <v>71</v>
      </c>
      <c r="E5" s="12" t="s">
        <v>72</v>
      </c>
      <c r="F5" s="12" t="s">
        <v>73</v>
      </c>
      <c r="G5" s="12" t="s">
        <v>74</v>
      </c>
      <c r="H5" s="12" t="s">
        <v>24</v>
      </c>
      <c r="I5" s="12" t="s">
        <v>87</v>
      </c>
      <c r="J5" s="12" t="s">
        <v>76</v>
      </c>
      <c r="K5" s="12" t="s">
        <v>77</v>
      </c>
      <c r="L5" s="12" t="s">
        <v>78</v>
      </c>
      <c r="M5" s="12" t="s">
        <v>88</v>
      </c>
      <c r="N5" s="12" t="s">
        <v>73</v>
      </c>
      <c r="O5" s="12" t="s">
        <v>88</v>
      </c>
      <c r="P5" s="12" t="s">
        <v>73</v>
      </c>
      <c r="Q5" s="12" t="s">
        <v>80</v>
      </c>
      <c r="R5" s="12" t="s">
        <v>81</v>
      </c>
      <c r="S5" s="12" t="s">
        <v>82</v>
      </c>
      <c r="T5" s="11">
        <v>46178.661608796298</v>
      </c>
    </row>
  </sheetData>
  <autoFilter ref="A1:T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9.140625" defaultRowHeight="15" x14ac:dyDescent="0.25"/>
  <cols>
    <col min="1" max="5" width="24" customWidth="1"/>
  </cols>
  <sheetData>
    <row r="1" spans="1:5" x14ac:dyDescent="0.25">
      <c r="A1" t="s">
        <v>60</v>
      </c>
      <c r="B1" t="s">
        <v>24</v>
      </c>
      <c r="C1" t="s">
        <v>61</v>
      </c>
      <c r="D1" t="s">
        <v>38</v>
      </c>
      <c r="E1" t="s">
        <v>63</v>
      </c>
    </row>
    <row r="2" spans="1:5" x14ac:dyDescent="0.25">
      <c r="A2" t="s">
        <v>29</v>
      </c>
      <c r="B2" t="s">
        <v>29</v>
      </c>
      <c r="C2" t="s">
        <v>29</v>
      </c>
      <c r="D2" t="s">
        <v>29</v>
      </c>
      <c r="E2" t="s">
        <v>29</v>
      </c>
    </row>
    <row r="3" spans="1:5" x14ac:dyDescent="0.25">
      <c r="A3" t="s">
        <v>72</v>
      </c>
      <c r="B3" t="s">
        <v>73</v>
      </c>
      <c r="C3" t="s">
        <v>74</v>
      </c>
      <c r="D3" t="s">
        <v>21</v>
      </c>
      <c r="E3" t="s">
        <v>76</v>
      </c>
    </row>
    <row r="4" spans="1:5" x14ac:dyDescent="0.25">
      <c r="D4" t="s">
        <v>22</v>
      </c>
    </row>
    <row r="5" spans="1:5" x14ac:dyDescent="0.25">
      <c r="D5" t="s">
        <v>23</v>
      </c>
    </row>
    <row r="6" spans="1:5" x14ac:dyDescent="0.25">
      <c r="D6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t="s">
        <v>60</v>
      </c>
      <c r="B1" t="s">
        <v>24</v>
      </c>
    </row>
    <row r="2" spans="1:2" x14ac:dyDescent="0.25">
      <c r="A2" t="s">
        <v>29</v>
      </c>
      <c r="B2" t="s">
        <v>29</v>
      </c>
    </row>
    <row r="3" spans="1:2" x14ac:dyDescent="0.25">
      <c r="A3" t="s">
        <v>89</v>
      </c>
      <c r="B3" t="s">
        <v>88</v>
      </c>
    </row>
    <row r="4" spans="1:2" x14ac:dyDescent="0.25">
      <c r="A4" t="s">
        <v>90</v>
      </c>
      <c r="B4" t="s">
        <v>91</v>
      </c>
    </row>
    <row r="5" spans="1:2" x14ac:dyDescent="0.25">
      <c r="A5" t="s">
        <v>92</v>
      </c>
      <c r="B5" t="s">
        <v>93</v>
      </c>
    </row>
    <row r="6" spans="1:2" x14ac:dyDescent="0.25">
      <c r="A6" t="s">
        <v>72</v>
      </c>
      <c r="B6" t="s">
        <v>94</v>
      </c>
    </row>
    <row r="7" spans="1:2" x14ac:dyDescent="0.25">
      <c r="B7" t="s">
        <v>95</v>
      </c>
    </row>
    <row r="8" spans="1:2" x14ac:dyDescent="0.25">
      <c r="B8" t="s">
        <v>73</v>
      </c>
    </row>
    <row r="9" spans="1:2" x14ac:dyDescent="0.25">
      <c r="B9" t="s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workbookViewId="0"/>
  </sheetViews>
  <sheetFormatPr baseColWidth="10" defaultColWidth="9.140625" defaultRowHeight="15" x14ac:dyDescent="0.25"/>
  <sheetData>
    <row r="1" spans="1:14" x14ac:dyDescent="0.25">
      <c r="A1" t="s">
        <v>49</v>
      </c>
      <c r="B1" t="s">
        <v>60</v>
      </c>
      <c r="C1" t="s">
        <v>24</v>
      </c>
      <c r="D1" t="s">
        <v>97</v>
      </c>
      <c r="E1" t="s">
        <v>98</v>
      </c>
      <c r="F1" t="s">
        <v>10</v>
      </c>
      <c r="G1" t="s">
        <v>11</v>
      </c>
      <c r="H1" t="s">
        <v>12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36</v>
      </c>
    </row>
    <row r="2" spans="1:14" x14ac:dyDescent="0.25">
      <c r="A2" t="s">
        <v>104</v>
      </c>
      <c r="B2" t="s">
        <v>29</v>
      </c>
      <c r="C2" t="s">
        <v>29</v>
      </c>
      <c r="D2">
        <v>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4" x14ac:dyDescent="0.25">
      <c r="A3" t="s">
        <v>105</v>
      </c>
      <c r="B3" t="s">
        <v>29</v>
      </c>
      <c r="C3" t="s">
        <v>88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4" x14ac:dyDescent="0.25">
      <c r="A4" t="s">
        <v>106</v>
      </c>
      <c r="B4" t="s">
        <v>29</v>
      </c>
      <c r="C4" t="s">
        <v>91</v>
      </c>
      <c r="D4">
        <v>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4" x14ac:dyDescent="0.25">
      <c r="A5" t="s">
        <v>107</v>
      </c>
      <c r="B5" t="s">
        <v>29</v>
      </c>
      <c r="C5" t="s">
        <v>93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4" x14ac:dyDescent="0.25">
      <c r="A6" t="s">
        <v>108</v>
      </c>
      <c r="B6" t="s">
        <v>29</v>
      </c>
      <c r="C6" t="s">
        <v>94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4" x14ac:dyDescent="0.25">
      <c r="A7" t="s">
        <v>109</v>
      </c>
      <c r="B7" t="s">
        <v>29</v>
      </c>
      <c r="C7" t="s">
        <v>95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4" x14ac:dyDescent="0.25">
      <c r="A8" t="s">
        <v>110</v>
      </c>
      <c r="B8" t="s">
        <v>29</v>
      </c>
      <c r="C8" t="s">
        <v>73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4" x14ac:dyDescent="0.25">
      <c r="A9" t="s">
        <v>111</v>
      </c>
      <c r="B9" t="s">
        <v>29</v>
      </c>
      <c r="C9" t="s">
        <v>96</v>
      </c>
      <c r="D9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4" x14ac:dyDescent="0.25">
      <c r="A10" t="s">
        <v>112</v>
      </c>
      <c r="B10" t="s">
        <v>89</v>
      </c>
      <c r="C10" t="s">
        <v>29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4" x14ac:dyDescent="0.25">
      <c r="A11" t="s">
        <v>113</v>
      </c>
      <c r="B11" t="s">
        <v>89</v>
      </c>
      <c r="C11" t="s">
        <v>88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4" x14ac:dyDescent="0.25">
      <c r="A12" t="s">
        <v>114</v>
      </c>
      <c r="B12" t="s">
        <v>89</v>
      </c>
      <c r="C12" t="s">
        <v>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4" x14ac:dyDescent="0.25">
      <c r="A13" t="s">
        <v>115</v>
      </c>
      <c r="B13" t="s">
        <v>89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4" x14ac:dyDescent="0.25">
      <c r="A14" t="s">
        <v>116</v>
      </c>
      <c r="B14" t="s">
        <v>89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4" x14ac:dyDescent="0.25">
      <c r="A15" t="s">
        <v>117</v>
      </c>
      <c r="B15" t="s">
        <v>89</v>
      </c>
      <c r="C15" t="s">
        <v>95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4" x14ac:dyDescent="0.25">
      <c r="A16" t="s">
        <v>118</v>
      </c>
      <c r="B16" t="s">
        <v>89</v>
      </c>
      <c r="C16" t="s">
        <v>73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119</v>
      </c>
      <c r="B17" t="s">
        <v>89</v>
      </c>
      <c r="C17" t="s">
        <v>96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120</v>
      </c>
      <c r="B18" t="s">
        <v>90</v>
      </c>
      <c r="C18" t="s">
        <v>29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121</v>
      </c>
      <c r="B19" t="s">
        <v>90</v>
      </c>
      <c r="C19" t="s">
        <v>88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122</v>
      </c>
      <c r="B20" t="s">
        <v>90</v>
      </c>
      <c r="C20" t="s">
        <v>91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123</v>
      </c>
      <c r="B21" t="s">
        <v>90</v>
      </c>
      <c r="C21" t="s">
        <v>93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124</v>
      </c>
      <c r="B22" t="s">
        <v>90</v>
      </c>
      <c r="C22" t="s">
        <v>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125</v>
      </c>
      <c r="B23" t="s">
        <v>90</v>
      </c>
      <c r="C23" t="s">
        <v>95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126</v>
      </c>
      <c r="B24" t="s">
        <v>90</v>
      </c>
      <c r="C24" t="s">
        <v>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127</v>
      </c>
      <c r="B25" t="s">
        <v>90</v>
      </c>
      <c r="C25" t="s">
        <v>96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128</v>
      </c>
      <c r="B26" t="s">
        <v>92</v>
      </c>
      <c r="C26" t="s">
        <v>29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129</v>
      </c>
      <c r="B27" t="s">
        <v>92</v>
      </c>
      <c r="C27" t="s">
        <v>88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130</v>
      </c>
      <c r="B28" t="s">
        <v>92</v>
      </c>
      <c r="C28" t="s">
        <v>91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131</v>
      </c>
      <c r="B29" t="s">
        <v>92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132</v>
      </c>
      <c r="B30" t="s">
        <v>92</v>
      </c>
      <c r="C30" t="s">
        <v>94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133</v>
      </c>
      <c r="B31" t="s">
        <v>92</v>
      </c>
      <c r="C31" t="s">
        <v>95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134</v>
      </c>
      <c r="B32" t="s">
        <v>92</v>
      </c>
      <c r="C32" t="s">
        <v>73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135</v>
      </c>
      <c r="B33" t="s">
        <v>92</v>
      </c>
      <c r="C33" t="s">
        <v>96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136</v>
      </c>
      <c r="B34" t="s">
        <v>72</v>
      </c>
      <c r="C34" t="s">
        <v>29</v>
      </c>
      <c r="D34">
        <v>20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137</v>
      </c>
      <c r="B35" t="s">
        <v>72</v>
      </c>
      <c r="C35" t="s">
        <v>88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t="s">
        <v>138</v>
      </c>
      <c r="B36" t="s">
        <v>72</v>
      </c>
      <c r="C36" t="s">
        <v>91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139</v>
      </c>
      <c r="B37" t="s">
        <v>72</v>
      </c>
      <c r="C37" t="s">
        <v>93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140</v>
      </c>
      <c r="B38" t="s">
        <v>72</v>
      </c>
      <c r="C38" t="s">
        <v>94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141</v>
      </c>
      <c r="B39" t="s">
        <v>72</v>
      </c>
      <c r="C39" t="s">
        <v>95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142</v>
      </c>
      <c r="B40" t="s">
        <v>72</v>
      </c>
      <c r="C40" t="s">
        <v>73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143</v>
      </c>
      <c r="B41" t="s">
        <v>72</v>
      </c>
      <c r="C41" t="s">
        <v>96</v>
      </c>
      <c r="D41">
        <v>12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49</v>
      </c>
      <c r="B1" t="s">
        <v>60</v>
      </c>
      <c r="C1" t="s">
        <v>24</v>
      </c>
      <c r="D1" t="s">
        <v>38</v>
      </c>
      <c r="E1" t="s">
        <v>19</v>
      </c>
      <c r="F1" t="s">
        <v>20</v>
      </c>
    </row>
    <row r="2" spans="1:6" x14ac:dyDescent="0.25">
      <c r="A2" t="s">
        <v>144</v>
      </c>
      <c r="B2" t="s">
        <v>29</v>
      </c>
      <c r="C2" t="s">
        <v>29</v>
      </c>
      <c r="D2" t="s">
        <v>39</v>
      </c>
      <c r="E2">
        <v>0</v>
      </c>
      <c r="F2">
        <v>0</v>
      </c>
    </row>
    <row r="3" spans="1:6" x14ac:dyDescent="0.25">
      <c r="A3" t="s">
        <v>145</v>
      </c>
      <c r="B3" t="s">
        <v>29</v>
      </c>
      <c r="C3" t="s">
        <v>29</v>
      </c>
      <c r="D3" t="s">
        <v>40</v>
      </c>
      <c r="E3">
        <v>0</v>
      </c>
      <c r="F3">
        <v>0</v>
      </c>
    </row>
    <row r="4" spans="1:6" x14ac:dyDescent="0.25">
      <c r="A4" t="s">
        <v>146</v>
      </c>
      <c r="B4" t="s">
        <v>29</v>
      </c>
      <c r="C4" t="s">
        <v>88</v>
      </c>
      <c r="D4" t="s">
        <v>39</v>
      </c>
      <c r="E4">
        <v>0</v>
      </c>
      <c r="F4">
        <v>0</v>
      </c>
    </row>
    <row r="5" spans="1:6" x14ac:dyDescent="0.25">
      <c r="A5" t="s">
        <v>147</v>
      </c>
      <c r="B5" t="s">
        <v>29</v>
      </c>
      <c r="C5" t="s">
        <v>88</v>
      </c>
      <c r="D5" t="s">
        <v>40</v>
      </c>
      <c r="E5">
        <v>0</v>
      </c>
      <c r="F5">
        <v>0</v>
      </c>
    </row>
    <row r="6" spans="1:6" x14ac:dyDescent="0.25">
      <c r="A6" t="s">
        <v>148</v>
      </c>
      <c r="B6" t="s">
        <v>29</v>
      </c>
      <c r="C6" t="s">
        <v>91</v>
      </c>
      <c r="D6" t="s">
        <v>39</v>
      </c>
      <c r="E6">
        <v>0</v>
      </c>
      <c r="F6">
        <v>0</v>
      </c>
    </row>
    <row r="7" spans="1:6" x14ac:dyDescent="0.25">
      <c r="A7" t="s">
        <v>149</v>
      </c>
      <c r="B7" t="s">
        <v>29</v>
      </c>
      <c r="C7" t="s">
        <v>91</v>
      </c>
      <c r="D7" t="s">
        <v>40</v>
      </c>
      <c r="E7">
        <v>0</v>
      </c>
      <c r="F7">
        <v>0</v>
      </c>
    </row>
    <row r="8" spans="1:6" x14ac:dyDescent="0.25">
      <c r="A8" t="s">
        <v>150</v>
      </c>
      <c r="B8" t="s">
        <v>29</v>
      </c>
      <c r="C8" t="s">
        <v>93</v>
      </c>
      <c r="D8" t="s">
        <v>39</v>
      </c>
      <c r="E8">
        <v>0</v>
      </c>
      <c r="F8">
        <v>0</v>
      </c>
    </row>
    <row r="9" spans="1:6" x14ac:dyDescent="0.25">
      <c r="A9" t="s">
        <v>151</v>
      </c>
      <c r="B9" t="s">
        <v>29</v>
      </c>
      <c r="C9" t="s">
        <v>93</v>
      </c>
      <c r="D9" t="s">
        <v>40</v>
      </c>
      <c r="E9">
        <v>0</v>
      </c>
      <c r="F9">
        <v>0</v>
      </c>
    </row>
    <row r="10" spans="1:6" x14ac:dyDescent="0.25">
      <c r="A10" t="s">
        <v>152</v>
      </c>
      <c r="B10" t="s">
        <v>29</v>
      </c>
      <c r="C10" t="s">
        <v>94</v>
      </c>
      <c r="D10" t="s">
        <v>39</v>
      </c>
      <c r="E10">
        <v>0</v>
      </c>
      <c r="F10">
        <v>0</v>
      </c>
    </row>
    <row r="11" spans="1:6" x14ac:dyDescent="0.25">
      <c r="A11" t="s">
        <v>153</v>
      </c>
      <c r="B11" t="s">
        <v>29</v>
      </c>
      <c r="C11" t="s">
        <v>94</v>
      </c>
      <c r="D11" t="s">
        <v>40</v>
      </c>
      <c r="E11">
        <v>0</v>
      </c>
      <c r="F11">
        <v>0</v>
      </c>
    </row>
    <row r="12" spans="1:6" x14ac:dyDescent="0.25">
      <c r="A12" t="s">
        <v>154</v>
      </c>
      <c r="B12" t="s">
        <v>29</v>
      </c>
      <c r="C12" t="s">
        <v>95</v>
      </c>
      <c r="D12" t="s">
        <v>39</v>
      </c>
      <c r="E12">
        <v>0</v>
      </c>
      <c r="F12">
        <v>0</v>
      </c>
    </row>
    <row r="13" spans="1:6" x14ac:dyDescent="0.25">
      <c r="A13" t="s">
        <v>155</v>
      </c>
      <c r="B13" t="s">
        <v>29</v>
      </c>
      <c r="C13" t="s">
        <v>95</v>
      </c>
      <c r="D13" t="s">
        <v>40</v>
      </c>
      <c r="E13">
        <v>0</v>
      </c>
      <c r="F13">
        <v>0</v>
      </c>
    </row>
    <row r="14" spans="1:6" x14ac:dyDescent="0.25">
      <c r="A14" t="s">
        <v>156</v>
      </c>
      <c r="B14" t="s">
        <v>29</v>
      </c>
      <c r="C14" t="s">
        <v>73</v>
      </c>
      <c r="D14" t="s">
        <v>39</v>
      </c>
      <c r="E14">
        <v>0</v>
      </c>
      <c r="F14">
        <v>0</v>
      </c>
    </row>
    <row r="15" spans="1:6" x14ac:dyDescent="0.25">
      <c r="A15" t="s">
        <v>157</v>
      </c>
      <c r="B15" t="s">
        <v>29</v>
      </c>
      <c r="C15" t="s">
        <v>73</v>
      </c>
      <c r="D15" t="s">
        <v>40</v>
      </c>
      <c r="E15">
        <v>0</v>
      </c>
      <c r="F15">
        <v>0</v>
      </c>
    </row>
    <row r="16" spans="1:6" x14ac:dyDescent="0.25">
      <c r="A16" t="s">
        <v>158</v>
      </c>
      <c r="B16" t="s">
        <v>29</v>
      </c>
      <c r="C16" t="s">
        <v>96</v>
      </c>
      <c r="D16" t="s">
        <v>39</v>
      </c>
      <c r="E16">
        <v>0</v>
      </c>
      <c r="F16">
        <v>0</v>
      </c>
    </row>
    <row r="17" spans="1:6" x14ac:dyDescent="0.25">
      <c r="A17" t="s">
        <v>159</v>
      </c>
      <c r="B17" t="s">
        <v>29</v>
      </c>
      <c r="C17" t="s">
        <v>96</v>
      </c>
      <c r="D17" t="s">
        <v>40</v>
      </c>
      <c r="E17">
        <v>0</v>
      </c>
      <c r="F17">
        <v>0</v>
      </c>
    </row>
    <row r="18" spans="1:6" x14ac:dyDescent="0.25">
      <c r="A18" t="s">
        <v>160</v>
      </c>
      <c r="B18" t="s">
        <v>89</v>
      </c>
      <c r="C18" t="s">
        <v>29</v>
      </c>
      <c r="D18" t="s">
        <v>39</v>
      </c>
      <c r="E18">
        <v>0</v>
      </c>
      <c r="F18">
        <v>0</v>
      </c>
    </row>
    <row r="19" spans="1:6" x14ac:dyDescent="0.25">
      <c r="A19" t="s">
        <v>161</v>
      </c>
      <c r="B19" t="s">
        <v>89</v>
      </c>
      <c r="C19" t="s">
        <v>29</v>
      </c>
      <c r="D19" t="s">
        <v>40</v>
      </c>
      <c r="E19">
        <v>0</v>
      </c>
      <c r="F19">
        <v>0</v>
      </c>
    </row>
    <row r="20" spans="1:6" x14ac:dyDescent="0.25">
      <c r="A20" t="s">
        <v>162</v>
      </c>
      <c r="B20" t="s">
        <v>89</v>
      </c>
      <c r="C20" t="s">
        <v>88</v>
      </c>
      <c r="D20" t="s">
        <v>39</v>
      </c>
      <c r="E20">
        <v>0</v>
      </c>
      <c r="F20">
        <v>0</v>
      </c>
    </row>
    <row r="21" spans="1:6" x14ac:dyDescent="0.25">
      <c r="A21" t="s">
        <v>163</v>
      </c>
      <c r="B21" t="s">
        <v>89</v>
      </c>
      <c r="C21" t="s">
        <v>88</v>
      </c>
      <c r="D21" t="s">
        <v>40</v>
      </c>
      <c r="E21">
        <v>0</v>
      </c>
      <c r="F21">
        <v>0</v>
      </c>
    </row>
    <row r="22" spans="1:6" x14ac:dyDescent="0.25">
      <c r="A22" t="s">
        <v>164</v>
      </c>
      <c r="B22" t="s">
        <v>89</v>
      </c>
      <c r="C22" t="s">
        <v>91</v>
      </c>
      <c r="D22" t="s">
        <v>39</v>
      </c>
      <c r="E22">
        <v>0</v>
      </c>
      <c r="F22">
        <v>0</v>
      </c>
    </row>
    <row r="23" spans="1:6" x14ac:dyDescent="0.25">
      <c r="A23" t="s">
        <v>165</v>
      </c>
      <c r="B23" t="s">
        <v>89</v>
      </c>
      <c r="C23" t="s">
        <v>91</v>
      </c>
      <c r="D23" t="s">
        <v>40</v>
      </c>
      <c r="E23">
        <v>0</v>
      </c>
      <c r="F23">
        <v>0</v>
      </c>
    </row>
    <row r="24" spans="1:6" x14ac:dyDescent="0.25">
      <c r="A24" t="s">
        <v>166</v>
      </c>
      <c r="B24" t="s">
        <v>89</v>
      </c>
      <c r="C24" t="s">
        <v>93</v>
      </c>
      <c r="D24" t="s">
        <v>39</v>
      </c>
      <c r="E24">
        <v>0</v>
      </c>
      <c r="F24">
        <v>0</v>
      </c>
    </row>
    <row r="25" spans="1:6" x14ac:dyDescent="0.25">
      <c r="A25" t="s">
        <v>167</v>
      </c>
      <c r="B25" t="s">
        <v>89</v>
      </c>
      <c r="C25" t="s">
        <v>93</v>
      </c>
      <c r="D25" t="s">
        <v>40</v>
      </c>
      <c r="E25">
        <v>0</v>
      </c>
      <c r="F25">
        <v>0</v>
      </c>
    </row>
    <row r="26" spans="1:6" x14ac:dyDescent="0.25">
      <c r="A26" t="s">
        <v>168</v>
      </c>
      <c r="B26" t="s">
        <v>89</v>
      </c>
      <c r="C26" t="s">
        <v>94</v>
      </c>
      <c r="D26" t="s">
        <v>39</v>
      </c>
      <c r="E26">
        <v>0</v>
      </c>
      <c r="F26">
        <v>0</v>
      </c>
    </row>
    <row r="27" spans="1:6" x14ac:dyDescent="0.25">
      <c r="A27" t="s">
        <v>169</v>
      </c>
      <c r="B27" t="s">
        <v>89</v>
      </c>
      <c r="C27" t="s">
        <v>94</v>
      </c>
      <c r="D27" t="s">
        <v>40</v>
      </c>
      <c r="E27">
        <v>0</v>
      </c>
      <c r="F27">
        <v>0</v>
      </c>
    </row>
    <row r="28" spans="1:6" x14ac:dyDescent="0.25">
      <c r="A28" t="s">
        <v>170</v>
      </c>
      <c r="B28" t="s">
        <v>89</v>
      </c>
      <c r="C28" t="s">
        <v>95</v>
      </c>
      <c r="D28" t="s">
        <v>39</v>
      </c>
      <c r="E28">
        <v>0</v>
      </c>
      <c r="F28">
        <v>0</v>
      </c>
    </row>
    <row r="29" spans="1:6" x14ac:dyDescent="0.25">
      <c r="A29" t="s">
        <v>171</v>
      </c>
      <c r="B29" t="s">
        <v>89</v>
      </c>
      <c r="C29" t="s">
        <v>95</v>
      </c>
      <c r="D29" t="s">
        <v>40</v>
      </c>
      <c r="E29">
        <v>0</v>
      </c>
      <c r="F29">
        <v>0</v>
      </c>
    </row>
    <row r="30" spans="1:6" x14ac:dyDescent="0.25">
      <c r="A30" t="s">
        <v>172</v>
      </c>
      <c r="B30" t="s">
        <v>89</v>
      </c>
      <c r="C30" t="s">
        <v>73</v>
      </c>
      <c r="D30" t="s">
        <v>39</v>
      </c>
      <c r="E30">
        <v>0</v>
      </c>
      <c r="F30">
        <v>0</v>
      </c>
    </row>
    <row r="31" spans="1:6" x14ac:dyDescent="0.25">
      <c r="A31" t="s">
        <v>173</v>
      </c>
      <c r="B31" t="s">
        <v>89</v>
      </c>
      <c r="C31" t="s">
        <v>73</v>
      </c>
      <c r="D31" t="s">
        <v>40</v>
      </c>
      <c r="E31">
        <v>0</v>
      </c>
      <c r="F31">
        <v>0</v>
      </c>
    </row>
    <row r="32" spans="1:6" x14ac:dyDescent="0.25">
      <c r="A32" t="s">
        <v>174</v>
      </c>
      <c r="B32" t="s">
        <v>89</v>
      </c>
      <c r="C32" t="s">
        <v>96</v>
      </c>
      <c r="D32" t="s">
        <v>39</v>
      </c>
      <c r="E32">
        <v>0</v>
      </c>
      <c r="F32">
        <v>0</v>
      </c>
    </row>
    <row r="33" spans="1:6" x14ac:dyDescent="0.25">
      <c r="A33" t="s">
        <v>175</v>
      </c>
      <c r="B33" t="s">
        <v>89</v>
      </c>
      <c r="C33" t="s">
        <v>96</v>
      </c>
      <c r="D33" t="s">
        <v>40</v>
      </c>
      <c r="E33">
        <v>0</v>
      </c>
      <c r="F33">
        <v>0</v>
      </c>
    </row>
    <row r="34" spans="1:6" x14ac:dyDescent="0.25">
      <c r="A34" t="s">
        <v>176</v>
      </c>
      <c r="B34" t="s">
        <v>90</v>
      </c>
      <c r="C34" t="s">
        <v>29</v>
      </c>
      <c r="D34" t="s">
        <v>39</v>
      </c>
      <c r="E34">
        <v>0</v>
      </c>
      <c r="F34">
        <v>0</v>
      </c>
    </row>
    <row r="35" spans="1:6" x14ac:dyDescent="0.25">
      <c r="A35" t="s">
        <v>177</v>
      </c>
      <c r="B35" t="s">
        <v>90</v>
      </c>
      <c r="C35" t="s">
        <v>29</v>
      </c>
      <c r="D35" t="s">
        <v>40</v>
      </c>
      <c r="E35">
        <v>0</v>
      </c>
      <c r="F35">
        <v>0</v>
      </c>
    </row>
    <row r="36" spans="1:6" x14ac:dyDescent="0.25">
      <c r="A36" t="s">
        <v>178</v>
      </c>
      <c r="B36" t="s">
        <v>90</v>
      </c>
      <c r="C36" t="s">
        <v>88</v>
      </c>
      <c r="D36" t="s">
        <v>39</v>
      </c>
      <c r="E36">
        <v>0</v>
      </c>
      <c r="F36">
        <v>0</v>
      </c>
    </row>
    <row r="37" spans="1:6" x14ac:dyDescent="0.25">
      <c r="A37" t="s">
        <v>179</v>
      </c>
      <c r="B37" t="s">
        <v>90</v>
      </c>
      <c r="C37" t="s">
        <v>88</v>
      </c>
      <c r="D37" t="s">
        <v>40</v>
      </c>
      <c r="E37">
        <v>0</v>
      </c>
      <c r="F37">
        <v>0</v>
      </c>
    </row>
    <row r="38" spans="1:6" x14ac:dyDescent="0.25">
      <c r="A38" t="s">
        <v>180</v>
      </c>
      <c r="B38" t="s">
        <v>90</v>
      </c>
      <c r="C38" t="s">
        <v>91</v>
      </c>
      <c r="D38" t="s">
        <v>39</v>
      </c>
      <c r="E38">
        <v>0</v>
      </c>
      <c r="F38">
        <v>0</v>
      </c>
    </row>
    <row r="39" spans="1:6" x14ac:dyDescent="0.25">
      <c r="A39" t="s">
        <v>181</v>
      </c>
      <c r="B39" t="s">
        <v>90</v>
      </c>
      <c r="C39" t="s">
        <v>91</v>
      </c>
      <c r="D39" t="s">
        <v>40</v>
      </c>
      <c r="E39">
        <v>0</v>
      </c>
      <c r="F39">
        <v>0</v>
      </c>
    </row>
    <row r="40" spans="1:6" x14ac:dyDescent="0.25">
      <c r="A40" t="s">
        <v>182</v>
      </c>
      <c r="B40" t="s">
        <v>90</v>
      </c>
      <c r="C40" t="s">
        <v>93</v>
      </c>
      <c r="D40" t="s">
        <v>39</v>
      </c>
      <c r="E40">
        <v>0</v>
      </c>
      <c r="F40">
        <v>0</v>
      </c>
    </row>
    <row r="41" spans="1:6" x14ac:dyDescent="0.25">
      <c r="A41" t="s">
        <v>183</v>
      </c>
      <c r="B41" t="s">
        <v>90</v>
      </c>
      <c r="C41" t="s">
        <v>93</v>
      </c>
      <c r="D41" t="s">
        <v>40</v>
      </c>
      <c r="E41">
        <v>0</v>
      </c>
      <c r="F41">
        <v>0</v>
      </c>
    </row>
    <row r="42" spans="1:6" x14ac:dyDescent="0.25">
      <c r="A42" t="s">
        <v>184</v>
      </c>
      <c r="B42" t="s">
        <v>90</v>
      </c>
      <c r="C42" t="s">
        <v>94</v>
      </c>
      <c r="D42" t="s">
        <v>39</v>
      </c>
      <c r="E42">
        <v>0</v>
      </c>
      <c r="F42">
        <v>0</v>
      </c>
    </row>
    <row r="43" spans="1:6" x14ac:dyDescent="0.25">
      <c r="A43" t="s">
        <v>185</v>
      </c>
      <c r="B43" t="s">
        <v>90</v>
      </c>
      <c r="C43" t="s">
        <v>94</v>
      </c>
      <c r="D43" t="s">
        <v>40</v>
      </c>
      <c r="E43">
        <v>0</v>
      </c>
      <c r="F43">
        <v>0</v>
      </c>
    </row>
    <row r="44" spans="1:6" x14ac:dyDescent="0.25">
      <c r="A44" t="s">
        <v>186</v>
      </c>
      <c r="B44" t="s">
        <v>90</v>
      </c>
      <c r="C44" t="s">
        <v>95</v>
      </c>
      <c r="D44" t="s">
        <v>39</v>
      </c>
      <c r="E44">
        <v>0</v>
      </c>
      <c r="F44">
        <v>0</v>
      </c>
    </row>
    <row r="45" spans="1:6" x14ac:dyDescent="0.25">
      <c r="A45" t="s">
        <v>187</v>
      </c>
      <c r="B45" t="s">
        <v>90</v>
      </c>
      <c r="C45" t="s">
        <v>95</v>
      </c>
      <c r="D45" t="s">
        <v>40</v>
      </c>
      <c r="E45">
        <v>0</v>
      </c>
      <c r="F45">
        <v>0</v>
      </c>
    </row>
    <row r="46" spans="1:6" x14ac:dyDescent="0.25">
      <c r="A46" t="s">
        <v>188</v>
      </c>
      <c r="B46" t="s">
        <v>90</v>
      </c>
      <c r="C46" t="s">
        <v>73</v>
      </c>
      <c r="D46" t="s">
        <v>39</v>
      </c>
      <c r="E46">
        <v>0</v>
      </c>
      <c r="F46">
        <v>0</v>
      </c>
    </row>
    <row r="47" spans="1:6" x14ac:dyDescent="0.25">
      <c r="A47" t="s">
        <v>189</v>
      </c>
      <c r="B47" t="s">
        <v>90</v>
      </c>
      <c r="C47" t="s">
        <v>73</v>
      </c>
      <c r="D47" t="s">
        <v>40</v>
      </c>
      <c r="E47">
        <v>0</v>
      </c>
      <c r="F47">
        <v>0</v>
      </c>
    </row>
    <row r="48" spans="1:6" x14ac:dyDescent="0.25">
      <c r="A48" t="s">
        <v>190</v>
      </c>
      <c r="B48" t="s">
        <v>90</v>
      </c>
      <c r="C48" t="s">
        <v>96</v>
      </c>
      <c r="D48" t="s">
        <v>39</v>
      </c>
      <c r="E48">
        <v>0</v>
      </c>
      <c r="F48">
        <v>0</v>
      </c>
    </row>
    <row r="49" spans="1:6" x14ac:dyDescent="0.25">
      <c r="A49" t="s">
        <v>191</v>
      </c>
      <c r="B49" t="s">
        <v>90</v>
      </c>
      <c r="C49" t="s">
        <v>96</v>
      </c>
      <c r="D49" t="s">
        <v>40</v>
      </c>
      <c r="E49">
        <v>0</v>
      </c>
      <c r="F49">
        <v>0</v>
      </c>
    </row>
    <row r="50" spans="1:6" x14ac:dyDescent="0.25">
      <c r="A50" t="s">
        <v>192</v>
      </c>
      <c r="B50" t="s">
        <v>92</v>
      </c>
      <c r="C50" t="s">
        <v>29</v>
      </c>
      <c r="D50" t="s">
        <v>39</v>
      </c>
      <c r="E50">
        <v>0</v>
      </c>
      <c r="F50">
        <v>0</v>
      </c>
    </row>
    <row r="51" spans="1:6" x14ac:dyDescent="0.25">
      <c r="A51" t="s">
        <v>193</v>
      </c>
      <c r="B51" t="s">
        <v>92</v>
      </c>
      <c r="C51" t="s">
        <v>29</v>
      </c>
      <c r="D51" t="s">
        <v>40</v>
      </c>
      <c r="E51">
        <v>0</v>
      </c>
      <c r="F51">
        <v>0</v>
      </c>
    </row>
    <row r="52" spans="1:6" x14ac:dyDescent="0.25">
      <c r="A52" t="s">
        <v>194</v>
      </c>
      <c r="B52" t="s">
        <v>92</v>
      </c>
      <c r="C52" t="s">
        <v>88</v>
      </c>
      <c r="D52" t="s">
        <v>39</v>
      </c>
      <c r="E52">
        <v>0</v>
      </c>
      <c r="F52">
        <v>0</v>
      </c>
    </row>
    <row r="53" spans="1:6" x14ac:dyDescent="0.25">
      <c r="A53" t="s">
        <v>195</v>
      </c>
      <c r="B53" t="s">
        <v>92</v>
      </c>
      <c r="C53" t="s">
        <v>88</v>
      </c>
      <c r="D53" t="s">
        <v>40</v>
      </c>
      <c r="E53">
        <v>0</v>
      </c>
      <c r="F53">
        <v>0</v>
      </c>
    </row>
    <row r="54" spans="1:6" x14ac:dyDescent="0.25">
      <c r="A54" t="s">
        <v>196</v>
      </c>
      <c r="B54" t="s">
        <v>92</v>
      </c>
      <c r="C54" t="s">
        <v>91</v>
      </c>
      <c r="D54" t="s">
        <v>39</v>
      </c>
      <c r="E54">
        <v>0</v>
      </c>
      <c r="F54">
        <v>0</v>
      </c>
    </row>
    <row r="55" spans="1:6" x14ac:dyDescent="0.25">
      <c r="A55" t="s">
        <v>197</v>
      </c>
      <c r="B55" t="s">
        <v>92</v>
      </c>
      <c r="C55" t="s">
        <v>91</v>
      </c>
      <c r="D55" t="s">
        <v>40</v>
      </c>
      <c r="E55">
        <v>0</v>
      </c>
      <c r="F55">
        <v>0</v>
      </c>
    </row>
    <row r="56" spans="1:6" x14ac:dyDescent="0.25">
      <c r="A56" t="s">
        <v>198</v>
      </c>
      <c r="B56" t="s">
        <v>92</v>
      </c>
      <c r="C56" t="s">
        <v>93</v>
      </c>
      <c r="D56" t="s">
        <v>39</v>
      </c>
      <c r="E56">
        <v>0</v>
      </c>
      <c r="F56">
        <v>0</v>
      </c>
    </row>
    <row r="57" spans="1:6" x14ac:dyDescent="0.25">
      <c r="A57" t="s">
        <v>199</v>
      </c>
      <c r="B57" t="s">
        <v>92</v>
      </c>
      <c r="C57" t="s">
        <v>93</v>
      </c>
      <c r="D57" t="s">
        <v>40</v>
      </c>
      <c r="E57">
        <v>0</v>
      </c>
      <c r="F57">
        <v>0</v>
      </c>
    </row>
    <row r="58" spans="1:6" x14ac:dyDescent="0.25">
      <c r="A58" t="s">
        <v>200</v>
      </c>
      <c r="B58" t="s">
        <v>92</v>
      </c>
      <c r="C58" t="s">
        <v>94</v>
      </c>
      <c r="D58" t="s">
        <v>39</v>
      </c>
      <c r="E58">
        <v>0</v>
      </c>
      <c r="F58">
        <v>0</v>
      </c>
    </row>
    <row r="59" spans="1:6" x14ac:dyDescent="0.25">
      <c r="A59" t="s">
        <v>201</v>
      </c>
      <c r="B59" t="s">
        <v>92</v>
      </c>
      <c r="C59" t="s">
        <v>94</v>
      </c>
      <c r="D59" t="s">
        <v>40</v>
      </c>
      <c r="E59">
        <v>0</v>
      </c>
      <c r="F59">
        <v>0</v>
      </c>
    </row>
    <row r="60" spans="1:6" x14ac:dyDescent="0.25">
      <c r="A60" t="s">
        <v>202</v>
      </c>
      <c r="B60" t="s">
        <v>92</v>
      </c>
      <c r="C60" t="s">
        <v>95</v>
      </c>
      <c r="D60" t="s">
        <v>39</v>
      </c>
      <c r="E60">
        <v>0</v>
      </c>
      <c r="F60">
        <v>0</v>
      </c>
    </row>
    <row r="61" spans="1:6" x14ac:dyDescent="0.25">
      <c r="A61" t="s">
        <v>203</v>
      </c>
      <c r="B61" t="s">
        <v>92</v>
      </c>
      <c r="C61" t="s">
        <v>95</v>
      </c>
      <c r="D61" t="s">
        <v>40</v>
      </c>
      <c r="E61">
        <v>0</v>
      </c>
      <c r="F61">
        <v>0</v>
      </c>
    </row>
    <row r="62" spans="1:6" x14ac:dyDescent="0.25">
      <c r="A62" t="s">
        <v>204</v>
      </c>
      <c r="B62" t="s">
        <v>92</v>
      </c>
      <c r="C62" t="s">
        <v>73</v>
      </c>
      <c r="D62" t="s">
        <v>39</v>
      </c>
      <c r="E62">
        <v>0</v>
      </c>
      <c r="F62">
        <v>0</v>
      </c>
    </row>
    <row r="63" spans="1:6" x14ac:dyDescent="0.25">
      <c r="A63" t="s">
        <v>205</v>
      </c>
      <c r="B63" t="s">
        <v>92</v>
      </c>
      <c r="C63" t="s">
        <v>73</v>
      </c>
      <c r="D63" t="s">
        <v>40</v>
      </c>
      <c r="E63">
        <v>0</v>
      </c>
      <c r="F63">
        <v>0</v>
      </c>
    </row>
    <row r="64" spans="1:6" x14ac:dyDescent="0.25">
      <c r="A64" t="s">
        <v>206</v>
      </c>
      <c r="B64" t="s">
        <v>92</v>
      </c>
      <c r="C64" t="s">
        <v>96</v>
      </c>
      <c r="D64" t="s">
        <v>39</v>
      </c>
      <c r="E64">
        <v>0</v>
      </c>
      <c r="F64">
        <v>0</v>
      </c>
    </row>
    <row r="65" spans="1:6" x14ac:dyDescent="0.25">
      <c r="A65" t="s">
        <v>207</v>
      </c>
      <c r="B65" t="s">
        <v>92</v>
      </c>
      <c r="C65" t="s">
        <v>96</v>
      </c>
      <c r="D65" t="s">
        <v>40</v>
      </c>
      <c r="E65">
        <v>0</v>
      </c>
      <c r="F65">
        <v>0</v>
      </c>
    </row>
    <row r="66" spans="1:6" x14ac:dyDescent="0.25">
      <c r="A66" t="s">
        <v>208</v>
      </c>
      <c r="B66" t="s">
        <v>72</v>
      </c>
      <c r="C66" t="s">
        <v>29</v>
      </c>
      <c r="D66" t="s">
        <v>39</v>
      </c>
      <c r="E66">
        <v>0</v>
      </c>
      <c r="F66">
        <v>0</v>
      </c>
    </row>
    <row r="67" spans="1:6" x14ac:dyDescent="0.25">
      <c r="A67" t="s">
        <v>209</v>
      </c>
      <c r="B67" t="s">
        <v>72</v>
      </c>
      <c r="C67" t="s">
        <v>29</v>
      </c>
      <c r="D67" t="s">
        <v>40</v>
      </c>
      <c r="E67">
        <v>0</v>
      </c>
      <c r="F67">
        <v>0</v>
      </c>
    </row>
    <row r="68" spans="1:6" x14ac:dyDescent="0.25">
      <c r="A68" t="s">
        <v>210</v>
      </c>
      <c r="B68" t="s">
        <v>72</v>
      </c>
      <c r="C68" t="s">
        <v>88</v>
      </c>
      <c r="D68" t="s">
        <v>39</v>
      </c>
      <c r="E68">
        <v>0</v>
      </c>
      <c r="F68">
        <v>0</v>
      </c>
    </row>
    <row r="69" spans="1:6" x14ac:dyDescent="0.25">
      <c r="A69" t="s">
        <v>211</v>
      </c>
      <c r="B69" t="s">
        <v>72</v>
      </c>
      <c r="C69" t="s">
        <v>88</v>
      </c>
      <c r="D69" t="s">
        <v>40</v>
      </c>
      <c r="E69">
        <v>0</v>
      </c>
      <c r="F69">
        <v>0</v>
      </c>
    </row>
    <row r="70" spans="1:6" x14ac:dyDescent="0.25">
      <c r="A70" t="s">
        <v>212</v>
      </c>
      <c r="B70" t="s">
        <v>72</v>
      </c>
      <c r="C70" t="s">
        <v>91</v>
      </c>
      <c r="D70" t="s">
        <v>39</v>
      </c>
      <c r="E70">
        <v>0</v>
      </c>
      <c r="F70">
        <v>0</v>
      </c>
    </row>
    <row r="71" spans="1:6" x14ac:dyDescent="0.25">
      <c r="A71" t="s">
        <v>213</v>
      </c>
      <c r="B71" t="s">
        <v>72</v>
      </c>
      <c r="C71" t="s">
        <v>91</v>
      </c>
      <c r="D71" t="s">
        <v>40</v>
      </c>
      <c r="E71">
        <v>0</v>
      </c>
      <c r="F71">
        <v>0</v>
      </c>
    </row>
    <row r="72" spans="1:6" x14ac:dyDescent="0.25">
      <c r="A72" t="s">
        <v>214</v>
      </c>
      <c r="B72" t="s">
        <v>72</v>
      </c>
      <c r="C72" t="s">
        <v>93</v>
      </c>
      <c r="D72" t="s">
        <v>39</v>
      </c>
      <c r="E72">
        <v>0</v>
      </c>
      <c r="F72">
        <v>0</v>
      </c>
    </row>
    <row r="73" spans="1:6" x14ac:dyDescent="0.25">
      <c r="A73" t="s">
        <v>215</v>
      </c>
      <c r="B73" t="s">
        <v>72</v>
      </c>
      <c r="C73" t="s">
        <v>93</v>
      </c>
      <c r="D73" t="s">
        <v>40</v>
      </c>
      <c r="E73">
        <v>0</v>
      </c>
      <c r="F73">
        <v>0</v>
      </c>
    </row>
    <row r="74" spans="1:6" x14ac:dyDescent="0.25">
      <c r="A74" t="s">
        <v>216</v>
      </c>
      <c r="B74" t="s">
        <v>72</v>
      </c>
      <c r="C74" t="s">
        <v>94</v>
      </c>
      <c r="D74" t="s">
        <v>39</v>
      </c>
      <c r="E74">
        <v>0</v>
      </c>
      <c r="F74">
        <v>0</v>
      </c>
    </row>
    <row r="75" spans="1:6" x14ac:dyDescent="0.25">
      <c r="A75" t="s">
        <v>217</v>
      </c>
      <c r="B75" t="s">
        <v>72</v>
      </c>
      <c r="C75" t="s">
        <v>94</v>
      </c>
      <c r="D75" t="s">
        <v>40</v>
      </c>
      <c r="E75">
        <v>0</v>
      </c>
      <c r="F75">
        <v>0</v>
      </c>
    </row>
    <row r="76" spans="1:6" x14ac:dyDescent="0.25">
      <c r="A76" t="s">
        <v>218</v>
      </c>
      <c r="B76" t="s">
        <v>72</v>
      </c>
      <c r="C76" t="s">
        <v>95</v>
      </c>
      <c r="D76" t="s">
        <v>39</v>
      </c>
      <c r="E76">
        <v>0</v>
      </c>
      <c r="F76">
        <v>0</v>
      </c>
    </row>
    <row r="77" spans="1:6" x14ac:dyDescent="0.25">
      <c r="A77" t="s">
        <v>219</v>
      </c>
      <c r="B77" t="s">
        <v>72</v>
      </c>
      <c r="C77" t="s">
        <v>95</v>
      </c>
      <c r="D77" t="s">
        <v>40</v>
      </c>
      <c r="E77">
        <v>0</v>
      </c>
      <c r="F77">
        <v>0</v>
      </c>
    </row>
    <row r="78" spans="1:6" x14ac:dyDescent="0.25">
      <c r="A78" t="s">
        <v>220</v>
      </c>
      <c r="B78" t="s">
        <v>72</v>
      </c>
      <c r="C78" t="s">
        <v>73</v>
      </c>
      <c r="D78" t="s">
        <v>39</v>
      </c>
      <c r="E78">
        <v>0</v>
      </c>
      <c r="F78">
        <v>0</v>
      </c>
    </row>
    <row r="79" spans="1:6" x14ac:dyDescent="0.25">
      <c r="A79" t="s">
        <v>221</v>
      </c>
      <c r="B79" t="s">
        <v>72</v>
      </c>
      <c r="C79" t="s">
        <v>73</v>
      </c>
      <c r="D79" t="s">
        <v>40</v>
      </c>
      <c r="E79">
        <v>0</v>
      </c>
      <c r="F79">
        <v>0</v>
      </c>
    </row>
    <row r="80" spans="1:6" x14ac:dyDescent="0.25">
      <c r="A80" t="s">
        <v>222</v>
      </c>
      <c r="B80" t="s">
        <v>72</v>
      </c>
      <c r="C80" t="s">
        <v>96</v>
      </c>
      <c r="D80" t="s">
        <v>39</v>
      </c>
      <c r="E80">
        <v>0</v>
      </c>
      <c r="F80">
        <v>0</v>
      </c>
    </row>
    <row r="81" spans="1:6" x14ac:dyDescent="0.25">
      <c r="A81" t="s">
        <v>223</v>
      </c>
      <c r="B81" t="s">
        <v>72</v>
      </c>
      <c r="C81" t="s">
        <v>96</v>
      </c>
      <c r="D81" t="s">
        <v>40</v>
      </c>
      <c r="E81">
        <v>0</v>
      </c>
      <c r="F8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1"/>
  <sheetViews>
    <sheetView workbookViewId="0"/>
  </sheetViews>
  <sheetFormatPr baseColWidth="10" defaultColWidth="9.140625" defaultRowHeight="15" x14ac:dyDescent="0.25"/>
  <sheetData>
    <row r="1" spans="1:7" x14ac:dyDescent="0.25">
      <c r="A1" t="s">
        <v>49</v>
      </c>
      <c r="B1" t="s">
        <v>60</v>
      </c>
      <c r="C1" t="s">
        <v>24</v>
      </c>
      <c r="D1" t="s">
        <v>224</v>
      </c>
      <c r="E1" t="s">
        <v>11</v>
      </c>
      <c r="F1" t="s">
        <v>12</v>
      </c>
      <c r="G1" t="s">
        <v>45</v>
      </c>
    </row>
    <row r="2" spans="1:7" x14ac:dyDescent="0.25">
      <c r="A2" t="s">
        <v>225</v>
      </c>
      <c r="B2" t="s">
        <v>29</v>
      </c>
      <c r="C2" t="s">
        <v>29</v>
      </c>
      <c r="D2" t="s">
        <v>46</v>
      </c>
      <c r="E2">
        <v>0</v>
      </c>
      <c r="F2">
        <v>0</v>
      </c>
      <c r="G2">
        <v>0</v>
      </c>
    </row>
    <row r="3" spans="1:7" x14ac:dyDescent="0.25">
      <c r="A3" t="s">
        <v>226</v>
      </c>
      <c r="B3" t="s">
        <v>29</v>
      </c>
      <c r="C3" t="s">
        <v>88</v>
      </c>
      <c r="D3" t="s">
        <v>46</v>
      </c>
      <c r="E3">
        <v>0</v>
      </c>
      <c r="F3">
        <v>0</v>
      </c>
      <c r="G3">
        <v>0</v>
      </c>
    </row>
    <row r="4" spans="1:7" x14ac:dyDescent="0.25">
      <c r="A4" t="s">
        <v>227</v>
      </c>
      <c r="B4" t="s">
        <v>29</v>
      </c>
      <c r="C4" t="s">
        <v>91</v>
      </c>
      <c r="D4" t="s">
        <v>46</v>
      </c>
      <c r="E4">
        <v>0</v>
      </c>
      <c r="F4">
        <v>0</v>
      </c>
      <c r="G4">
        <v>0</v>
      </c>
    </row>
    <row r="5" spans="1:7" x14ac:dyDescent="0.25">
      <c r="A5" t="s">
        <v>228</v>
      </c>
      <c r="B5" t="s">
        <v>29</v>
      </c>
      <c r="C5" t="s">
        <v>93</v>
      </c>
      <c r="D5" t="s">
        <v>46</v>
      </c>
      <c r="E5">
        <v>0</v>
      </c>
      <c r="F5">
        <v>0</v>
      </c>
      <c r="G5">
        <v>0</v>
      </c>
    </row>
    <row r="6" spans="1:7" x14ac:dyDescent="0.25">
      <c r="A6" t="s">
        <v>229</v>
      </c>
      <c r="B6" t="s">
        <v>29</v>
      </c>
      <c r="C6" t="s">
        <v>94</v>
      </c>
      <c r="D6" t="s">
        <v>46</v>
      </c>
      <c r="E6">
        <v>0</v>
      </c>
      <c r="F6">
        <v>0</v>
      </c>
      <c r="G6">
        <v>0</v>
      </c>
    </row>
    <row r="7" spans="1:7" x14ac:dyDescent="0.25">
      <c r="A7" t="s">
        <v>230</v>
      </c>
      <c r="B7" t="s">
        <v>29</v>
      </c>
      <c r="C7" t="s">
        <v>95</v>
      </c>
      <c r="D7" t="s">
        <v>46</v>
      </c>
      <c r="E7">
        <v>0</v>
      </c>
      <c r="F7">
        <v>0</v>
      </c>
      <c r="G7">
        <v>0</v>
      </c>
    </row>
    <row r="8" spans="1:7" x14ac:dyDescent="0.25">
      <c r="A8" t="s">
        <v>231</v>
      </c>
      <c r="B8" t="s">
        <v>29</v>
      </c>
      <c r="C8" t="s">
        <v>73</v>
      </c>
      <c r="D8" t="s">
        <v>46</v>
      </c>
      <c r="E8">
        <v>0</v>
      </c>
      <c r="F8">
        <v>0</v>
      </c>
      <c r="G8">
        <v>0</v>
      </c>
    </row>
    <row r="9" spans="1:7" x14ac:dyDescent="0.25">
      <c r="A9" t="s">
        <v>232</v>
      </c>
      <c r="B9" t="s">
        <v>29</v>
      </c>
      <c r="C9" t="s">
        <v>96</v>
      </c>
      <c r="D9" t="s">
        <v>46</v>
      </c>
      <c r="E9">
        <v>0</v>
      </c>
      <c r="F9">
        <v>0</v>
      </c>
      <c r="G9">
        <v>0</v>
      </c>
    </row>
    <row r="10" spans="1:7" x14ac:dyDescent="0.25">
      <c r="A10" t="s">
        <v>233</v>
      </c>
      <c r="B10" t="s">
        <v>89</v>
      </c>
      <c r="C10" t="s">
        <v>29</v>
      </c>
      <c r="D10" t="s">
        <v>46</v>
      </c>
      <c r="E10">
        <v>0</v>
      </c>
      <c r="F10">
        <v>0</v>
      </c>
      <c r="G10">
        <v>0</v>
      </c>
    </row>
    <row r="11" spans="1:7" x14ac:dyDescent="0.25">
      <c r="A11" t="s">
        <v>234</v>
      </c>
      <c r="B11" t="s">
        <v>89</v>
      </c>
      <c r="C11" t="s">
        <v>88</v>
      </c>
      <c r="D11" t="s">
        <v>46</v>
      </c>
      <c r="E11">
        <v>0</v>
      </c>
      <c r="F11">
        <v>0</v>
      </c>
      <c r="G11">
        <v>0</v>
      </c>
    </row>
    <row r="12" spans="1:7" x14ac:dyDescent="0.25">
      <c r="A12" t="s">
        <v>235</v>
      </c>
      <c r="B12" t="s">
        <v>89</v>
      </c>
      <c r="C12" t="s">
        <v>91</v>
      </c>
      <c r="D12" t="s">
        <v>46</v>
      </c>
      <c r="E12">
        <v>0</v>
      </c>
      <c r="F12">
        <v>0</v>
      </c>
      <c r="G12">
        <v>0</v>
      </c>
    </row>
    <row r="13" spans="1:7" x14ac:dyDescent="0.25">
      <c r="A13" t="s">
        <v>236</v>
      </c>
      <c r="B13" t="s">
        <v>89</v>
      </c>
      <c r="C13" t="s">
        <v>93</v>
      </c>
      <c r="D13" t="s">
        <v>46</v>
      </c>
      <c r="E13">
        <v>0</v>
      </c>
      <c r="F13">
        <v>0</v>
      </c>
      <c r="G13">
        <v>0</v>
      </c>
    </row>
    <row r="14" spans="1:7" x14ac:dyDescent="0.25">
      <c r="A14" t="s">
        <v>237</v>
      </c>
      <c r="B14" t="s">
        <v>89</v>
      </c>
      <c r="C14" t="s">
        <v>94</v>
      </c>
      <c r="D14" t="s">
        <v>46</v>
      </c>
      <c r="E14">
        <v>0</v>
      </c>
      <c r="F14">
        <v>0</v>
      </c>
      <c r="G14">
        <v>0</v>
      </c>
    </row>
    <row r="15" spans="1:7" x14ac:dyDescent="0.25">
      <c r="A15" t="s">
        <v>238</v>
      </c>
      <c r="B15" t="s">
        <v>89</v>
      </c>
      <c r="C15" t="s">
        <v>95</v>
      </c>
      <c r="D15" t="s">
        <v>46</v>
      </c>
      <c r="E15">
        <v>0</v>
      </c>
      <c r="F15">
        <v>0</v>
      </c>
      <c r="G15">
        <v>0</v>
      </c>
    </row>
    <row r="16" spans="1:7" x14ac:dyDescent="0.25">
      <c r="A16" t="s">
        <v>239</v>
      </c>
      <c r="B16" t="s">
        <v>89</v>
      </c>
      <c r="C16" t="s">
        <v>73</v>
      </c>
      <c r="D16" t="s">
        <v>46</v>
      </c>
      <c r="E16">
        <v>0</v>
      </c>
      <c r="F16">
        <v>0</v>
      </c>
      <c r="G16">
        <v>0</v>
      </c>
    </row>
    <row r="17" spans="1:7" x14ac:dyDescent="0.25">
      <c r="A17" t="s">
        <v>240</v>
      </c>
      <c r="B17" t="s">
        <v>89</v>
      </c>
      <c r="C17" t="s">
        <v>96</v>
      </c>
      <c r="D17" t="s">
        <v>46</v>
      </c>
      <c r="E17">
        <v>0</v>
      </c>
      <c r="F17">
        <v>0</v>
      </c>
      <c r="G17">
        <v>0</v>
      </c>
    </row>
    <row r="18" spans="1:7" x14ac:dyDescent="0.25">
      <c r="A18" t="s">
        <v>241</v>
      </c>
      <c r="B18" t="s">
        <v>90</v>
      </c>
      <c r="C18" t="s">
        <v>29</v>
      </c>
      <c r="D18" t="s">
        <v>46</v>
      </c>
      <c r="E18">
        <v>0</v>
      </c>
      <c r="F18">
        <v>0</v>
      </c>
      <c r="G18">
        <v>0</v>
      </c>
    </row>
    <row r="19" spans="1:7" x14ac:dyDescent="0.25">
      <c r="A19" t="s">
        <v>242</v>
      </c>
      <c r="B19" t="s">
        <v>90</v>
      </c>
      <c r="C19" t="s">
        <v>88</v>
      </c>
      <c r="D19" t="s">
        <v>46</v>
      </c>
      <c r="E19">
        <v>0</v>
      </c>
      <c r="F19">
        <v>0</v>
      </c>
      <c r="G19">
        <v>0</v>
      </c>
    </row>
    <row r="20" spans="1:7" x14ac:dyDescent="0.25">
      <c r="A20" t="s">
        <v>243</v>
      </c>
      <c r="B20" t="s">
        <v>90</v>
      </c>
      <c r="C20" t="s">
        <v>91</v>
      </c>
      <c r="D20" t="s">
        <v>46</v>
      </c>
      <c r="E20">
        <v>0</v>
      </c>
      <c r="F20">
        <v>0</v>
      </c>
      <c r="G20">
        <v>0</v>
      </c>
    </row>
    <row r="21" spans="1:7" x14ac:dyDescent="0.25">
      <c r="A21" t="s">
        <v>244</v>
      </c>
      <c r="B21" t="s">
        <v>90</v>
      </c>
      <c r="C21" t="s">
        <v>93</v>
      </c>
      <c r="D21" t="s">
        <v>46</v>
      </c>
      <c r="E21">
        <v>0</v>
      </c>
      <c r="F21">
        <v>0</v>
      </c>
      <c r="G21">
        <v>0</v>
      </c>
    </row>
    <row r="22" spans="1:7" x14ac:dyDescent="0.25">
      <c r="A22" t="s">
        <v>245</v>
      </c>
      <c r="B22" t="s">
        <v>90</v>
      </c>
      <c r="C22" t="s">
        <v>94</v>
      </c>
      <c r="D22" t="s">
        <v>46</v>
      </c>
      <c r="E22">
        <v>0</v>
      </c>
      <c r="F22">
        <v>0</v>
      </c>
      <c r="G22">
        <v>0</v>
      </c>
    </row>
    <row r="23" spans="1:7" x14ac:dyDescent="0.25">
      <c r="A23" t="s">
        <v>246</v>
      </c>
      <c r="B23" t="s">
        <v>90</v>
      </c>
      <c r="C23" t="s">
        <v>95</v>
      </c>
      <c r="D23" t="s">
        <v>46</v>
      </c>
      <c r="E23">
        <v>0</v>
      </c>
      <c r="F23">
        <v>0</v>
      </c>
      <c r="G23">
        <v>0</v>
      </c>
    </row>
    <row r="24" spans="1:7" x14ac:dyDescent="0.25">
      <c r="A24" t="s">
        <v>247</v>
      </c>
      <c r="B24" t="s">
        <v>90</v>
      </c>
      <c r="C24" t="s">
        <v>73</v>
      </c>
      <c r="D24" t="s">
        <v>46</v>
      </c>
      <c r="E24">
        <v>0</v>
      </c>
      <c r="F24">
        <v>0</v>
      </c>
      <c r="G24">
        <v>0</v>
      </c>
    </row>
    <row r="25" spans="1:7" x14ac:dyDescent="0.25">
      <c r="A25" t="s">
        <v>248</v>
      </c>
      <c r="B25" t="s">
        <v>90</v>
      </c>
      <c r="C25" t="s">
        <v>96</v>
      </c>
      <c r="D25" t="s">
        <v>46</v>
      </c>
      <c r="E25">
        <v>0</v>
      </c>
      <c r="F25">
        <v>0</v>
      </c>
      <c r="G25">
        <v>0</v>
      </c>
    </row>
    <row r="26" spans="1:7" x14ac:dyDescent="0.25">
      <c r="A26" t="s">
        <v>249</v>
      </c>
      <c r="B26" t="s">
        <v>92</v>
      </c>
      <c r="C26" t="s">
        <v>29</v>
      </c>
      <c r="D26" t="s">
        <v>46</v>
      </c>
      <c r="E26">
        <v>0</v>
      </c>
      <c r="F26">
        <v>0</v>
      </c>
      <c r="G26">
        <v>0</v>
      </c>
    </row>
    <row r="27" spans="1:7" x14ac:dyDescent="0.25">
      <c r="A27" t="s">
        <v>250</v>
      </c>
      <c r="B27" t="s">
        <v>92</v>
      </c>
      <c r="C27" t="s">
        <v>88</v>
      </c>
      <c r="D27" t="s">
        <v>46</v>
      </c>
      <c r="E27">
        <v>0</v>
      </c>
      <c r="F27">
        <v>0</v>
      </c>
      <c r="G27">
        <v>0</v>
      </c>
    </row>
    <row r="28" spans="1:7" x14ac:dyDescent="0.25">
      <c r="A28" t="s">
        <v>251</v>
      </c>
      <c r="B28" t="s">
        <v>92</v>
      </c>
      <c r="C28" t="s">
        <v>91</v>
      </c>
      <c r="D28" t="s">
        <v>46</v>
      </c>
      <c r="E28">
        <v>0</v>
      </c>
      <c r="F28">
        <v>0</v>
      </c>
      <c r="G28">
        <v>0</v>
      </c>
    </row>
    <row r="29" spans="1:7" x14ac:dyDescent="0.25">
      <c r="A29" t="s">
        <v>252</v>
      </c>
      <c r="B29" t="s">
        <v>92</v>
      </c>
      <c r="C29" t="s">
        <v>93</v>
      </c>
      <c r="D29" t="s">
        <v>46</v>
      </c>
      <c r="E29">
        <v>0</v>
      </c>
      <c r="F29">
        <v>0</v>
      </c>
      <c r="G29">
        <v>0</v>
      </c>
    </row>
    <row r="30" spans="1:7" x14ac:dyDescent="0.25">
      <c r="A30" t="s">
        <v>253</v>
      </c>
      <c r="B30" t="s">
        <v>92</v>
      </c>
      <c r="C30" t="s">
        <v>94</v>
      </c>
      <c r="D30" t="s">
        <v>46</v>
      </c>
      <c r="E30">
        <v>0</v>
      </c>
      <c r="F30">
        <v>0</v>
      </c>
      <c r="G30">
        <v>0</v>
      </c>
    </row>
    <row r="31" spans="1:7" x14ac:dyDescent="0.25">
      <c r="A31" t="s">
        <v>254</v>
      </c>
      <c r="B31" t="s">
        <v>92</v>
      </c>
      <c r="C31" t="s">
        <v>95</v>
      </c>
      <c r="D31" t="s">
        <v>46</v>
      </c>
      <c r="E31">
        <v>0</v>
      </c>
      <c r="F31">
        <v>0</v>
      </c>
      <c r="G31">
        <v>0</v>
      </c>
    </row>
    <row r="32" spans="1:7" x14ac:dyDescent="0.25">
      <c r="A32" t="s">
        <v>255</v>
      </c>
      <c r="B32" t="s">
        <v>92</v>
      </c>
      <c r="C32" t="s">
        <v>73</v>
      </c>
      <c r="D32" t="s">
        <v>46</v>
      </c>
      <c r="E32">
        <v>0</v>
      </c>
      <c r="F32">
        <v>0</v>
      </c>
      <c r="G32">
        <v>0</v>
      </c>
    </row>
    <row r="33" spans="1:7" x14ac:dyDescent="0.25">
      <c r="A33" t="s">
        <v>256</v>
      </c>
      <c r="B33" t="s">
        <v>92</v>
      </c>
      <c r="C33" t="s">
        <v>96</v>
      </c>
      <c r="D33" t="s">
        <v>46</v>
      </c>
      <c r="E33">
        <v>0</v>
      </c>
      <c r="F33">
        <v>0</v>
      </c>
      <c r="G33">
        <v>0</v>
      </c>
    </row>
    <row r="34" spans="1:7" x14ac:dyDescent="0.25">
      <c r="A34" t="s">
        <v>257</v>
      </c>
      <c r="B34" t="s">
        <v>72</v>
      </c>
      <c r="C34" t="s">
        <v>29</v>
      </c>
      <c r="D34" t="s">
        <v>46</v>
      </c>
      <c r="E34">
        <v>0</v>
      </c>
      <c r="F34">
        <v>0</v>
      </c>
      <c r="G34">
        <v>0</v>
      </c>
    </row>
    <row r="35" spans="1:7" x14ac:dyDescent="0.25">
      <c r="A35" t="s">
        <v>258</v>
      </c>
      <c r="B35" t="s">
        <v>72</v>
      </c>
      <c r="C35" t="s">
        <v>88</v>
      </c>
      <c r="D35" t="s">
        <v>46</v>
      </c>
      <c r="E35">
        <v>0</v>
      </c>
      <c r="F35">
        <v>0</v>
      </c>
      <c r="G35">
        <v>0</v>
      </c>
    </row>
    <row r="36" spans="1:7" x14ac:dyDescent="0.25">
      <c r="A36" t="s">
        <v>259</v>
      </c>
      <c r="B36" t="s">
        <v>72</v>
      </c>
      <c r="C36" t="s">
        <v>91</v>
      </c>
      <c r="D36" t="s">
        <v>46</v>
      </c>
      <c r="E36">
        <v>0</v>
      </c>
      <c r="F36">
        <v>0</v>
      </c>
      <c r="G36">
        <v>0</v>
      </c>
    </row>
    <row r="37" spans="1:7" x14ac:dyDescent="0.25">
      <c r="A37" t="s">
        <v>260</v>
      </c>
      <c r="B37" t="s">
        <v>72</v>
      </c>
      <c r="C37" t="s">
        <v>93</v>
      </c>
      <c r="D37" t="s">
        <v>46</v>
      </c>
      <c r="E37">
        <v>0</v>
      </c>
      <c r="F37">
        <v>0</v>
      </c>
      <c r="G37">
        <v>0</v>
      </c>
    </row>
    <row r="38" spans="1:7" x14ac:dyDescent="0.25">
      <c r="A38" t="s">
        <v>261</v>
      </c>
      <c r="B38" t="s">
        <v>72</v>
      </c>
      <c r="C38" t="s">
        <v>94</v>
      </c>
      <c r="D38" t="s">
        <v>46</v>
      </c>
      <c r="E38">
        <v>0</v>
      </c>
      <c r="F38">
        <v>0</v>
      </c>
      <c r="G38">
        <v>0</v>
      </c>
    </row>
    <row r="39" spans="1:7" x14ac:dyDescent="0.25">
      <c r="A39" t="s">
        <v>262</v>
      </c>
      <c r="B39" t="s">
        <v>72</v>
      </c>
      <c r="C39" t="s">
        <v>95</v>
      </c>
      <c r="D39" t="s">
        <v>46</v>
      </c>
      <c r="E39">
        <v>0</v>
      </c>
      <c r="F39">
        <v>0</v>
      </c>
      <c r="G39">
        <v>0</v>
      </c>
    </row>
    <row r="40" spans="1:7" x14ac:dyDescent="0.25">
      <c r="A40" t="s">
        <v>263</v>
      </c>
      <c r="B40" t="s">
        <v>72</v>
      </c>
      <c r="C40" t="s">
        <v>73</v>
      </c>
      <c r="D40" t="s">
        <v>46</v>
      </c>
      <c r="E40">
        <v>0</v>
      </c>
      <c r="F40">
        <v>0</v>
      </c>
      <c r="G40">
        <v>0</v>
      </c>
    </row>
    <row r="41" spans="1:7" x14ac:dyDescent="0.25">
      <c r="A41" t="s">
        <v>264</v>
      </c>
      <c r="B41" t="s">
        <v>72</v>
      </c>
      <c r="C41" t="s">
        <v>96</v>
      </c>
      <c r="D41" t="s">
        <v>46</v>
      </c>
      <c r="E41">
        <v>0</v>
      </c>
      <c r="F41">
        <v>0</v>
      </c>
      <c r="G4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49</v>
      </c>
      <c r="B1" t="s">
        <v>60</v>
      </c>
      <c r="C1" t="s">
        <v>24</v>
      </c>
      <c r="D1" t="s">
        <v>48</v>
      </c>
      <c r="E1" t="s">
        <v>59</v>
      </c>
      <c r="F1" t="s">
        <v>265</v>
      </c>
      <c r="G1" t="s">
        <v>52</v>
      </c>
      <c r="H1" t="s">
        <v>266</v>
      </c>
      <c r="I1" t="s">
        <v>39</v>
      </c>
      <c r="J1" t="s">
        <v>44</v>
      </c>
      <c r="K1" t="s">
        <v>51</v>
      </c>
      <c r="L1" t="s">
        <v>36</v>
      </c>
      <c r="M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49</v>
      </c>
      <c r="B1" t="s">
        <v>60</v>
      </c>
      <c r="C1" t="s">
        <v>24</v>
      </c>
      <c r="D1" t="s">
        <v>48</v>
      </c>
      <c r="E1" t="s">
        <v>55</v>
      </c>
      <c r="F1" t="s">
        <v>265</v>
      </c>
      <c r="G1" t="s">
        <v>38</v>
      </c>
      <c r="H1" t="s">
        <v>266</v>
      </c>
      <c r="I1" t="s">
        <v>267</v>
      </c>
      <c r="J1" t="s">
        <v>56</v>
      </c>
      <c r="K1" t="s">
        <v>57</v>
      </c>
      <c r="L1" t="s">
        <v>53</v>
      </c>
      <c r="M1" t="s">
        <v>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5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1" customWidth="1"/>
    <col min="2" max="2" width="25" customWidth="1"/>
    <col min="3" max="4" width="31" customWidth="1"/>
    <col min="5" max="8" width="11" customWidth="1"/>
    <col min="9" max="10" width="16" customWidth="1"/>
    <col min="11" max="11" width="17" customWidth="1"/>
    <col min="12" max="12" width="14" customWidth="1"/>
    <col min="13" max="13" width="15" customWidth="1"/>
    <col min="14" max="14" width="17" customWidth="1"/>
    <col min="15" max="16" width="24" customWidth="1"/>
    <col min="17" max="18" width="12" customWidth="1"/>
    <col min="19" max="20" width="15" customWidth="1"/>
    <col min="21" max="23" width="16" customWidth="1"/>
    <col min="24" max="24" width="18" customWidth="1"/>
    <col min="25" max="25" width="24" customWidth="1"/>
    <col min="26" max="27" width="28" customWidth="1"/>
    <col min="28" max="29" width="14" customWidth="1"/>
    <col min="30" max="31" width="28" customWidth="1"/>
    <col min="32" max="33" width="21" customWidth="1"/>
    <col min="34" max="34" width="46" customWidth="1"/>
  </cols>
  <sheetData>
    <row r="1" spans="1:34" x14ac:dyDescent="0.25">
      <c r="A1" s="13" t="s">
        <v>268</v>
      </c>
      <c r="B1" s="13" t="s">
        <v>269</v>
      </c>
      <c r="C1" s="13" t="s">
        <v>67</v>
      </c>
      <c r="D1" s="13" t="s">
        <v>68</v>
      </c>
      <c r="E1" s="13" t="s">
        <v>59</v>
      </c>
      <c r="F1" s="13" t="s">
        <v>270</v>
      </c>
      <c r="G1" s="13" t="s">
        <v>271</v>
      </c>
      <c r="H1" s="13" t="s">
        <v>63</v>
      </c>
      <c r="I1" s="13" t="s">
        <v>272</v>
      </c>
      <c r="J1" s="13" t="s">
        <v>273</v>
      </c>
      <c r="K1" s="13" t="s">
        <v>274</v>
      </c>
      <c r="L1" s="13" t="s">
        <v>275</v>
      </c>
      <c r="M1" s="13" t="s">
        <v>276</v>
      </c>
      <c r="N1" s="13" t="s">
        <v>277</v>
      </c>
      <c r="O1" s="13" t="s">
        <v>278</v>
      </c>
      <c r="P1" s="13" t="s">
        <v>279</v>
      </c>
      <c r="Q1" s="13" t="s">
        <v>280</v>
      </c>
      <c r="R1" s="13" t="s">
        <v>281</v>
      </c>
      <c r="S1" s="13" t="s">
        <v>282</v>
      </c>
      <c r="T1" s="13" t="s">
        <v>283</v>
      </c>
      <c r="U1" s="13" t="s">
        <v>284</v>
      </c>
      <c r="V1" s="13" t="s">
        <v>285</v>
      </c>
      <c r="W1" s="13" t="s">
        <v>286</v>
      </c>
      <c r="X1" s="13" t="s">
        <v>18</v>
      </c>
      <c r="Y1" s="13" t="s">
        <v>62</v>
      </c>
      <c r="Z1" s="13" t="s">
        <v>65</v>
      </c>
      <c r="AA1" s="13" t="s">
        <v>66</v>
      </c>
      <c r="AB1" s="13" t="s">
        <v>287</v>
      </c>
      <c r="AC1" s="13" t="s">
        <v>288</v>
      </c>
      <c r="AD1" s="13" t="s">
        <v>56</v>
      </c>
      <c r="AE1" s="13" t="s">
        <v>57</v>
      </c>
      <c r="AF1" s="13" t="s">
        <v>289</v>
      </c>
      <c r="AG1" s="13" t="s">
        <v>69</v>
      </c>
      <c r="AH1" s="13" t="s">
        <v>53</v>
      </c>
    </row>
    <row r="2" spans="1:34" ht="30" x14ac:dyDescent="0.25">
      <c r="A2" s="11">
        <v>46178.648101851853</v>
      </c>
      <c r="B2" s="11">
        <v>46181.338217592587</v>
      </c>
      <c r="C2" s="12" t="s">
        <v>81</v>
      </c>
      <c r="D2" s="12" t="s">
        <v>82</v>
      </c>
      <c r="E2" s="12" t="s">
        <v>70</v>
      </c>
      <c r="F2" s="12" t="s">
        <v>71</v>
      </c>
      <c r="G2" s="12" t="s">
        <v>71</v>
      </c>
      <c r="H2" s="12" t="s">
        <v>76</v>
      </c>
      <c r="I2" s="12" t="s">
        <v>72</v>
      </c>
      <c r="J2" s="12" t="s">
        <v>72</v>
      </c>
      <c r="K2" s="12" t="s">
        <v>72</v>
      </c>
      <c r="L2" s="12" t="s">
        <v>88</v>
      </c>
      <c r="M2" s="12" t="s">
        <v>73</v>
      </c>
      <c r="N2" s="12" t="s">
        <v>73</v>
      </c>
      <c r="O2" s="12" t="s">
        <v>290</v>
      </c>
      <c r="P2" s="12" t="s">
        <v>290</v>
      </c>
      <c r="Q2" s="12" t="s">
        <v>74</v>
      </c>
      <c r="R2" s="12" t="s">
        <v>74</v>
      </c>
      <c r="S2" s="12" t="s">
        <v>74</v>
      </c>
      <c r="T2" s="12" t="s">
        <v>79</v>
      </c>
      <c r="U2" s="12" t="s">
        <v>77</v>
      </c>
      <c r="V2" s="12" t="s">
        <v>78</v>
      </c>
      <c r="W2" s="12" t="s">
        <v>78</v>
      </c>
      <c r="X2" s="12" t="s">
        <v>24</v>
      </c>
      <c r="Y2" s="12" t="s">
        <v>87</v>
      </c>
      <c r="Z2" s="12" t="s">
        <v>88</v>
      </c>
      <c r="AA2" s="12" t="s">
        <v>73</v>
      </c>
      <c r="AB2" s="12">
        <v>7</v>
      </c>
      <c r="AC2" s="12">
        <v>13</v>
      </c>
      <c r="AD2" s="12" t="s">
        <v>88</v>
      </c>
      <c r="AE2" s="12" t="s">
        <v>73</v>
      </c>
      <c r="AF2" s="11">
        <v>46178.544768518521</v>
      </c>
      <c r="AG2" s="11">
        <v>46178.661608796298</v>
      </c>
      <c r="AH2" s="12" t="s">
        <v>80</v>
      </c>
    </row>
    <row r="3" spans="1:34" ht="30" x14ac:dyDescent="0.25">
      <c r="A3" s="11">
        <v>46178.648101851853</v>
      </c>
      <c r="B3" s="11">
        <v>46181.338217592587</v>
      </c>
      <c r="C3" s="12" t="s">
        <v>81</v>
      </c>
      <c r="D3" s="12" t="s">
        <v>82</v>
      </c>
      <c r="E3" s="12" t="s">
        <v>70</v>
      </c>
      <c r="F3" s="12" t="s">
        <v>71</v>
      </c>
      <c r="G3" s="12" t="s">
        <v>71</v>
      </c>
      <c r="H3" s="12" t="s">
        <v>76</v>
      </c>
      <c r="I3" s="12" t="s">
        <v>72</v>
      </c>
      <c r="J3" s="12" t="s">
        <v>72</v>
      </c>
      <c r="K3" s="12" t="s">
        <v>72</v>
      </c>
      <c r="L3" s="12" t="s">
        <v>88</v>
      </c>
      <c r="M3" s="12" t="s">
        <v>73</v>
      </c>
      <c r="N3" s="12" t="s">
        <v>73</v>
      </c>
      <c r="O3" s="12" t="s">
        <v>290</v>
      </c>
      <c r="P3" s="12" t="s">
        <v>290</v>
      </c>
      <c r="Q3" s="12" t="s">
        <v>74</v>
      </c>
      <c r="R3" s="12" t="s">
        <v>74</v>
      </c>
      <c r="S3" s="12" t="s">
        <v>74</v>
      </c>
      <c r="T3" s="12" t="s">
        <v>79</v>
      </c>
      <c r="U3" s="12" t="s">
        <v>77</v>
      </c>
      <c r="V3" s="12" t="s">
        <v>78</v>
      </c>
      <c r="W3" s="12" t="s">
        <v>78</v>
      </c>
      <c r="X3" s="12" t="s">
        <v>21</v>
      </c>
      <c r="Y3" s="12" t="s">
        <v>75</v>
      </c>
      <c r="Z3" s="12" t="s">
        <v>79</v>
      </c>
      <c r="AA3" s="12" t="s">
        <v>77</v>
      </c>
      <c r="AB3" s="12">
        <v>11</v>
      </c>
      <c r="AC3" s="12">
        <v>14</v>
      </c>
      <c r="AD3" s="12" t="s">
        <v>79</v>
      </c>
      <c r="AE3" s="12" t="s">
        <v>77</v>
      </c>
      <c r="AF3" s="11">
        <v>46178.544768518521</v>
      </c>
      <c r="AG3" s="11">
        <v>46178.661608796298</v>
      </c>
      <c r="AH3" s="12" t="s">
        <v>80</v>
      </c>
    </row>
    <row r="4" spans="1:34" ht="30" x14ac:dyDescent="0.25">
      <c r="A4" s="11">
        <v>46178.648101851853</v>
      </c>
      <c r="B4" s="11">
        <v>46181.338217592587</v>
      </c>
      <c r="C4" s="12" t="s">
        <v>81</v>
      </c>
      <c r="D4" s="12" t="s">
        <v>82</v>
      </c>
      <c r="E4" s="12" t="s">
        <v>70</v>
      </c>
      <c r="F4" s="12" t="s">
        <v>71</v>
      </c>
      <c r="G4" s="12" t="s">
        <v>71</v>
      </c>
      <c r="H4" s="12" t="s">
        <v>76</v>
      </c>
      <c r="I4" s="12" t="s">
        <v>72</v>
      </c>
      <c r="J4" s="12" t="s">
        <v>72</v>
      </c>
      <c r="K4" s="12" t="s">
        <v>72</v>
      </c>
      <c r="L4" s="12" t="s">
        <v>88</v>
      </c>
      <c r="M4" s="12" t="s">
        <v>73</v>
      </c>
      <c r="N4" s="12" t="s">
        <v>73</v>
      </c>
      <c r="O4" s="12" t="s">
        <v>290</v>
      </c>
      <c r="P4" s="12" t="s">
        <v>290</v>
      </c>
      <c r="Q4" s="12" t="s">
        <v>74</v>
      </c>
      <c r="R4" s="12" t="s">
        <v>74</v>
      </c>
      <c r="S4" s="12" t="s">
        <v>74</v>
      </c>
      <c r="T4" s="12" t="s">
        <v>79</v>
      </c>
      <c r="U4" s="12" t="s">
        <v>77</v>
      </c>
      <c r="V4" s="12" t="s">
        <v>78</v>
      </c>
      <c r="W4" s="12" t="s">
        <v>78</v>
      </c>
      <c r="X4" s="12" t="s">
        <v>22</v>
      </c>
      <c r="Y4" s="12" t="s">
        <v>83</v>
      </c>
      <c r="Z4" s="12" t="s">
        <v>84</v>
      </c>
      <c r="AA4" s="12" t="s">
        <v>84</v>
      </c>
      <c r="AB4" s="12">
        <v>4</v>
      </c>
      <c r="AC4" s="12">
        <v>4</v>
      </c>
      <c r="AD4" s="12" t="s">
        <v>84</v>
      </c>
      <c r="AE4" s="12" t="s">
        <v>84</v>
      </c>
      <c r="AF4" s="11">
        <v>46178.544768518521</v>
      </c>
      <c r="AG4" s="11">
        <v>46178.661608796298</v>
      </c>
      <c r="AH4" s="12" t="s">
        <v>80</v>
      </c>
    </row>
    <row r="5" spans="1:34" ht="30" x14ac:dyDescent="0.25">
      <c r="A5" s="11">
        <v>46178.648101851853</v>
      </c>
      <c r="B5" s="11">
        <v>46181.338217592587</v>
      </c>
      <c r="C5" s="12" t="s">
        <v>81</v>
      </c>
      <c r="D5" s="12" t="s">
        <v>82</v>
      </c>
      <c r="E5" s="12" t="s">
        <v>70</v>
      </c>
      <c r="F5" s="12" t="s">
        <v>71</v>
      </c>
      <c r="G5" s="12" t="s">
        <v>71</v>
      </c>
      <c r="H5" s="12" t="s">
        <v>76</v>
      </c>
      <c r="I5" s="12" t="s">
        <v>72</v>
      </c>
      <c r="J5" s="12" t="s">
        <v>72</v>
      </c>
      <c r="K5" s="12" t="s">
        <v>72</v>
      </c>
      <c r="L5" s="12" t="s">
        <v>88</v>
      </c>
      <c r="M5" s="12" t="s">
        <v>73</v>
      </c>
      <c r="N5" s="12" t="s">
        <v>73</v>
      </c>
      <c r="O5" s="12" t="s">
        <v>290</v>
      </c>
      <c r="P5" s="12" t="s">
        <v>290</v>
      </c>
      <c r="Q5" s="12" t="s">
        <v>74</v>
      </c>
      <c r="R5" s="12" t="s">
        <v>74</v>
      </c>
      <c r="S5" s="12" t="s">
        <v>74</v>
      </c>
      <c r="T5" s="12" t="s">
        <v>79</v>
      </c>
      <c r="U5" s="12" t="s">
        <v>77</v>
      </c>
      <c r="V5" s="12" t="s">
        <v>78</v>
      </c>
      <c r="W5" s="12" t="s">
        <v>78</v>
      </c>
      <c r="X5" s="12" t="s">
        <v>23</v>
      </c>
      <c r="Y5" s="12" t="s">
        <v>85</v>
      </c>
      <c r="Z5" s="12" t="s">
        <v>86</v>
      </c>
      <c r="AA5" s="12" t="s">
        <v>86</v>
      </c>
      <c r="AB5" s="12">
        <v>1</v>
      </c>
      <c r="AC5" s="12">
        <v>1</v>
      </c>
      <c r="AD5" s="12" t="s">
        <v>86</v>
      </c>
      <c r="AE5" s="12" t="s">
        <v>86</v>
      </c>
      <c r="AF5" s="11">
        <v>46178.544768518521</v>
      </c>
      <c r="AG5" s="11">
        <v>46178.661608796298</v>
      </c>
      <c r="AH5" s="12" t="s">
        <v>80</v>
      </c>
    </row>
  </sheetData>
  <autoFilter ref="A1:AH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5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1" customWidth="1"/>
    <col min="2" max="2" width="25" customWidth="1"/>
    <col min="3" max="4" width="31" customWidth="1"/>
    <col min="5" max="8" width="11" customWidth="1"/>
    <col min="9" max="10" width="16" customWidth="1"/>
    <col min="11" max="11" width="17" customWidth="1"/>
    <col min="12" max="12" width="14" customWidth="1"/>
    <col min="13" max="13" width="15" customWidth="1"/>
    <col min="14" max="14" width="17" customWidth="1"/>
    <col min="15" max="16" width="24" customWidth="1"/>
    <col min="17" max="18" width="12" customWidth="1"/>
    <col min="19" max="20" width="15" customWidth="1"/>
    <col min="21" max="23" width="16" customWidth="1"/>
    <col min="24" max="24" width="18" customWidth="1"/>
    <col min="25" max="25" width="24" customWidth="1"/>
    <col min="26" max="27" width="28" customWidth="1"/>
    <col min="28" max="29" width="14" customWidth="1"/>
    <col min="30" max="31" width="28" customWidth="1"/>
    <col min="32" max="33" width="21" customWidth="1"/>
    <col min="34" max="34" width="46" customWidth="1"/>
  </cols>
  <sheetData>
    <row r="1" spans="1:34" x14ac:dyDescent="0.25">
      <c r="A1" s="13" t="s">
        <v>268</v>
      </c>
      <c r="B1" s="13" t="s">
        <v>269</v>
      </c>
      <c r="C1" s="13" t="s">
        <v>67</v>
      </c>
      <c r="D1" s="13" t="s">
        <v>68</v>
      </c>
      <c r="E1" s="13" t="s">
        <v>59</v>
      </c>
      <c r="F1" s="13" t="s">
        <v>270</v>
      </c>
      <c r="G1" s="13" t="s">
        <v>271</v>
      </c>
      <c r="H1" s="13" t="s">
        <v>63</v>
      </c>
      <c r="I1" s="13" t="s">
        <v>272</v>
      </c>
      <c r="J1" s="13" t="s">
        <v>273</v>
      </c>
      <c r="K1" s="13" t="s">
        <v>274</v>
      </c>
      <c r="L1" s="13" t="s">
        <v>275</v>
      </c>
      <c r="M1" s="13" t="s">
        <v>276</v>
      </c>
      <c r="N1" s="13" t="s">
        <v>277</v>
      </c>
      <c r="O1" s="13" t="s">
        <v>278</v>
      </c>
      <c r="P1" s="13" t="s">
        <v>279</v>
      </c>
      <c r="Q1" s="13" t="s">
        <v>280</v>
      </c>
      <c r="R1" s="13" t="s">
        <v>281</v>
      </c>
      <c r="S1" s="13" t="s">
        <v>282</v>
      </c>
      <c r="T1" s="13" t="s">
        <v>283</v>
      </c>
      <c r="U1" s="13" t="s">
        <v>284</v>
      </c>
      <c r="V1" s="13" t="s">
        <v>285</v>
      </c>
      <c r="W1" s="13" t="s">
        <v>286</v>
      </c>
      <c r="X1" s="13" t="s">
        <v>18</v>
      </c>
      <c r="Y1" s="13" t="s">
        <v>62</v>
      </c>
      <c r="Z1" s="13" t="s">
        <v>65</v>
      </c>
      <c r="AA1" s="13" t="s">
        <v>66</v>
      </c>
      <c r="AB1" s="13" t="s">
        <v>287</v>
      </c>
      <c r="AC1" s="13" t="s">
        <v>288</v>
      </c>
      <c r="AD1" s="13" t="s">
        <v>56</v>
      </c>
      <c r="AE1" s="13" t="s">
        <v>57</v>
      </c>
      <c r="AF1" s="13" t="s">
        <v>289</v>
      </c>
      <c r="AG1" s="13" t="s">
        <v>69</v>
      </c>
      <c r="AH1" s="13" t="s">
        <v>53</v>
      </c>
    </row>
    <row r="2" spans="1:34" ht="30" x14ac:dyDescent="0.25">
      <c r="A2" s="11">
        <v>46178.648101851853</v>
      </c>
      <c r="B2" s="11">
        <v>46181.338217592587</v>
      </c>
      <c r="C2" s="12" t="s">
        <v>81</v>
      </c>
      <c r="D2" s="12" t="s">
        <v>82</v>
      </c>
      <c r="E2" s="12" t="s">
        <v>70</v>
      </c>
      <c r="F2" s="12" t="s">
        <v>71</v>
      </c>
      <c r="G2" s="12" t="s">
        <v>71</v>
      </c>
      <c r="H2" s="12" t="s">
        <v>76</v>
      </c>
      <c r="I2" s="12" t="s">
        <v>72</v>
      </c>
      <c r="J2" s="12" t="s">
        <v>72</v>
      </c>
      <c r="K2" s="12" t="s">
        <v>72</v>
      </c>
      <c r="L2" s="12" t="s">
        <v>88</v>
      </c>
      <c r="M2" s="12" t="s">
        <v>73</v>
      </c>
      <c r="N2" s="12" t="s">
        <v>73</v>
      </c>
      <c r="O2" s="12" t="s">
        <v>290</v>
      </c>
      <c r="P2" s="12" t="s">
        <v>290</v>
      </c>
      <c r="Q2" s="12" t="s">
        <v>74</v>
      </c>
      <c r="R2" s="12" t="s">
        <v>74</v>
      </c>
      <c r="S2" s="12" t="s">
        <v>74</v>
      </c>
      <c r="T2" s="12" t="s">
        <v>79</v>
      </c>
      <c r="U2" s="12" t="s">
        <v>77</v>
      </c>
      <c r="V2" s="12" t="s">
        <v>78</v>
      </c>
      <c r="W2" s="12" t="s">
        <v>78</v>
      </c>
      <c r="X2" s="12" t="s">
        <v>24</v>
      </c>
      <c r="Y2" s="12" t="s">
        <v>87</v>
      </c>
      <c r="Z2" s="12" t="s">
        <v>88</v>
      </c>
      <c r="AA2" s="12" t="s">
        <v>73</v>
      </c>
      <c r="AB2" s="12">
        <v>7</v>
      </c>
      <c r="AC2" s="12">
        <v>13</v>
      </c>
      <c r="AD2" s="12" t="s">
        <v>88</v>
      </c>
      <c r="AE2" s="12" t="s">
        <v>73</v>
      </c>
      <c r="AF2" s="11">
        <v>46178.544768518521</v>
      </c>
      <c r="AG2" s="11">
        <v>46178.661608796298</v>
      </c>
      <c r="AH2" s="12" t="s">
        <v>80</v>
      </c>
    </row>
    <row r="3" spans="1:34" ht="30" x14ac:dyDescent="0.25">
      <c r="A3" s="11">
        <v>46178.648101851853</v>
      </c>
      <c r="B3" s="11">
        <v>46181.338217592587</v>
      </c>
      <c r="C3" s="12" t="s">
        <v>81</v>
      </c>
      <c r="D3" s="12" t="s">
        <v>82</v>
      </c>
      <c r="E3" s="12" t="s">
        <v>70</v>
      </c>
      <c r="F3" s="12" t="s">
        <v>71</v>
      </c>
      <c r="G3" s="12" t="s">
        <v>71</v>
      </c>
      <c r="H3" s="12" t="s">
        <v>76</v>
      </c>
      <c r="I3" s="12" t="s">
        <v>72</v>
      </c>
      <c r="J3" s="12" t="s">
        <v>72</v>
      </c>
      <c r="K3" s="12" t="s">
        <v>72</v>
      </c>
      <c r="L3" s="12" t="s">
        <v>88</v>
      </c>
      <c r="M3" s="12" t="s">
        <v>73</v>
      </c>
      <c r="N3" s="12" t="s">
        <v>73</v>
      </c>
      <c r="O3" s="12" t="s">
        <v>290</v>
      </c>
      <c r="P3" s="12" t="s">
        <v>290</v>
      </c>
      <c r="Q3" s="12" t="s">
        <v>74</v>
      </c>
      <c r="R3" s="12" t="s">
        <v>74</v>
      </c>
      <c r="S3" s="12" t="s">
        <v>74</v>
      </c>
      <c r="T3" s="12" t="s">
        <v>79</v>
      </c>
      <c r="U3" s="12" t="s">
        <v>77</v>
      </c>
      <c r="V3" s="12" t="s">
        <v>78</v>
      </c>
      <c r="W3" s="12" t="s">
        <v>78</v>
      </c>
      <c r="X3" s="12" t="s">
        <v>21</v>
      </c>
      <c r="Y3" s="12" t="s">
        <v>75</v>
      </c>
      <c r="Z3" s="12" t="s">
        <v>79</v>
      </c>
      <c r="AA3" s="12" t="s">
        <v>77</v>
      </c>
      <c r="AB3" s="12">
        <v>11</v>
      </c>
      <c r="AC3" s="12">
        <v>14</v>
      </c>
      <c r="AD3" s="12" t="s">
        <v>79</v>
      </c>
      <c r="AE3" s="12" t="s">
        <v>77</v>
      </c>
      <c r="AF3" s="11">
        <v>46178.544768518521</v>
      </c>
      <c r="AG3" s="11">
        <v>46178.661608796298</v>
      </c>
      <c r="AH3" s="12" t="s">
        <v>80</v>
      </c>
    </row>
    <row r="4" spans="1:34" ht="30" x14ac:dyDescent="0.25">
      <c r="A4" s="11">
        <v>46178.648101851853</v>
      </c>
      <c r="B4" s="11">
        <v>46181.338217592587</v>
      </c>
      <c r="C4" s="12" t="s">
        <v>81</v>
      </c>
      <c r="D4" s="12" t="s">
        <v>82</v>
      </c>
      <c r="E4" s="12" t="s">
        <v>70</v>
      </c>
      <c r="F4" s="12" t="s">
        <v>71</v>
      </c>
      <c r="G4" s="12" t="s">
        <v>71</v>
      </c>
      <c r="H4" s="12" t="s">
        <v>76</v>
      </c>
      <c r="I4" s="12" t="s">
        <v>72</v>
      </c>
      <c r="J4" s="12" t="s">
        <v>72</v>
      </c>
      <c r="K4" s="12" t="s">
        <v>72</v>
      </c>
      <c r="L4" s="12" t="s">
        <v>88</v>
      </c>
      <c r="M4" s="12" t="s">
        <v>73</v>
      </c>
      <c r="N4" s="12" t="s">
        <v>73</v>
      </c>
      <c r="O4" s="12" t="s">
        <v>290</v>
      </c>
      <c r="P4" s="12" t="s">
        <v>290</v>
      </c>
      <c r="Q4" s="12" t="s">
        <v>74</v>
      </c>
      <c r="R4" s="12" t="s">
        <v>74</v>
      </c>
      <c r="S4" s="12" t="s">
        <v>74</v>
      </c>
      <c r="T4" s="12" t="s">
        <v>79</v>
      </c>
      <c r="U4" s="12" t="s">
        <v>77</v>
      </c>
      <c r="V4" s="12" t="s">
        <v>78</v>
      </c>
      <c r="W4" s="12" t="s">
        <v>78</v>
      </c>
      <c r="X4" s="12" t="s">
        <v>22</v>
      </c>
      <c r="Y4" s="12" t="s">
        <v>83</v>
      </c>
      <c r="Z4" s="12" t="s">
        <v>84</v>
      </c>
      <c r="AA4" s="12" t="s">
        <v>84</v>
      </c>
      <c r="AB4" s="12">
        <v>4</v>
      </c>
      <c r="AC4" s="12">
        <v>4</v>
      </c>
      <c r="AD4" s="12" t="s">
        <v>84</v>
      </c>
      <c r="AE4" s="12" t="s">
        <v>84</v>
      </c>
      <c r="AF4" s="11">
        <v>46178.544768518521</v>
      </c>
      <c r="AG4" s="11">
        <v>46178.661608796298</v>
      </c>
      <c r="AH4" s="12" t="s">
        <v>80</v>
      </c>
    </row>
    <row r="5" spans="1:34" ht="30" x14ac:dyDescent="0.25">
      <c r="A5" s="11">
        <v>46178.648101851853</v>
      </c>
      <c r="B5" s="11">
        <v>46181.338217592587</v>
      </c>
      <c r="C5" s="12" t="s">
        <v>81</v>
      </c>
      <c r="D5" s="12" t="s">
        <v>82</v>
      </c>
      <c r="E5" s="12" t="s">
        <v>70</v>
      </c>
      <c r="F5" s="12" t="s">
        <v>71</v>
      </c>
      <c r="G5" s="12" t="s">
        <v>71</v>
      </c>
      <c r="H5" s="12" t="s">
        <v>76</v>
      </c>
      <c r="I5" s="12" t="s">
        <v>72</v>
      </c>
      <c r="J5" s="12" t="s">
        <v>72</v>
      </c>
      <c r="K5" s="12" t="s">
        <v>72</v>
      </c>
      <c r="L5" s="12" t="s">
        <v>88</v>
      </c>
      <c r="M5" s="12" t="s">
        <v>73</v>
      </c>
      <c r="N5" s="12" t="s">
        <v>73</v>
      </c>
      <c r="O5" s="12" t="s">
        <v>290</v>
      </c>
      <c r="P5" s="12" t="s">
        <v>290</v>
      </c>
      <c r="Q5" s="12" t="s">
        <v>74</v>
      </c>
      <c r="R5" s="12" t="s">
        <v>74</v>
      </c>
      <c r="S5" s="12" t="s">
        <v>74</v>
      </c>
      <c r="T5" s="12" t="s">
        <v>79</v>
      </c>
      <c r="U5" s="12" t="s">
        <v>77</v>
      </c>
      <c r="V5" s="12" t="s">
        <v>78</v>
      </c>
      <c r="W5" s="12" t="s">
        <v>78</v>
      </c>
      <c r="X5" s="12" t="s">
        <v>23</v>
      </c>
      <c r="Y5" s="12" t="s">
        <v>85</v>
      </c>
      <c r="Z5" s="12" t="s">
        <v>86</v>
      </c>
      <c r="AA5" s="12" t="s">
        <v>86</v>
      </c>
      <c r="AB5" s="12">
        <v>1</v>
      </c>
      <c r="AC5" s="12">
        <v>1</v>
      </c>
      <c r="AD5" s="12" t="s">
        <v>86</v>
      </c>
      <c r="AE5" s="12" t="s">
        <v>86</v>
      </c>
      <c r="AF5" s="11">
        <v>46178.544768518521</v>
      </c>
      <c r="AG5" s="11">
        <v>46178.661608796298</v>
      </c>
      <c r="AH5" s="12" t="s">
        <v>80</v>
      </c>
    </row>
  </sheetData>
  <autoFilter ref="A1:AH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1" customWidth="1"/>
    <col min="2" max="2" width="25" customWidth="1"/>
    <col min="3" max="4" width="31" customWidth="1"/>
    <col min="5" max="5" width="18" customWidth="1"/>
    <col min="6" max="6" width="21" customWidth="1"/>
    <col min="7" max="7" width="24" customWidth="1"/>
    <col min="8" max="8" width="13" customWidth="1"/>
    <col min="9" max="10" width="20" customWidth="1"/>
    <col min="11" max="11" width="31" customWidth="1"/>
    <col min="12" max="12" width="17" customWidth="1"/>
    <col min="13" max="13" width="18" customWidth="1"/>
  </cols>
  <sheetData>
    <row r="1" spans="1:13" x14ac:dyDescent="0.25">
      <c r="A1" s="13" t="s">
        <v>268</v>
      </c>
      <c r="B1" s="13" t="s">
        <v>269</v>
      </c>
      <c r="C1" s="13" t="s">
        <v>67</v>
      </c>
      <c r="D1" s="13" t="s">
        <v>68</v>
      </c>
      <c r="E1" s="13" t="s">
        <v>9</v>
      </c>
      <c r="F1" s="13" t="s">
        <v>10</v>
      </c>
      <c r="G1" s="13" t="s">
        <v>11</v>
      </c>
      <c r="H1" s="13" t="s">
        <v>12</v>
      </c>
      <c r="I1" s="13" t="s">
        <v>13</v>
      </c>
      <c r="J1" s="13" t="s">
        <v>14</v>
      </c>
      <c r="K1" s="13" t="s">
        <v>291</v>
      </c>
      <c r="L1" s="13" t="s">
        <v>15</v>
      </c>
      <c r="M1" s="13" t="s">
        <v>16</v>
      </c>
    </row>
    <row r="2" spans="1:13" x14ac:dyDescent="0.25">
      <c r="A2" s="11">
        <v>46178.648101851853</v>
      </c>
      <c r="B2" s="11">
        <v>46181.338217592587</v>
      </c>
      <c r="C2" s="12" t="s">
        <v>81</v>
      </c>
      <c r="D2" s="12" t="s">
        <v>82</v>
      </c>
      <c r="E2" s="12">
        <v>1</v>
      </c>
      <c r="F2" s="12">
        <v>4</v>
      </c>
      <c r="G2" s="12">
        <v>0</v>
      </c>
      <c r="H2" s="12">
        <v>0</v>
      </c>
      <c r="I2" s="12">
        <v>1</v>
      </c>
      <c r="J2" s="12">
        <v>0</v>
      </c>
      <c r="K2" s="12">
        <v>1</v>
      </c>
      <c r="L2" s="12">
        <v>0</v>
      </c>
      <c r="M2" s="12">
        <v>0</v>
      </c>
    </row>
  </sheetData>
  <autoFilter ref="A1:M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4" width="18" customWidth="1"/>
    <col min="5" max="5" width="15" customWidth="1"/>
    <col min="6" max="6" width="19" customWidth="1"/>
  </cols>
  <sheetData>
    <row r="1" spans="1:6" x14ac:dyDescent="0.25">
      <c r="A1" s="13" t="s">
        <v>60</v>
      </c>
      <c r="B1" s="13" t="s">
        <v>24</v>
      </c>
      <c r="C1" s="13" t="s">
        <v>61</v>
      </c>
      <c r="D1" s="13" t="s">
        <v>18</v>
      </c>
      <c r="E1" s="13" t="s">
        <v>19</v>
      </c>
      <c r="F1" s="13" t="s">
        <v>20</v>
      </c>
    </row>
    <row r="2" spans="1:6" x14ac:dyDescent="0.25">
      <c r="A2" s="12" t="s">
        <v>72</v>
      </c>
      <c r="B2" s="12" t="s">
        <v>73</v>
      </c>
      <c r="C2" s="12" t="s">
        <v>74</v>
      </c>
      <c r="D2" s="12" t="s">
        <v>21</v>
      </c>
      <c r="E2" s="12">
        <v>1</v>
      </c>
      <c r="F2" s="12">
        <v>1</v>
      </c>
    </row>
    <row r="3" spans="1:6" x14ac:dyDescent="0.25">
      <c r="A3" s="12" t="s">
        <v>72</v>
      </c>
      <c r="B3" s="12" t="s">
        <v>73</v>
      </c>
      <c r="C3" s="12" t="s">
        <v>74</v>
      </c>
      <c r="D3" s="12" t="s">
        <v>22</v>
      </c>
      <c r="E3" s="12">
        <v>1</v>
      </c>
      <c r="F3" s="12">
        <v>1</v>
      </c>
    </row>
    <row r="4" spans="1:6" x14ac:dyDescent="0.25">
      <c r="A4" s="12" t="s">
        <v>72</v>
      </c>
      <c r="B4" s="12" t="s">
        <v>73</v>
      </c>
      <c r="C4" s="12" t="s">
        <v>74</v>
      </c>
      <c r="D4" s="12" t="s">
        <v>23</v>
      </c>
      <c r="E4" s="12">
        <v>1</v>
      </c>
      <c r="F4" s="12">
        <v>1</v>
      </c>
    </row>
    <row r="5" spans="1:6" x14ac:dyDescent="0.25">
      <c r="A5" s="12" t="s">
        <v>72</v>
      </c>
      <c r="B5" s="12" t="s">
        <v>73</v>
      </c>
      <c r="C5" s="12" t="s">
        <v>74</v>
      </c>
      <c r="D5" s="12" t="s">
        <v>24</v>
      </c>
      <c r="E5" s="12">
        <v>1</v>
      </c>
      <c r="F5" s="12">
        <v>1</v>
      </c>
    </row>
  </sheetData>
  <autoFilter ref="A1:F5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showGridLines="0" workbookViewId="0"/>
  </sheetViews>
  <sheetFormatPr baseColWidth="10" defaultColWidth="9.140625" defaultRowHeight="15" x14ac:dyDescent="0.25"/>
  <sheetData>
    <row r="1" spans="1:1" x14ac:dyDescent="0.25">
      <c r="A1" s="14" t="s">
        <v>292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showGridLines="0" workbookViewId="0"/>
  </sheetViews>
  <sheetFormatPr baseColWidth="10" defaultColWidth="9.140625" defaultRowHeight="15" x14ac:dyDescent="0.25"/>
  <sheetData>
    <row r="1" spans="1:1" x14ac:dyDescent="0.25">
      <c r="A1" s="14" t="s">
        <v>292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showGridLines="0" workbookViewId="0"/>
  </sheetViews>
  <sheetFormatPr baseColWidth="10" defaultColWidth="9.140625" defaultRowHeight="15" x14ac:dyDescent="0.25"/>
  <sheetData>
    <row r="1" spans="1:1" x14ac:dyDescent="0.25">
      <c r="A1" s="14" t="s">
        <v>292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showGridLines="0" workbookViewId="0"/>
  </sheetViews>
  <sheetFormatPr baseColWidth="10" defaultColWidth="9.140625" defaultRowHeight="15" x14ac:dyDescent="0.25"/>
  <sheetData>
    <row r="1" spans="1:1" x14ac:dyDescent="0.25">
      <c r="A1" s="14" t="s">
        <v>292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1" customWidth="1"/>
    <col min="4" max="5" width="17" customWidth="1"/>
    <col min="6" max="6" width="15" customWidth="1"/>
    <col min="7" max="7" width="16" customWidth="1"/>
    <col min="8" max="8" width="15" customWidth="1"/>
    <col min="9" max="9" width="46" customWidth="1"/>
    <col min="10" max="11" width="21" customWidth="1"/>
    <col min="12" max="12" width="46" customWidth="1"/>
  </cols>
  <sheetData>
    <row r="1" spans="1:12" x14ac:dyDescent="0.25">
      <c r="A1" s="13" t="s">
        <v>59</v>
      </c>
      <c r="B1" s="13" t="s">
        <v>49</v>
      </c>
      <c r="C1" s="13" t="s">
        <v>63</v>
      </c>
      <c r="D1" s="13" t="s">
        <v>274</v>
      </c>
      <c r="E1" s="13" t="s">
        <v>277</v>
      </c>
      <c r="F1" s="13" t="s">
        <v>282</v>
      </c>
      <c r="G1" s="13" t="s">
        <v>21</v>
      </c>
      <c r="H1" s="13" t="s">
        <v>19</v>
      </c>
      <c r="I1" s="13" t="s">
        <v>293</v>
      </c>
      <c r="J1" s="13" t="s">
        <v>103</v>
      </c>
      <c r="K1" s="13" t="s">
        <v>36</v>
      </c>
      <c r="L1" s="13" t="s">
        <v>53</v>
      </c>
    </row>
    <row r="2" spans="1:12" ht="30" x14ac:dyDescent="0.25">
      <c r="A2" s="12" t="s">
        <v>70</v>
      </c>
      <c r="B2" s="12" t="s">
        <v>71</v>
      </c>
      <c r="C2" s="12" t="s">
        <v>76</v>
      </c>
      <c r="D2" s="12" t="s">
        <v>72</v>
      </c>
      <c r="E2" s="12" t="s">
        <v>73</v>
      </c>
      <c r="F2" s="12" t="s">
        <v>74</v>
      </c>
      <c r="G2" s="12" t="s">
        <v>77</v>
      </c>
      <c r="H2" s="12">
        <v>4</v>
      </c>
      <c r="I2" s="12" t="s">
        <v>294</v>
      </c>
      <c r="J2" s="11">
        <v>46181.338217592587</v>
      </c>
      <c r="K2" s="11">
        <v>46181.338217592587</v>
      </c>
      <c r="L2" s="12" t="s">
        <v>80</v>
      </c>
    </row>
  </sheetData>
  <autoFilter ref="A1:L2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21" customWidth="1"/>
    <col min="3" max="3" width="30" customWidth="1"/>
    <col min="4" max="4" width="31" customWidth="1"/>
    <col min="5" max="5" width="46" customWidth="1"/>
    <col min="6" max="7" width="11" customWidth="1"/>
  </cols>
  <sheetData>
    <row r="1" spans="1:7" x14ac:dyDescent="0.25">
      <c r="A1" s="13" t="s">
        <v>295</v>
      </c>
      <c r="B1" s="13" t="s">
        <v>296</v>
      </c>
      <c r="C1" s="13" t="s">
        <v>297</v>
      </c>
      <c r="D1" s="13" t="s">
        <v>298</v>
      </c>
      <c r="E1" s="13" t="s">
        <v>299</v>
      </c>
      <c r="F1" s="13" t="s">
        <v>300</v>
      </c>
      <c r="G1" s="13" t="s">
        <v>301</v>
      </c>
    </row>
    <row r="2" spans="1:7" ht="30" x14ac:dyDescent="0.25">
      <c r="A2" s="12">
        <v>1</v>
      </c>
      <c r="B2" s="11">
        <v>46178.648101851853</v>
      </c>
      <c r="C2" s="12" t="s">
        <v>302</v>
      </c>
      <c r="D2" s="12" t="s">
        <v>81</v>
      </c>
      <c r="E2" s="12" t="s">
        <v>303</v>
      </c>
      <c r="F2" s="12">
        <v>176</v>
      </c>
      <c r="G2" s="12"/>
    </row>
    <row r="3" spans="1:7" ht="30" x14ac:dyDescent="0.25">
      <c r="A3" s="12">
        <v>2</v>
      </c>
      <c r="B3" s="11">
        <v>46181.338217592587</v>
      </c>
      <c r="C3" s="12" t="s">
        <v>304</v>
      </c>
      <c r="D3" s="12" t="s">
        <v>82</v>
      </c>
      <c r="E3" s="12" t="s">
        <v>305</v>
      </c>
      <c r="F3" s="12">
        <v>176</v>
      </c>
      <c r="G3" s="12"/>
    </row>
  </sheetData>
  <autoFilter ref="A1:G3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77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1" customWidth="1"/>
    <col min="4" max="4" width="46" customWidth="1"/>
    <col min="5" max="5" width="23" customWidth="1"/>
    <col min="6" max="7" width="18" customWidth="1"/>
    <col min="8" max="8" width="11" customWidth="1"/>
    <col min="9" max="9" width="24" customWidth="1"/>
    <col min="10" max="10" width="46" customWidth="1"/>
    <col min="11" max="12" width="21" customWidth="1"/>
    <col min="13" max="13" width="11" customWidth="1"/>
    <col min="14" max="14" width="21" customWidth="1"/>
    <col min="15" max="15" width="12" customWidth="1"/>
    <col min="16" max="16" width="42" customWidth="1"/>
    <col min="17" max="17" width="14" customWidth="1"/>
    <col min="18" max="18" width="16" customWidth="1"/>
    <col min="19" max="19" width="28" customWidth="1"/>
    <col min="20" max="20" width="46" customWidth="1"/>
  </cols>
  <sheetData>
    <row r="1" spans="1:20" x14ac:dyDescent="0.25">
      <c r="A1" s="13" t="s">
        <v>59</v>
      </c>
      <c r="B1" s="13" t="s">
        <v>49</v>
      </c>
      <c r="C1" s="13" t="s">
        <v>63</v>
      </c>
      <c r="D1" s="13" t="s">
        <v>60</v>
      </c>
      <c r="E1" s="13" t="s">
        <v>24</v>
      </c>
      <c r="F1" s="13" t="s">
        <v>306</v>
      </c>
      <c r="G1" s="13" t="s">
        <v>61</v>
      </c>
      <c r="H1" s="13" t="s">
        <v>64</v>
      </c>
      <c r="I1" s="13" t="s">
        <v>21</v>
      </c>
      <c r="J1" s="13" t="s">
        <v>52</v>
      </c>
      <c r="K1" s="13" t="s">
        <v>307</v>
      </c>
      <c r="L1" s="13" t="s">
        <v>308</v>
      </c>
      <c r="M1" s="13" t="s">
        <v>309</v>
      </c>
      <c r="N1" s="13" t="s">
        <v>310</v>
      </c>
      <c r="O1" s="13" t="s">
        <v>311</v>
      </c>
      <c r="P1" s="13" t="s">
        <v>312</v>
      </c>
      <c r="Q1" s="13" t="s">
        <v>22</v>
      </c>
      <c r="R1" s="13" t="s">
        <v>313</v>
      </c>
      <c r="S1" s="13" t="s">
        <v>314</v>
      </c>
      <c r="T1" s="13" t="s">
        <v>53</v>
      </c>
    </row>
    <row r="2" spans="1:20" ht="30" x14ac:dyDescent="0.25">
      <c r="A2" s="12" t="s">
        <v>315</v>
      </c>
      <c r="B2" s="12" t="s">
        <v>316</v>
      </c>
      <c r="C2" s="12" t="s">
        <v>76</v>
      </c>
      <c r="D2" s="12"/>
      <c r="E2" s="12" t="s">
        <v>93</v>
      </c>
      <c r="F2" s="12" t="s">
        <v>317</v>
      </c>
      <c r="G2" s="12" t="s">
        <v>318</v>
      </c>
      <c r="H2" s="12" t="s">
        <v>319</v>
      </c>
      <c r="I2" s="12" t="s">
        <v>320</v>
      </c>
      <c r="J2" s="12" t="s">
        <v>321</v>
      </c>
      <c r="K2" s="11">
        <v>45573.370729166672</v>
      </c>
      <c r="L2" s="11">
        <v>45833.337280092594</v>
      </c>
      <c r="M2" s="15">
        <v>607.97</v>
      </c>
      <c r="N2" s="15">
        <v>348</v>
      </c>
      <c r="O2" s="12" t="b">
        <v>1</v>
      </c>
      <c r="P2" s="12" t="s">
        <v>322</v>
      </c>
      <c r="Q2" s="12">
        <v>5</v>
      </c>
      <c r="R2" s="12">
        <v>0</v>
      </c>
      <c r="S2" s="12">
        <v>2</v>
      </c>
      <c r="T2" s="12" t="s">
        <v>323</v>
      </c>
    </row>
    <row r="3" spans="1:20" ht="30" x14ac:dyDescent="0.25">
      <c r="A3" s="12" t="s">
        <v>324</v>
      </c>
      <c r="B3" s="12" t="s">
        <v>325</v>
      </c>
      <c r="C3" s="12" t="s">
        <v>76</v>
      </c>
      <c r="D3" s="12" t="s">
        <v>72</v>
      </c>
      <c r="E3" s="12" t="s">
        <v>326</v>
      </c>
      <c r="F3" s="12" t="s">
        <v>290</v>
      </c>
      <c r="G3" s="12" t="s">
        <v>327</v>
      </c>
      <c r="H3" s="12" t="s">
        <v>328</v>
      </c>
      <c r="I3" s="12" t="s">
        <v>329</v>
      </c>
      <c r="J3" s="12" t="s">
        <v>330</v>
      </c>
      <c r="K3" s="11">
        <v>45754.418657407397</v>
      </c>
      <c r="L3" s="11">
        <v>46148.332928240743</v>
      </c>
      <c r="M3" s="15">
        <v>426.92</v>
      </c>
      <c r="N3" s="15">
        <v>33.01</v>
      </c>
      <c r="O3" s="12" t="b">
        <v>0</v>
      </c>
      <c r="P3" s="12" t="s">
        <v>331</v>
      </c>
      <c r="Q3" s="12">
        <v>8</v>
      </c>
      <c r="R3" s="12">
        <v>0</v>
      </c>
      <c r="S3" s="12">
        <v>1</v>
      </c>
      <c r="T3" s="12" t="s">
        <v>332</v>
      </c>
    </row>
    <row r="4" spans="1:20" ht="30" x14ac:dyDescent="0.25">
      <c r="A4" s="12" t="s">
        <v>333</v>
      </c>
      <c r="B4" s="12" t="s">
        <v>334</v>
      </c>
      <c r="C4" s="12" t="s">
        <v>76</v>
      </c>
      <c r="D4" s="12"/>
      <c r="E4" s="12" t="s">
        <v>91</v>
      </c>
      <c r="F4" s="12" t="s">
        <v>317</v>
      </c>
      <c r="G4" s="12" t="s">
        <v>318</v>
      </c>
      <c r="H4" s="12" t="s">
        <v>335</v>
      </c>
      <c r="I4" s="12" t="s">
        <v>336</v>
      </c>
      <c r="J4" s="12" t="s">
        <v>337</v>
      </c>
      <c r="K4" s="11">
        <v>45756.823472222219</v>
      </c>
      <c r="L4" s="11">
        <v>45756.825775462959</v>
      </c>
      <c r="M4" s="15">
        <v>424.51</v>
      </c>
      <c r="N4" s="15">
        <v>424.51</v>
      </c>
      <c r="O4" s="12" t="b">
        <v>0</v>
      </c>
      <c r="P4" s="12" t="s">
        <v>331</v>
      </c>
      <c r="Q4" s="12">
        <v>4</v>
      </c>
      <c r="R4" s="12">
        <v>1</v>
      </c>
      <c r="S4" s="12">
        <v>1</v>
      </c>
      <c r="T4" s="12" t="s">
        <v>338</v>
      </c>
    </row>
    <row r="5" spans="1:20" ht="30" x14ac:dyDescent="0.25">
      <c r="A5" s="12" t="s">
        <v>339</v>
      </c>
      <c r="B5" s="12" t="s">
        <v>340</v>
      </c>
      <c r="C5" s="12" t="s">
        <v>76</v>
      </c>
      <c r="D5" s="12"/>
      <c r="E5" s="12" t="s">
        <v>91</v>
      </c>
      <c r="F5" s="12" t="s">
        <v>317</v>
      </c>
      <c r="G5" s="12" t="s">
        <v>74</v>
      </c>
      <c r="H5" s="12" t="s">
        <v>328</v>
      </c>
      <c r="I5" s="12" t="s">
        <v>77</v>
      </c>
      <c r="J5" s="12" t="s">
        <v>341</v>
      </c>
      <c r="K5" s="11">
        <v>45770.574224537027</v>
      </c>
      <c r="L5" s="11">
        <v>46078.397824074083</v>
      </c>
      <c r="M5" s="15">
        <v>410.76</v>
      </c>
      <c r="N5" s="15">
        <v>102.94</v>
      </c>
      <c r="O5" s="12" t="b">
        <v>1</v>
      </c>
      <c r="P5" s="12" t="s">
        <v>322</v>
      </c>
      <c r="Q5" s="12">
        <v>6</v>
      </c>
      <c r="R5" s="12">
        <v>0</v>
      </c>
      <c r="S5" s="12">
        <v>0</v>
      </c>
      <c r="T5" s="12" t="s">
        <v>342</v>
      </c>
    </row>
    <row r="6" spans="1:20" ht="30" x14ac:dyDescent="0.25">
      <c r="A6" s="12" t="s">
        <v>343</v>
      </c>
      <c r="B6" s="12" t="s">
        <v>344</v>
      </c>
      <c r="C6" s="12" t="s">
        <v>76</v>
      </c>
      <c r="D6" s="12"/>
      <c r="E6" s="12" t="s">
        <v>91</v>
      </c>
      <c r="F6" s="12" t="s">
        <v>317</v>
      </c>
      <c r="G6" s="12" t="s">
        <v>74</v>
      </c>
      <c r="H6" s="12" t="s">
        <v>78</v>
      </c>
      <c r="I6" s="12" t="s">
        <v>345</v>
      </c>
      <c r="J6" s="12" t="s">
        <v>346</v>
      </c>
      <c r="K6" s="11">
        <v>45804.498541666668</v>
      </c>
      <c r="L6" s="11">
        <v>46129.350636574083</v>
      </c>
      <c r="M6" s="15">
        <v>376.84</v>
      </c>
      <c r="N6" s="15">
        <v>51.99</v>
      </c>
      <c r="O6" s="12" t="b">
        <v>1</v>
      </c>
      <c r="P6" s="12" t="s">
        <v>322</v>
      </c>
      <c r="Q6" s="12">
        <v>7</v>
      </c>
      <c r="R6" s="12">
        <v>0</v>
      </c>
      <c r="S6" s="12">
        <v>0</v>
      </c>
      <c r="T6" s="12" t="s">
        <v>347</v>
      </c>
    </row>
    <row r="7" spans="1:20" ht="30" x14ac:dyDescent="0.25">
      <c r="A7" s="12" t="s">
        <v>348</v>
      </c>
      <c r="B7" s="12" t="s">
        <v>349</v>
      </c>
      <c r="C7" s="12" t="s">
        <v>76</v>
      </c>
      <c r="D7" s="12"/>
      <c r="E7" s="12" t="s">
        <v>91</v>
      </c>
      <c r="F7" s="12" t="s">
        <v>317</v>
      </c>
      <c r="G7" s="12" t="s">
        <v>318</v>
      </c>
      <c r="H7" s="12" t="s">
        <v>335</v>
      </c>
      <c r="I7" s="12" t="s">
        <v>320</v>
      </c>
      <c r="J7" s="12" t="s">
        <v>350</v>
      </c>
      <c r="K7" s="11">
        <v>45805.280902777777</v>
      </c>
      <c r="L7" s="11">
        <v>46127.347928240742</v>
      </c>
      <c r="M7" s="15">
        <v>376.06</v>
      </c>
      <c r="N7" s="15">
        <v>53.99</v>
      </c>
      <c r="O7" s="12" t="b">
        <v>1</v>
      </c>
      <c r="P7" s="12" t="s">
        <v>351</v>
      </c>
      <c r="Q7" s="12">
        <v>3</v>
      </c>
      <c r="R7" s="12">
        <v>0</v>
      </c>
      <c r="S7" s="12">
        <v>0</v>
      </c>
      <c r="T7" s="12" t="s">
        <v>352</v>
      </c>
    </row>
    <row r="8" spans="1:20" ht="30" x14ac:dyDescent="0.25">
      <c r="A8" s="12" t="s">
        <v>353</v>
      </c>
      <c r="B8" s="12" t="s">
        <v>354</v>
      </c>
      <c r="C8" s="12" t="s">
        <v>76</v>
      </c>
      <c r="D8" s="12"/>
      <c r="E8" s="12" t="s">
        <v>91</v>
      </c>
      <c r="F8" s="12" t="s">
        <v>317</v>
      </c>
      <c r="G8" s="12" t="s">
        <v>318</v>
      </c>
      <c r="H8" s="12" t="s">
        <v>335</v>
      </c>
      <c r="I8" s="12" t="s">
        <v>355</v>
      </c>
      <c r="J8" s="12" t="s">
        <v>356</v>
      </c>
      <c r="K8" s="11">
        <v>45805.285833333342</v>
      </c>
      <c r="L8" s="11">
        <v>46127.348599537043</v>
      </c>
      <c r="M8" s="15">
        <v>376.05</v>
      </c>
      <c r="N8" s="15">
        <v>53.99</v>
      </c>
      <c r="O8" s="12" t="b">
        <v>0</v>
      </c>
      <c r="P8" s="12" t="s">
        <v>331</v>
      </c>
      <c r="Q8" s="12">
        <v>2</v>
      </c>
      <c r="R8" s="12">
        <v>0</v>
      </c>
      <c r="S8" s="12">
        <v>0</v>
      </c>
      <c r="T8" s="12" t="s">
        <v>357</v>
      </c>
    </row>
    <row r="9" spans="1:20" ht="30" x14ac:dyDescent="0.25">
      <c r="A9" s="12" t="s">
        <v>358</v>
      </c>
      <c r="B9" s="12" t="s">
        <v>359</v>
      </c>
      <c r="C9" s="12" t="s">
        <v>76</v>
      </c>
      <c r="D9" s="12"/>
      <c r="E9" s="12" t="s">
        <v>94</v>
      </c>
      <c r="F9" s="12" t="s">
        <v>290</v>
      </c>
      <c r="G9" s="12" t="s">
        <v>318</v>
      </c>
      <c r="H9" s="12" t="s">
        <v>335</v>
      </c>
      <c r="I9" s="12" t="s">
        <v>77</v>
      </c>
      <c r="J9" s="12" t="s">
        <v>360</v>
      </c>
      <c r="K9" s="11">
        <v>45805.290763888886</v>
      </c>
      <c r="L9" s="11">
        <v>46092.383819444447</v>
      </c>
      <c r="M9" s="15">
        <v>376.05</v>
      </c>
      <c r="N9" s="15">
        <v>88.95</v>
      </c>
      <c r="O9" s="12" t="b">
        <v>0</v>
      </c>
      <c r="P9" s="12" t="s">
        <v>331</v>
      </c>
      <c r="Q9" s="12">
        <v>4</v>
      </c>
      <c r="R9" s="12">
        <v>1</v>
      </c>
      <c r="S9" s="12">
        <v>0</v>
      </c>
      <c r="T9" s="12" t="s">
        <v>361</v>
      </c>
    </row>
    <row r="10" spans="1:20" ht="30" x14ac:dyDescent="0.25">
      <c r="A10" s="12" t="s">
        <v>362</v>
      </c>
      <c r="B10" s="12" t="s">
        <v>363</v>
      </c>
      <c r="C10" s="12" t="s">
        <v>76</v>
      </c>
      <c r="D10" s="12"/>
      <c r="E10" s="12" t="s">
        <v>91</v>
      </c>
      <c r="F10" s="12" t="s">
        <v>317</v>
      </c>
      <c r="G10" s="12" t="s">
        <v>318</v>
      </c>
      <c r="H10" s="12" t="s">
        <v>335</v>
      </c>
      <c r="I10" s="12" t="s">
        <v>320</v>
      </c>
      <c r="J10" s="12" t="s">
        <v>364</v>
      </c>
      <c r="K10" s="11">
        <v>45805.353692129633</v>
      </c>
      <c r="L10" s="11">
        <v>46127.348171296297</v>
      </c>
      <c r="M10" s="15">
        <v>375.98</v>
      </c>
      <c r="N10" s="15">
        <v>53.99</v>
      </c>
      <c r="O10" s="12" t="b">
        <v>0</v>
      </c>
      <c r="P10" s="12" t="s">
        <v>331</v>
      </c>
      <c r="Q10" s="12">
        <v>0</v>
      </c>
      <c r="R10" s="12">
        <v>0</v>
      </c>
      <c r="S10" s="12">
        <v>0</v>
      </c>
      <c r="T10" s="12" t="s">
        <v>365</v>
      </c>
    </row>
    <row r="11" spans="1:20" ht="30" x14ac:dyDescent="0.25">
      <c r="A11" s="12" t="s">
        <v>366</v>
      </c>
      <c r="B11" s="12" t="s">
        <v>367</v>
      </c>
      <c r="C11" s="12" t="s">
        <v>76</v>
      </c>
      <c r="D11" s="12" t="s">
        <v>92</v>
      </c>
      <c r="E11" s="12" t="s">
        <v>91</v>
      </c>
      <c r="F11" s="12" t="s">
        <v>317</v>
      </c>
      <c r="G11" s="12" t="s">
        <v>327</v>
      </c>
      <c r="H11" s="12" t="s">
        <v>328</v>
      </c>
      <c r="I11" s="12" t="s">
        <v>345</v>
      </c>
      <c r="J11" s="12" t="s">
        <v>368</v>
      </c>
      <c r="K11" s="11">
        <v>45812.603425925918</v>
      </c>
      <c r="L11" s="11">
        <v>46113.509629629632</v>
      </c>
      <c r="M11" s="15">
        <v>368.73</v>
      </c>
      <c r="N11" s="15">
        <v>67.83</v>
      </c>
      <c r="O11" s="12" t="b">
        <v>1</v>
      </c>
      <c r="P11" s="12" t="s">
        <v>322</v>
      </c>
      <c r="Q11" s="12">
        <v>8</v>
      </c>
      <c r="R11" s="12">
        <v>0</v>
      </c>
      <c r="S11" s="12">
        <v>2</v>
      </c>
      <c r="T11" s="12" t="s">
        <v>369</v>
      </c>
    </row>
    <row r="12" spans="1:20" ht="30" x14ac:dyDescent="0.25">
      <c r="A12" s="12" t="s">
        <v>370</v>
      </c>
      <c r="B12" s="12" t="s">
        <v>371</v>
      </c>
      <c r="C12" s="12" t="s">
        <v>76</v>
      </c>
      <c r="D12" s="12"/>
      <c r="E12" s="12" t="s">
        <v>91</v>
      </c>
      <c r="F12" s="12" t="s">
        <v>317</v>
      </c>
      <c r="G12" s="12" t="s">
        <v>327</v>
      </c>
      <c r="H12" s="12" t="s">
        <v>335</v>
      </c>
      <c r="I12" s="12" t="s">
        <v>372</v>
      </c>
      <c r="J12" s="12" t="s">
        <v>373</v>
      </c>
      <c r="K12" s="11">
        <v>45833.500300925924</v>
      </c>
      <c r="L12" s="11">
        <v>45833.500335648147</v>
      </c>
      <c r="M12" s="15">
        <v>347.84</v>
      </c>
      <c r="N12" s="15">
        <v>347.84</v>
      </c>
      <c r="O12" s="12" t="b">
        <v>0</v>
      </c>
      <c r="P12" s="12" t="s">
        <v>331</v>
      </c>
      <c r="Q12" s="12">
        <v>0</v>
      </c>
      <c r="R12" s="12">
        <v>0</v>
      </c>
      <c r="S12" s="12">
        <v>0</v>
      </c>
      <c r="T12" s="12" t="s">
        <v>374</v>
      </c>
    </row>
    <row r="13" spans="1:20" ht="30" x14ac:dyDescent="0.25">
      <c r="A13" s="12" t="s">
        <v>375</v>
      </c>
      <c r="B13" s="12" t="s">
        <v>376</v>
      </c>
      <c r="C13" s="12" t="s">
        <v>76</v>
      </c>
      <c r="D13" s="12" t="s">
        <v>92</v>
      </c>
      <c r="E13" s="12" t="s">
        <v>96</v>
      </c>
      <c r="F13" s="12" t="s">
        <v>317</v>
      </c>
      <c r="G13" s="12" t="s">
        <v>318</v>
      </c>
      <c r="H13" s="12" t="s">
        <v>78</v>
      </c>
      <c r="I13" s="12" t="s">
        <v>77</v>
      </c>
      <c r="J13" s="12" t="s">
        <v>377</v>
      </c>
      <c r="K13" s="11">
        <v>45848.637129629627</v>
      </c>
      <c r="L13" s="11">
        <v>46113.507592592592</v>
      </c>
      <c r="M13" s="15">
        <v>332.7</v>
      </c>
      <c r="N13" s="15">
        <v>67.83</v>
      </c>
      <c r="O13" s="12" t="b">
        <v>1</v>
      </c>
      <c r="P13" s="12" t="s">
        <v>322</v>
      </c>
      <c r="Q13" s="12">
        <v>4</v>
      </c>
      <c r="R13" s="12">
        <v>0</v>
      </c>
      <c r="S13" s="12">
        <v>0</v>
      </c>
      <c r="T13" s="12" t="s">
        <v>378</v>
      </c>
    </row>
    <row r="14" spans="1:20" ht="45" x14ac:dyDescent="0.25">
      <c r="A14" s="12" t="s">
        <v>379</v>
      </c>
      <c r="B14" s="12" t="s">
        <v>380</v>
      </c>
      <c r="C14" s="12" t="s">
        <v>76</v>
      </c>
      <c r="D14" s="12" t="s">
        <v>89</v>
      </c>
      <c r="E14" s="12" t="s">
        <v>88</v>
      </c>
      <c r="F14" s="12" t="s">
        <v>290</v>
      </c>
      <c r="G14" s="12" t="s">
        <v>74</v>
      </c>
      <c r="H14" s="12" t="s">
        <v>328</v>
      </c>
      <c r="I14" s="12" t="s">
        <v>345</v>
      </c>
      <c r="J14" s="12" t="s">
        <v>381</v>
      </c>
      <c r="K14" s="11">
        <v>45849.570069444453</v>
      </c>
      <c r="L14" s="11">
        <v>46148.347453703696</v>
      </c>
      <c r="M14" s="15">
        <v>331.77</v>
      </c>
      <c r="N14" s="15">
        <v>32.99</v>
      </c>
      <c r="O14" s="12" t="b">
        <v>0</v>
      </c>
      <c r="P14" s="12" t="s">
        <v>331</v>
      </c>
      <c r="Q14" s="12">
        <v>4</v>
      </c>
      <c r="R14" s="12">
        <v>0</v>
      </c>
      <c r="S14" s="12">
        <v>1</v>
      </c>
      <c r="T14" s="12" t="s">
        <v>382</v>
      </c>
    </row>
    <row r="15" spans="1:20" ht="30" x14ac:dyDescent="0.25">
      <c r="A15" s="12" t="s">
        <v>383</v>
      </c>
      <c r="B15" s="12" t="s">
        <v>384</v>
      </c>
      <c r="C15" s="12" t="s">
        <v>76</v>
      </c>
      <c r="D15" s="12" t="s">
        <v>92</v>
      </c>
      <c r="E15" s="12" t="s">
        <v>94</v>
      </c>
      <c r="F15" s="12" t="s">
        <v>290</v>
      </c>
      <c r="G15" s="12" t="s">
        <v>74</v>
      </c>
      <c r="H15" s="12" t="s">
        <v>328</v>
      </c>
      <c r="I15" s="12" t="s">
        <v>385</v>
      </c>
      <c r="J15" s="12" t="s">
        <v>386</v>
      </c>
      <c r="K15" s="11">
        <v>45933.636863425927</v>
      </c>
      <c r="L15" s="11">
        <v>46162.321539351848</v>
      </c>
      <c r="M15" s="15">
        <v>247.7</v>
      </c>
      <c r="N15" s="15">
        <v>19.02</v>
      </c>
      <c r="O15" s="12" t="b">
        <v>1</v>
      </c>
      <c r="P15" s="12" t="s">
        <v>322</v>
      </c>
      <c r="Q15" s="12">
        <v>7</v>
      </c>
      <c r="R15" s="12">
        <v>1</v>
      </c>
      <c r="S15" s="12">
        <v>0</v>
      </c>
      <c r="T15" s="12" t="s">
        <v>387</v>
      </c>
    </row>
    <row r="16" spans="1:20" ht="30" x14ac:dyDescent="0.25">
      <c r="A16" s="12" t="s">
        <v>388</v>
      </c>
      <c r="B16" s="12" t="s">
        <v>389</v>
      </c>
      <c r="C16" s="12" t="s">
        <v>76</v>
      </c>
      <c r="D16" s="12"/>
      <c r="E16" s="12" t="s">
        <v>91</v>
      </c>
      <c r="F16" s="12" t="s">
        <v>317</v>
      </c>
      <c r="G16" s="12" t="s">
        <v>74</v>
      </c>
      <c r="H16" s="12" t="s">
        <v>78</v>
      </c>
      <c r="I16" s="12" t="s">
        <v>320</v>
      </c>
      <c r="J16" s="12" t="s">
        <v>390</v>
      </c>
      <c r="K16" s="11">
        <v>45937.491076388891</v>
      </c>
      <c r="L16" s="11">
        <v>45938.319212962961</v>
      </c>
      <c r="M16" s="15">
        <v>243.85</v>
      </c>
      <c r="N16" s="15">
        <v>243.02</v>
      </c>
      <c r="O16" s="12" t="b">
        <v>0</v>
      </c>
      <c r="P16" s="12" t="s">
        <v>331</v>
      </c>
      <c r="Q16" s="12">
        <v>0</v>
      </c>
      <c r="R16" s="12">
        <v>0</v>
      </c>
      <c r="S16" s="12">
        <v>0</v>
      </c>
      <c r="T16" s="12" t="s">
        <v>391</v>
      </c>
    </row>
    <row r="17" spans="1:20" ht="30" x14ac:dyDescent="0.25">
      <c r="A17" s="12" t="s">
        <v>392</v>
      </c>
      <c r="B17" s="12" t="s">
        <v>393</v>
      </c>
      <c r="C17" s="12" t="s">
        <v>76</v>
      </c>
      <c r="D17" s="12"/>
      <c r="E17" s="12" t="s">
        <v>91</v>
      </c>
      <c r="F17" s="12" t="s">
        <v>317</v>
      </c>
      <c r="G17" s="12" t="s">
        <v>74</v>
      </c>
      <c r="H17" s="12" t="s">
        <v>78</v>
      </c>
      <c r="I17" s="12" t="s">
        <v>320</v>
      </c>
      <c r="J17" s="12" t="s">
        <v>394</v>
      </c>
      <c r="K17" s="11">
        <v>45937.516631944447</v>
      </c>
      <c r="L17" s="11">
        <v>45938.326562499999</v>
      </c>
      <c r="M17" s="15">
        <v>243.82</v>
      </c>
      <c r="N17" s="15">
        <v>243.01</v>
      </c>
      <c r="O17" s="12" t="b">
        <v>0</v>
      </c>
      <c r="P17" s="12" t="s">
        <v>331</v>
      </c>
      <c r="Q17" s="12">
        <v>0</v>
      </c>
      <c r="R17" s="12">
        <v>0</v>
      </c>
      <c r="S17" s="12">
        <v>0</v>
      </c>
      <c r="T17" s="12" t="s">
        <v>395</v>
      </c>
    </row>
    <row r="18" spans="1:20" ht="30" x14ac:dyDescent="0.25">
      <c r="A18" s="12" t="s">
        <v>396</v>
      </c>
      <c r="B18" s="12" t="s">
        <v>397</v>
      </c>
      <c r="C18" s="12" t="s">
        <v>76</v>
      </c>
      <c r="D18" s="12"/>
      <c r="E18" s="12" t="s">
        <v>91</v>
      </c>
      <c r="F18" s="12" t="s">
        <v>317</v>
      </c>
      <c r="G18" s="12" t="s">
        <v>74</v>
      </c>
      <c r="H18" s="12" t="s">
        <v>78</v>
      </c>
      <c r="I18" s="12" t="s">
        <v>320</v>
      </c>
      <c r="J18" s="12" t="s">
        <v>398</v>
      </c>
      <c r="K18" s="11">
        <v>45937.517893518518</v>
      </c>
      <c r="L18" s="11">
        <v>45938.326284722221</v>
      </c>
      <c r="M18" s="15">
        <v>243.82</v>
      </c>
      <c r="N18" s="15">
        <v>243.01</v>
      </c>
      <c r="O18" s="12" t="b">
        <v>0</v>
      </c>
      <c r="P18" s="12" t="s">
        <v>331</v>
      </c>
      <c r="Q18" s="12">
        <v>0</v>
      </c>
      <c r="R18" s="12">
        <v>0</v>
      </c>
      <c r="S18" s="12">
        <v>0</v>
      </c>
      <c r="T18" s="12" t="s">
        <v>399</v>
      </c>
    </row>
    <row r="19" spans="1:20" ht="30" x14ac:dyDescent="0.25">
      <c r="A19" s="12" t="s">
        <v>400</v>
      </c>
      <c r="B19" s="12" t="s">
        <v>401</v>
      </c>
      <c r="C19" s="12" t="s">
        <v>76</v>
      </c>
      <c r="D19" s="12"/>
      <c r="E19" s="12" t="s">
        <v>91</v>
      </c>
      <c r="F19" s="12" t="s">
        <v>317</v>
      </c>
      <c r="G19" s="12" t="s">
        <v>74</v>
      </c>
      <c r="H19" s="12" t="s">
        <v>78</v>
      </c>
      <c r="I19" s="12" t="s">
        <v>320</v>
      </c>
      <c r="J19" s="12" t="s">
        <v>402</v>
      </c>
      <c r="K19" s="11">
        <v>45937.518750000003</v>
      </c>
      <c r="L19" s="11">
        <v>45938.324861111112</v>
      </c>
      <c r="M19" s="15">
        <v>243.82</v>
      </c>
      <c r="N19" s="15">
        <v>243.01</v>
      </c>
      <c r="O19" s="12" t="b">
        <v>0</v>
      </c>
      <c r="P19" s="12" t="s">
        <v>331</v>
      </c>
      <c r="Q19" s="12">
        <v>0</v>
      </c>
      <c r="R19" s="12">
        <v>0</v>
      </c>
      <c r="S19" s="12">
        <v>0</v>
      </c>
      <c r="T19" s="12" t="s">
        <v>403</v>
      </c>
    </row>
    <row r="20" spans="1:20" ht="30" x14ac:dyDescent="0.25">
      <c r="A20" s="12" t="s">
        <v>404</v>
      </c>
      <c r="B20" s="12" t="s">
        <v>405</v>
      </c>
      <c r="C20" s="12" t="s">
        <v>76</v>
      </c>
      <c r="D20" s="12"/>
      <c r="E20" s="12" t="s">
        <v>91</v>
      </c>
      <c r="F20" s="12" t="s">
        <v>317</v>
      </c>
      <c r="G20" s="12" t="s">
        <v>74</v>
      </c>
      <c r="H20" s="12" t="s">
        <v>78</v>
      </c>
      <c r="I20" s="12" t="s">
        <v>320</v>
      </c>
      <c r="J20" s="12" t="s">
        <v>406</v>
      </c>
      <c r="K20" s="11">
        <v>45937.51934027778</v>
      </c>
      <c r="L20" s="11">
        <v>45938.319594907407</v>
      </c>
      <c r="M20" s="15">
        <v>243.82</v>
      </c>
      <c r="N20" s="15">
        <v>243.02</v>
      </c>
      <c r="O20" s="12" t="b">
        <v>0</v>
      </c>
      <c r="P20" s="12" t="s">
        <v>331</v>
      </c>
      <c r="Q20" s="12">
        <v>0</v>
      </c>
      <c r="R20" s="12">
        <v>0</v>
      </c>
      <c r="S20" s="12">
        <v>0</v>
      </c>
      <c r="T20" s="12" t="s">
        <v>407</v>
      </c>
    </row>
    <row r="21" spans="1:20" ht="30" x14ac:dyDescent="0.25">
      <c r="A21" s="12" t="s">
        <v>408</v>
      </c>
      <c r="B21" s="12" t="s">
        <v>409</v>
      </c>
      <c r="C21" s="12" t="s">
        <v>76</v>
      </c>
      <c r="D21" s="12" t="s">
        <v>72</v>
      </c>
      <c r="E21" s="12" t="s">
        <v>88</v>
      </c>
      <c r="F21" s="12" t="s">
        <v>290</v>
      </c>
      <c r="G21" s="12" t="s">
        <v>74</v>
      </c>
      <c r="H21" s="12" t="s">
        <v>328</v>
      </c>
      <c r="I21" s="12" t="s">
        <v>345</v>
      </c>
      <c r="J21" s="12" t="s">
        <v>410</v>
      </c>
      <c r="K21" s="11">
        <v>45943.528379629628</v>
      </c>
      <c r="L21" s="11">
        <v>46178.403425925928</v>
      </c>
      <c r="M21" s="15">
        <v>237.81</v>
      </c>
      <c r="N21" s="15">
        <v>2.93</v>
      </c>
      <c r="O21" s="12" t="b">
        <v>0</v>
      </c>
      <c r="P21" s="12" t="s">
        <v>331</v>
      </c>
      <c r="Q21" s="12">
        <v>2</v>
      </c>
      <c r="R21" s="12">
        <v>0</v>
      </c>
      <c r="S21" s="12">
        <v>0</v>
      </c>
      <c r="T21" s="12" t="s">
        <v>411</v>
      </c>
    </row>
    <row r="22" spans="1:20" ht="30" x14ac:dyDescent="0.25">
      <c r="A22" s="12" t="s">
        <v>412</v>
      </c>
      <c r="B22" s="12" t="s">
        <v>413</v>
      </c>
      <c r="C22" s="12" t="s">
        <v>76</v>
      </c>
      <c r="D22" s="12" t="s">
        <v>414</v>
      </c>
      <c r="E22" s="12" t="s">
        <v>326</v>
      </c>
      <c r="F22" s="12" t="s">
        <v>290</v>
      </c>
      <c r="G22" s="12" t="s">
        <v>327</v>
      </c>
      <c r="H22" s="12" t="s">
        <v>335</v>
      </c>
      <c r="I22" s="12" t="s">
        <v>345</v>
      </c>
      <c r="J22" s="12" t="s">
        <v>415</v>
      </c>
      <c r="K22" s="11">
        <v>45957.56658564815</v>
      </c>
      <c r="L22" s="11">
        <v>46126.623460648138</v>
      </c>
      <c r="M22" s="15">
        <v>223.77</v>
      </c>
      <c r="N22" s="15">
        <v>54.71</v>
      </c>
      <c r="O22" s="12" t="b">
        <v>1</v>
      </c>
      <c r="P22" s="12" t="s">
        <v>322</v>
      </c>
      <c r="Q22" s="12">
        <v>0</v>
      </c>
      <c r="R22" s="12">
        <v>0</v>
      </c>
      <c r="S22" s="12">
        <v>0</v>
      </c>
      <c r="T22" s="12" t="s">
        <v>416</v>
      </c>
    </row>
    <row r="23" spans="1:20" ht="30" x14ac:dyDescent="0.25">
      <c r="A23" s="12" t="s">
        <v>417</v>
      </c>
      <c r="B23" s="12" t="s">
        <v>418</v>
      </c>
      <c r="C23" s="12" t="s">
        <v>76</v>
      </c>
      <c r="D23" s="12" t="s">
        <v>72</v>
      </c>
      <c r="E23" s="12" t="s">
        <v>91</v>
      </c>
      <c r="F23" s="12" t="s">
        <v>317</v>
      </c>
      <c r="G23" s="12" t="s">
        <v>74</v>
      </c>
      <c r="H23" s="12" t="s">
        <v>419</v>
      </c>
      <c r="I23" s="12" t="s">
        <v>355</v>
      </c>
      <c r="J23" s="12" t="s">
        <v>420</v>
      </c>
      <c r="K23" s="11">
        <v>45959.560636574082</v>
      </c>
      <c r="L23" s="11">
        <v>46175.413726851853</v>
      </c>
      <c r="M23" s="15">
        <v>221.78</v>
      </c>
      <c r="N23" s="15">
        <v>5.92</v>
      </c>
      <c r="O23" s="12" t="b">
        <v>1</v>
      </c>
      <c r="P23" s="12" t="s">
        <v>322</v>
      </c>
      <c r="Q23" s="12">
        <v>5</v>
      </c>
      <c r="R23" s="12">
        <v>0</v>
      </c>
      <c r="S23" s="12">
        <v>2</v>
      </c>
      <c r="T23" s="12" t="s">
        <v>421</v>
      </c>
    </row>
    <row r="24" spans="1:20" ht="30" x14ac:dyDescent="0.25">
      <c r="A24" s="12" t="s">
        <v>422</v>
      </c>
      <c r="B24" s="12" t="s">
        <v>423</v>
      </c>
      <c r="C24" s="12" t="s">
        <v>76</v>
      </c>
      <c r="D24" s="12" t="s">
        <v>90</v>
      </c>
      <c r="E24" s="12" t="s">
        <v>88</v>
      </c>
      <c r="F24" s="12" t="s">
        <v>290</v>
      </c>
      <c r="G24" s="12" t="s">
        <v>318</v>
      </c>
      <c r="H24" s="12" t="s">
        <v>78</v>
      </c>
      <c r="I24" s="12" t="s">
        <v>355</v>
      </c>
      <c r="J24" s="12" t="s">
        <v>424</v>
      </c>
      <c r="K24" s="11">
        <v>45960.691921296297</v>
      </c>
      <c r="L24" s="11">
        <v>46126.623449074083</v>
      </c>
      <c r="M24" s="15">
        <v>220.65</v>
      </c>
      <c r="N24" s="15">
        <v>54.71</v>
      </c>
      <c r="O24" s="12" t="b">
        <v>1</v>
      </c>
      <c r="P24" s="12" t="s">
        <v>322</v>
      </c>
      <c r="Q24" s="12">
        <v>1</v>
      </c>
      <c r="R24" s="12">
        <v>0</v>
      </c>
      <c r="S24" s="12">
        <v>1</v>
      </c>
      <c r="T24" s="12" t="s">
        <v>425</v>
      </c>
    </row>
    <row r="25" spans="1:20" ht="30" x14ac:dyDescent="0.25">
      <c r="A25" s="12" t="s">
        <v>426</v>
      </c>
      <c r="B25" s="12" t="s">
        <v>427</v>
      </c>
      <c r="C25" s="12" t="s">
        <v>76</v>
      </c>
      <c r="D25" s="12" t="s">
        <v>90</v>
      </c>
      <c r="E25" s="12" t="s">
        <v>88</v>
      </c>
      <c r="F25" s="12" t="s">
        <v>290</v>
      </c>
      <c r="G25" s="12" t="s">
        <v>74</v>
      </c>
      <c r="H25" s="12" t="s">
        <v>335</v>
      </c>
      <c r="I25" s="12" t="s">
        <v>79</v>
      </c>
      <c r="J25" s="12" t="s">
        <v>428</v>
      </c>
      <c r="K25" s="11">
        <v>45987.293020833327</v>
      </c>
      <c r="L25" s="11">
        <v>46153.432199074072</v>
      </c>
      <c r="M25" s="15">
        <v>194.05</v>
      </c>
      <c r="N25" s="15">
        <v>27.91</v>
      </c>
      <c r="O25" s="12" t="b">
        <v>0</v>
      </c>
      <c r="P25" s="12" t="s">
        <v>331</v>
      </c>
      <c r="Q25" s="12">
        <v>3</v>
      </c>
      <c r="R25" s="12">
        <v>0</v>
      </c>
      <c r="S25" s="12">
        <v>0</v>
      </c>
      <c r="T25" s="12" t="s">
        <v>429</v>
      </c>
    </row>
    <row r="26" spans="1:20" ht="30" x14ac:dyDescent="0.25">
      <c r="A26" s="12" t="s">
        <v>430</v>
      </c>
      <c r="B26" s="12" t="s">
        <v>431</v>
      </c>
      <c r="C26" s="12" t="s">
        <v>76</v>
      </c>
      <c r="D26" s="12"/>
      <c r="E26" s="12" t="s">
        <v>91</v>
      </c>
      <c r="F26" s="12" t="s">
        <v>317</v>
      </c>
      <c r="G26" s="12" t="s">
        <v>74</v>
      </c>
      <c r="H26" s="12" t="s">
        <v>335</v>
      </c>
      <c r="I26" s="12" t="s">
        <v>336</v>
      </c>
      <c r="J26" s="12" t="s">
        <v>432</v>
      </c>
      <c r="K26" s="11">
        <v>45989.369872685187</v>
      </c>
      <c r="L26" s="11">
        <v>45992.483483796299</v>
      </c>
      <c r="M26" s="15">
        <v>191.97</v>
      </c>
      <c r="N26" s="15">
        <v>188.85</v>
      </c>
      <c r="O26" s="12" t="b">
        <v>0</v>
      </c>
      <c r="P26" s="12" t="s">
        <v>331</v>
      </c>
      <c r="Q26" s="12">
        <v>0</v>
      </c>
      <c r="R26" s="12">
        <v>0</v>
      </c>
      <c r="S26" s="12">
        <v>0</v>
      </c>
      <c r="T26" s="12" t="s">
        <v>433</v>
      </c>
    </row>
    <row r="27" spans="1:20" ht="30" x14ac:dyDescent="0.25">
      <c r="A27" s="12" t="s">
        <v>434</v>
      </c>
      <c r="B27" s="12" t="s">
        <v>435</v>
      </c>
      <c r="C27" s="12" t="s">
        <v>76</v>
      </c>
      <c r="D27" s="12"/>
      <c r="E27" s="12" t="s">
        <v>96</v>
      </c>
      <c r="F27" s="12" t="s">
        <v>317</v>
      </c>
      <c r="G27" s="12" t="s">
        <v>318</v>
      </c>
      <c r="H27" s="12" t="s">
        <v>78</v>
      </c>
      <c r="I27" s="12" t="s">
        <v>77</v>
      </c>
      <c r="J27" s="12" t="s">
        <v>436</v>
      </c>
      <c r="K27" s="11">
        <v>46002.446770833332</v>
      </c>
      <c r="L27" s="11">
        <v>46090.402905092589</v>
      </c>
      <c r="M27" s="15">
        <v>178.89</v>
      </c>
      <c r="N27" s="15">
        <v>90.94</v>
      </c>
      <c r="O27" s="12" t="b">
        <v>1</v>
      </c>
      <c r="P27" s="12" t="s">
        <v>322</v>
      </c>
      <c r="Q27" s="12">
        <v>4</v>
      </c>
      <c r="R27" s="12">
        <v>1</v>
      </c>
      <c r="S27" s="12">
        <v>0</v>
      </c>
      <c r="T27" s="12" t="s">
        <v>437</v>
      </c>
    </row>
    <row r="28" spans="1:20" ht="30" x14ac:dyDescent="0.25">
      <c r="A28" s="12" t="s">
        <v>438</v>
      </c>
      <c r="B28" s="12" t="s">
        <v>439</v>
      </c>
      <c r="C28" s="12" t="s">
        <v>76</v>
      </c>
      <c r="D28" s="12"/>
      <c r="E28" s="12" t="s">
        <v>91</v>
      </c>
      <c r="F28" s="12" t="s">
        <v>317</v>
      </c>
      <c r="G28" s="12" t="s">
        <v>74</v>
      </c>
      <c r="H28" s="12" t="s">
        <v>335</v>
      </c>
      <c r="I28" s="12" t="s">
        <v>440</v>
      </c>
      <c r="J28" s="12" t="s">
        <v>441</v>
      </c>
      <c r="K28" s="11">
        <v>46002.458553240736</v>
      </c>
      <c r="L28" s="11">
        <v>46002.45857638889</v>
      </c>
      <c r="M28" s="15">
        <v>178.88</v>
      </c>
      <c r="N28" s="15">
        <v>178.88</v>
      </c>
      <c r="O28" s="12" t="b">
        <v>1</v>
      </c>
      <c r="P28" s="12" t="s">
        <v>322</v>
      </c>
      <c r="Q28" s="12">
        <v>0</v>
      </c>
      <c r="R28" s="12">
        <v>0</v>
      </c>
      <c r="S28" s="12">
        <v>0</v>
      </c>
      <c r="T28" s="12" t="s">
        <v>442</v>
      </c>
    </row>
    <row r="29" spans="1:20" ht="30" x14ac:dyDescent="0.25">
      <c r="A29" s="12" t="s">
        <v>443</v>
      </c>
      <c r="B29" s="12" t="s">
        <v>444</v>
      </c>
      <c r="C29" s="12" t="s">
        <v>76</v>
      </c>
      <c r="D29" s="12" t="s">
        <v>445</v>
      </c>
      <c r="E29" s="12" t="s">
        <v>446</v>
      </c>
      <c r="F29" s="12" t="s">
        <v>317</v>
      </c>
      <c r="G29" s="12" t="s">
        <v>447</v>
      </c>
      <c r="H29" s="12" t="s">
        <v>328</v>
      </c>
      <c r="I29" s="12" t="s">
        <v>448</v>
      </c>
      <c r="J29" s="12" t="s">
        <v>449</v>
      </c>
      <c r="K29" s="11">
        <v>46006.429942129631</v>
      </c>
      <c r="L29" s="11">
        <v>46133.410844907397</v>
      </c>
      <c r="M29" s="15">
        <v>174.91</v>
      </c>
      <c r="N29" s="15">
        <v>47.93</v>
      </c>
      <c r="O29" s="12" t="b">
        <v>1</v>
      </c>
      <c r="P29" s="12" t="s">
        <v>322</v>
      </c>
      <c r="Q29" s="12">
        <v>10</v>
      </c>
      <c r="R29" s="12">
        <v>1</v>
      </c>
      <c r="S29" s="12">
        <v>1</v>
      </c>
      <c r="T29" s="12" t="s">
        <v>450</v>
      </c>
    </row>
    <row r="30" spans="1:20" ht="30" x14ac:dyDescent="0.25">
      <c r="A30" s="12" t="s">
        <v>451</v>
      </c>
      <c r="B30" s="12" t="s">
        <v>452</v>
      </c>
      <c r="C30" s="12" t="s">
        <v>76</v>
      </c>
      <c r="D30" s="12"/>
      <c r="E30" s="12" t="s">
        <v>91</v>
      </c>
      <c r="F30" s="12" t="s">
        <v>317</v>
      </c>
      <c r="G30" s="12" t="s">
        <v>74</v>
      </c>
      <c r="H30" s="12" t="s">
        <v>319</v>
      </c>
      <c r="I30" s="12" t="s">
        <v>345</v>
      </c>
      <c r="J30" s="12" t="s">
        <v>453</v>
      </c>
      <c r="K30" s="11">
        <v>46007.686574074083</v>
      </c>
      <c r="L30" s="11">
        <v>46078.412430555552</v>
      </c>
      <c r="M30" s="15">
        <v>173.65</v>
      </c>
      <c r="N30" s="15">
        <v>102.93</v>
      </c>
      <c r="O30" s="12" t="b">
        <v>0</v>
      </c>
      <c r="P30" s="12" t="s">
        <v>331</v>
      </c>
      <c r="Q30" s="12">
        <v>3</v>
      </c>
      <c r="R30" s="12">
        <v>1</v>
      </c>
      <c r="S30" s="12">
        <v>0</v>
      </c>
      <c r="T30" s="12" t="s">
        <v>454</v>
      </c>
    </row>
    <row r="31" spans="1:20" ht="30" x14ac:dyDescent="0.25">
      <c r="A31" s="12" t="s">
        <v>455</v>
      </c>
      <c r="B31" s="12" t="s">
        <v>456</v>
      </c>
      <c r="C31" s="12" t="s">
        <v>76</v>
      </c>
      <c r="D31" s="12"/>
      <c r="E31" s="12" t="s">
        <v>91</v>
      </c>
      <c r="F31" s="12" t="s">
        <v>317</v>
      </c>
      <c r="G31" s="12" t="s">
        <v>74</v>
      </c>
      <c r="H31" s="12" t="s">
        <v>335</v>
      </c>
      <c r="I31" s="12" t="s">
        <v>345</v>
      </c>
      <c r="J31" s="12" t="s">
        <v>457</v>
      </c>
      <c r="K31" s="11">
        <v>46007.68891203704</v>
      </c>
      <c r="L31" s="11">
        <v>46106.39335648148</v>
      </c>
      <c r="M31" s="15">
        <v>173.65</v>
      </c>
      <c r="N31" s="15">
        <v>74.94</v>
      </c>
      <c r="O31" s="12" t="b">
        <v>0</v>
      </c>
      <c r="P31" s="12" t="s">
        <v>331</v>
      </c>
      <c r="Q31" s="12">
        <v>1</v>
      </c>
      <c r="R31" s="12">
        <v>0</v>
      </c>
      <c r="S31" s="12">
        <v>0</v>
      </c>
      <c r="T31" s="12" t="s">
        <v>458</v>
      </c>
    </row>
    <row r="32" spans="1:20" ht="30" x14ac:dyDescent="0.25">
      <c r="A32" s="12" t="s">
        <v>459</v>
      </c>
      <c r="B32" s="12" t="s">
        <v>460</v>
      </c>
      <c r="C32" s="12" t="s">
        <v>76</v>
      </c>
      <c r="D32" s="12"/>
      <c r="E32" s="12" t="s">
        <v>91</v>
      </c>
      <c r="F32" s="12" t="s">
        <v>317</v>
      </c>
      <c r="G32" s="12" t="s">
        <v>327</v>
      </c>
      <c r="H32" s="12" t="s">
        <v>335</v>
      </c>
      <c r="I32" s="12" t="s">
        <v>440</v>
      </c>
      <c r="J32" s="12" t="s">
        <v>461</v>
      </c>
      <c r="K32" s="11">
        <v>46014.621631944443</v>
      </c>
      <c r="L32" s="11">
        <v>46014.621655092589</v>
      </c>
      <c r="M32" s="15">
        <v>166.72</v>
      </c>
      <c r="N32" s="15">
        <v>166.72</v>
      </c>
      <c r="O32" s="12" t="b">
        <v>0</v>
      </c>
      <c r="P32" s="12" t="s">
        <v>331</v>
      </c>
      <c r="Q32" s="12">
        <v>0</v>
      </c>
      <c r="R32" s="12">
        <v>0</v>
      </c>
      <c r="S32" s="12">
        <v>0</v>
      </c>
      <c r="T32" s="12" t="s">
        <v>462</v>
      </c>
    </row>
    <row r="33" spans="1:20" ht="30" x14ac:dyDescent="0.25">
      <c r="A33" s="12" t="s">
        <v>463</v>
      </c>
      <c r="B33" s="12" t="s">
        <v>464</v>
      </c>
      <c r="C33" s="12" t="s">
        <v>76</v>
      </c>
      <c r="D33" s="12" t="s">
        <v>465</v>
      </c>
      <c r="E33" s="12" t="s">
        <v>466</v>
      </c>
      <c r="F33" s="12" t="s">
        <v>290</v>
      </c>
      <c r="G33" s="12" t="s">
        <v>447</v>
      </c>
      <c r="H33" s="12" t="s">
        <v>335</v>
      </c>
      <c r="I33" s="12" t="s">
        <v>336</v>
      </c>
      <c r="J33" s="12" t="s">
        <v>467</v>
      </c>
      <c r="K33" s="11">
        <v>46030.528877314813</v>
      </c>
      <c r="L33" s="11">
        <v>46178.570613425924</v>
      </c>
      <c r="M33" s="15">
        <v>150.81</v>
      </c>
      <c r="N33" s="15">
        <v>2.77</v>
      </c>
      <c r="O33" s="12" t="b">
        <v>0</v>
      </c>
      <c r="P33" s="12" t="s">
        <v>331</v>
      </c>
      <c r="Q33" s="12">
        <v>3</v>
      </c>
      <c r="R33" s="12">
        <v>1</v>
      </c>
      <c r="S33" s="12">
        <v>0</v>
      </c>
      <c r="T33" s="12" t="s">
        <v>468</v>
      </c>
    </row>
    <row r="34" spans="1:20" ht="30" x14ac:dyDescent="0.25">
      <c r="A34" s="12" t="s">
        <v>469</v>
      </c>
      <c r="B34" s="12" t="s">
        <v>470</v>
      </c>
      <c r="C34" s="12" t="s">
        <v>76</v>
      </c>
      <c r="D34" s="12"/>
      <c r="E34" s="12" t="s">
        <v>91</v>
      </c>
      <c r="F34" s="12" t="s">
        <v>317</v>
      </c>
      <c r="G34" s="12" t="s">
        <v>74</v>
      </c>
      <c r="H34" s="12" t="s">
        <v>319</v>
      </c>
      <c r="I34" s="12" t="s">
        <v>79</v>
      </c>
      <c r="J34" s="12" t="s">
        <v>471</v>
      </c>
      <c r="K34" s="11">
        <v>46031.369837962957</v>
      </c>
      <c r="L34" s="11">
        <v>46031.36986111111</v>
      </c>
      <c r="M34" s="15">
        <v>149.97</v>
      </c>
      <c r="N34" s="15">
        <v>149.97</v>
      </c>
      <c r="O34" s="12" t="b">
        <v>0</v>
      </c>
      <c r="P34" s="12" t="s">
        <v>331</v>
      </c>
      <c r="Q34" s="12">
        <v>0</v>
      </c>
      <c r="R34" s="12">
        <v>0</v>
      </c>
      <c r="S34" s="12">
        <v>0</v>
      </c>
      <c r="T34" s="12" t="s">
        <v>472</v>
      </c>
    </row>
    <row r="35" spans="1:20" ht="30" x14ac:dyDescent="0.25">
      <c r="A35" s="12" t="s">
        <v>473</v>
      </c>
      <c r="B35" s="12" t="s">
        <v>474</v>
      </c>
      <c r="C35" s="12" t="s">
        <v>76</v>
      </c>
      <c r="D35" s="12" t="s">
        <v>92</v>
      </c>
      <c r="E35" s="12" t="s">
        <v>93</v>
      </c>
      <c r="F35" s="12" t="s">
        <v>317</v>
      </c>
      <c r="G35" s="12" t="s">
        <v>318</v>
      </c>
      <c r="H35" s="12" t="s">
        <v>78</v>
      </c>
      <c r="I35" s="12" t="s">
        <v>345</v>
      </c>
      <c r="J35" s="12" t="s">
        <v>475</v>
      </c>
      <c r="K35" s="11">
        <v>46031.654513888891</v>
      </c>
      <c r="L35" s="11">
        <v>46113.350370370368</v>
      </c>
      <c r="M35" s="15">
        <v>149.68</v>
      </c>
      <c r="N35" s="15">
        <v>67.989999999999995</v>
      </c>
      <c r="O35" s="12" t="b">
        <v>1</v>
      </c>
      <c r="P35" s="12" t="s">
        <v>322</v>
      </c>
      <c r="Q35" s="12">
        <v>2</v>
      </c>
      <c r="R35" s="12">
        <v>0</v>
      </c>
      <c r="S35" s="12">
        <v>0</v>
      </c>
      <c r="T35" s="12" t="s">
        <v>476</v>
      </c>
    </row>
    <row r="36" spans="1:20" ht="30" x14ac:dyDescent="0.25">
      <c r="A36" s="12" t="s">
        <v>477</v>
      </c>
      <c r="B36" s="12" t="s">
        <v>478</v>
      </c>
      <c r="C36" s="12" t="s">
        <v>76</v>
      </c>
      <c r="D36" s="12"/>
      <c r="E36" s="12" t="s">
        <v>91</v>
      </c>
      <c r="F36" s="12" t="s">
        <v>317</v>
      </c>
      <c r="G36" s="12" t="s">
        <v>479</v>
      </c>
      <c r="H36" s="12" t="s">
        <v>335</v>
      </c>
      <c r="I36" s="12" t="s">
        <v>440</v>
      </c>
      <c r="J36" s="12" t="s">
        <v>480</v>
      </c>
      <c r="K36" s="11">
        <v>46036.531145833331</v>
      </c>
      <c r="L36" s="11">
        <v>46037.597303240742</v>
      </c>
      <c r="M36" s="15">
        <v>144.81</v>
      </c>
      <c r="N36" s="15">
        <v>143.74</v>
      </c>
      <c r="O36" s="12" t="b">
        <v>0</v>
      </c>
      <c r="P36" s="12" t="s">
        <v>331</v>
      </c>
      <c r="Q36" s="12">
        <v>0</v>
      </c>
      <c r="R36" s="12">
        <v>0</v>
      </c>
      <c r="S36" s="12">
        <v>0</v>
      </c>
      <c r="T36" s="12" t="s">
        <v>481</v>
      </c>
    </row>
    <row r="37" spans="1:20" ht="45" x14ac:dyDescent="0.25">
      <c r="A37" s="12" t="s">
        <v>482</v>
      </c>
      <c r="B37" s="12" t="s">
        <v>483</v>
      </c>
      <c r="C37" s="12" t="s">
        <v>76</v>
      </c>
      <c r="D37" s="12" t="s">
        <v>465</v>
      </c>
      <c r="E37" s="12" t="s">
        <v>326</v>
      </c>
      <c r="F37" s="12" t="s">
        <v>290</v>
      </c>
      <c r="G37" s="12" t="s">
        <v>447</v>
      </c>
      <c r="H37" s="12" t="s">
        <v>328</v>
      </c>
      <c r="I37" s="12" t="s">
        <v>336</v>
      </c>
      <c r="J37" s="12" t="s">
        <v>484</v>
      </c>
      <c r="K37" s="11">
        <v>46037.462465277778</v>
      </c>
      <c r="L37" s="11">
        <v>46178.54074074074</v>
      </c>
      <c r="M37" s="15">
        <v>143.88</v>
      </c>
      <c r="N37" s="15">
        <v>2.8</v>
      </c>
      <c r="O37" s="12" t="b">
        <v>1</v>
      </c>
      <c r="P37" s="12" t="s">
        <v>322</v>
      </c>
      <c r="Q37" s="12">
        <v>6</v>
      </c>
      <c r="R37" s="12">
        <v>4</v>
      </c>
      <c r="S37" s="12">
        <v>0</v>
      </c>
      <c r="T37" s="12" t="s">
        <v>485</v>
      </c>
    </row>
    <row r="38" spans="1:20" ht="30" x14ac:dyDescent="0.25">
      <c r="A38" s="12" t="s">
        <v>486</v>
      </c>
      <c r="B38" s="12" t="s">
        <v>487</v>
      </c>
      <c r="C38" s="12" t="s">
        <v>76</v>
      </c>
      <c r="D38" s="12" t="s">
        <v>72</v>
      </c>
      <c r="E38" s="12" t="s">
        <v>91</v>
      </c>
      <c r="F38" s="12" t="s">
        <v>317</v>
      </c>
      <c r="G38" s="12" t="s">
        <v>327</v>
      </c>
      <c r="H38" s="12" t="s">
        <v>335</v>
      </c>
      <c r="I38" s="12" t="s">
        <v>440</v>
      </c>
      <c r="J38" s="12" t="s">
        <v>488</v>
      </c>
      <c r="K38" s="11">
        <v>46043.538715277777</v>
      </c>
      <c r="L38" s="11">
        <v>46113.355636574073</v>
      </c>
      <c r="M38" s="15">
        <v>137.80000000000001</v>
      </c>
      <c r="N38" s="15">
        <v>67.98</v>
      </c>
      <c r="O38" s="12" t="b">
        <v>0</v>
      </c>
      <c r="P38" s="12" t="s">
        <v>331</v>
      </c>
      <c r="Q38" s="12">
        <v>1</v>
      </c>
      <c r="R38" s="12">
        <v>1</v>
      </c>
      <c r="S38" s="12">
        <v>0</v>
      </c>
      <c r="T38" s="12" t="s">
        <v>489</v>
      </c>
    </row>
    <row r="39" spans="1:20" ht="45" x14ac:dyDescent="0.25">
      <c r="A39" s="12" t="s">
        <v>490</v>
      </c>
      <c r="B39" s="12" t="s">
        <v>491</v>
      </c>
      <c r="C39" s="12" t="s">
        <v>76</v>
      </c>
      <c r="D39" s="12"/>
      <c r="E39" s="12" t="s">
        <v>96</v>
      </c>
      <c r="F39" s="12" t="s">
        <v>317</v>
      </c>
      <c r="G39" s="12" t="s">
        <v>74</v>
      </c>
      <c r="H39" s="12" t="s">
        <v>319</v>
      </c>
      <c r="I39" s="12" t="s">
        <v>336</v>
      </c>
      <c r="J39" s="12" t="s">
        <v>492</v>
      </c>
      <c r="K39" s="11">
        <v>46050.360775462963</v>
      </c>
      <c r="L39" s="11">
        <v>46092.582789351851</v>
      </c>
      <c r="M39" s="15">
        <v>130.97999999999999</v>
      </c>
      <c r="N39" s="15">
        <v>88.76</v>
      </c>
      <c r="O39" s="12" t="b">
        <v>1</v>
      </c>
      <c r="P39" s="12" t="s">
        <v>322</v>
      </c>
      <c r="Q39" s="12">
        <v>0</v>
      </c>
      <c r="R39" s="12">
        <v>1</v>
      </c>
      <c r="S39" s="12">
        <v>1</v>
      </c>
      <c r="T39" s="12" t="s">
        <v>493</v>
      </c>
    </row>
    <row r="40" spans="1:20" ht="30" x14ac:dyDescent="0.25">
      <c r="A40" s="12" t="s">
        <v>494</v>
      </c>
      <c r="B40" s="12" t="s">
        <v>495</v>
      </c>
      <c r="C40" s="12" t="s">
        <v>76</v>
      </c>
      <c r="D40" s="12" t="s">
        <v>90</v>
      </c>
      <c r="E40" s="12" t="s">
        <v>91</v>
      </c>
      <c r="F40" s="12" t="s">
        <v>317</v>
      </c>
      <c r="G40" s="12" t="s">
        <v>74</v>
      </c>
      <c r="H40" s="12" t="s">
        <v>335</v>
      </c>
      <c r="I40" s="12" t="s">
        <v>345</v>
      </c>
      <c r="J40" s="12" t="s">
        <v>496</v>
      </c>
      <c r="K40" s="11">
        <v>46070.43891203704</v>
      </c>
      <c r="L40" s="11">
        <v>46126.623437499999</v>
      </c>
      <c r="M40" s="15">
        <v>110.9</v>
      </c>
      <c r="N40" s="15">
        <v>54.71</v>
      </c>
      <c r="O40" s="12" t="b">
        <v>0</v>
      </c>
      <c r="P40" s="12" t="s">
        <v>331</v>
      </c>
      <c r="Q40" s="12">
        <v>3</v>
      </c>
      <c r="R40" s="12">
        <v>0</v>
      </c>
      <c r="S40" s="12">
        <v>0</v>
      </c>
      <c r="T40" s="12" t="s">
        <v>497</v>
      </c>
    </row>
    <row r="41" spans="1:20" ht="45" x14ac:dyDescent="0.25">
      <c r="A41" s="12" t="s">
        <v>498</v>
      </c>
      <c r="B41" s="12" t="s">
        <v>499</v>
      </c>
      <c r="C41" s="12" t="s">
        <v>76</v>
      </c>
      <c r="D41" s="12"/>
      <c r="E41" s="12" t="s">
        <v>446</v>
      </c>
      <c r="F41" s="12" t="s">
        <v>317</v>
      </c>
      <c r="G41" s="12" t="s">
        <v>447</v>
      </c>
      <c r="H41" s="12" t="s">
        <v>335</v>
      </c>
      <c r="I41" s="12" t="s">
        <v>77</v>
      </c>
      <c r="J41" s="12" t="s">
        <v>500</v>
      </c>
      <c r="K41" s="11">
        <v>46071.481712962966</v>
      </c>
      <c r="L41" s="11">
        <v>46140.416145833333</v>
      </c>
      <c r="M41" s="15">
        <v>109.86</v>
      </c>
      <c r="N41" s="15">
        <v>40.92</v>
      </c>
      <c r="O41" s="12" t="b">
        <v>0</v>
      </c>
      <c r="P41" s="12" t="s">
        <v>331</v>
      </c>
      <c r="Q41" s="12">
        <v>0</v>
      </c>
      <c r="R41" s="12">
        <v>0</v>
      </c>
      <c r="S41" s="12">
        <v>0</v>
      </c>
      <c r="T41" s="12" t="s">
        <v>501</v>
      </c>
    </row>
    <row r="42" spans="1:20" ht="30" x14ac:dyDescent="0.25">
      <c r="A42" s="12" t="s">
        <v>502</v>
      </c>
      <c r="B42" s="12" t="s">
        <v>503</v>
      </c>
      <c r="C42" s="12" t="s">
        <v>76</v>
      </c>
      <c r="D42" s="12" t="s">
        <v>72</v>
      </c>
      <c r="E42" s="12" t="s">
        <v>91</v>
      </c>
      <c r="F42" s="12" t="s">
        <v>317</v>
      </c>
      <c r="G42" s="12" t="s">
        <v>74</v>
      </c>
      <c r="H42" s="12" t="s">
        <v>335</v>
      </c>
      <c r="I42" s="12" t="s">
        <v>345</v>
      </c>
      <c r="J42" s="12" t="s">
        <v>504</v>
      </c>
      <c r="K42" s="11">
        <v>46076.562175925923</v>
      </c>
      <c r="L42" s="11">
        <v>46106.382928240739</v>
      </c>
      <c r="M42" s="15">
        <v>104.78</v>
      </c>
      <c r="N42" s="15">
        <v>74.959999999999994</v>
      </c>
      <c r="O42" s="12" t="b">
        <v>0</v>
      </c>
      <c r="P42" s="12" t="s">
        <v>331</v>
      </c>
      <c r="Q42" s="12">
        <v>0</v>
      </c>
      <c r="R42" s="12">
        <v>0</v>
      </c>
      <c r="S42" s="12">
        <v>0</v>
      </c>
      <c r="T42" s="12" t="s">
        <v>505</v>
      </c>
    </row>
    <row r="43" spans="1:20" ht="45" x14ac:dyDescent="0.25">
      <c r="A43" s="12" t="s">
        <v>506</v>
      </c>
      <c r="B43" s="12" t="s">
        <v>507</v>
      </c>
      <c r="C43" s="12" t="s">
        <v>76</v>
      </c>
      <c r="D43" s="12"/>
      <c r="E43" s="12" t="s">
        <v>446</v>
      </c>
      <c r="F43" s="12" t="s">
        <v>317</v>
      </c>
      <c r="G43" s="12" t="s">
        <v>447</v>
      </c>
      <c r="H43" s="12" t="s">
        <v>335</v>
      </c>
      <c r="I43" s="12" t="s">
        <v>448</v>
      </c>
      <c r="J43" s="12" t="s">
        <v>508</v>
      </c>
      <c r="K43" s="11">
        <v>46076.646724537037</v>
      </c>
      <c r="L43" s="11">
        <v>46133.413124999999</v>
      </c>
      <c r="M43" s="15">
        <v>104.69</v>
      </c>
      <c r="N43" s="15">
        <v>47.93</v>
      </c>
      <c r="O43" s="12" t="b">
        <v>0</v>
      </c>
      <c r="P43" s="12" t="s">
        <v>331</v>
      </c>
      <c r="Q43" s="12">
        <v>0</v>
      </c>
      <c r="R43" s="12">
        <v>0</v>
      </c>
      <c r="S43" s="12">
        <v>0</v>
      </c>
      <c r="T43" s="12" t="s">
        <v>509</v>
      </c>
    </row>
    <row r="44" spans="1:20" ht="30" x14ac:dyDescent="0.25">
      <c r="A44" s="12" t="s">
        <v>510</v>
      </c>
      <c r="B44" s="12" t="s">
        <v>511</v>
      </c>
      <c r="C44" s="12" t="s">
        <v>76</v>
      </c>
      <c r="D44" s="12" t="s">
        <v>90</v>
      </c>
      <c r="E44" s="12" t="s">
        <v>91</v>
      </c>
      <c r="F44" s="12" t="s">
        <v>317</v>
      </c>
      <c r="G44" s="12" t="s">
        <v>74</v>
      </c>
      <c r="H44" s="12" t="s">
        <v>328</v>
      </c>
      <c r="I44" s="12" t="s">
        <v>345</v>
      </c>
      <c r="J44" s="12" t="s">
        <v>512</v>
      </c>
      <c r="K44" s="11">
        <v>46077.451886574083</v>
      </c>
      <c r="L44" s="11">
        <v>46126.623437499999</v>
      </c>
      <c r="M44" s="15">
        <v>103.89</v>
      </c>
      <c r="N44" s="15">
        <v>54.71</v>
      </c>
      <c r="O44" s="12" t="b">
        <v>0</v>
      </c>
      <c r="P44" s="12" t="s">
        <v>331</v>
      </c>
      <c r="Q44" s="12">
        <v>0</v>
      </c>
      <c r="R44" s="12">
        <v>3</v>
      </c>
      <c r="S44" s="12">
        <v>1</v>
      </c>
      <c r="T44" s="12" t="s">
        <v>513</v>
      </c>
    </row>
    <row r="45" spans="1:20" ht="30" x14ac:dyDescent="0.25">
      <c r="A45" s="12" t="s">
        <v>514</v>
      </c>
      <c r="B45" s="12" t="s">
        <v>515</v>
      </c>
      <c r="C45" s="12" t="s">
        <v>76</v>
      </c>
      <c r="D45" s="12" t="s">
        <v>72</v>
      </c>
      <c r="E45" s="12" t="s">
        <v>96</v>
      </c>
      <c r="F45" s="12" t="s">
        <v>317</v>
      </c>
      <c r="G45" s="12" t="s">
        <v>74</v>
      </c>
      <c r="H45" s="12" t="s">
        <v>328</v>
      </c>
      <c r="I45" s="12" t="s">
        <v>77</v>
      </c>
      <c r="J45" s="12" t="s">
        <v>516</v>
      </c>
      <c r="K45" s="11">
        <v>46077.667604166672</v>
      </c>
      <c r="L45" s="11">
        <v>46146.619722222233</v>
      </c>
      <c r="M45" s="15">
        <v>103.67</v>
      </c>
      <c r="N45" s="15">
        <v>34.72</v>
      </c>
      <c r="O45" s="12" t="b">
        <v>1</v>
      </c>
      <c r="P45" s="12" t="s">
        <v>322</v>
      </c>
      <c r="Q45" s="12">
        <v>0</v>
      </c>
      <c r="R45" s="12">
        <v>2</v>
      </c>
      <c r="S45" s="12">
        <v>0</v>
      </c>
      <c r="T45" s="12" t="s">
        <v>517</v>
      </c>
    </row>
    <row r="46" spans="1:20" ht="30" x14ac:dyDescent="0.25">
      <c r="A46" s="12" t="s">
        <v>518</v>
      </c>
      <c r="B46" s="12" t="s">
        <v>519</v>
      </c>
      <c r="C46" s="12" t="s">
        <v>76</v>
      </c>
      <c r="D46" s="12" t="s">
        <v>72</v>
      </c>
      <c r="E46" s="12" t="s">
        <v>91</v>
      </c>
      <c r="F46" s="12" t="s">
        <v>317</v>
      </c>
      <c r="G46" s="12" t="s">
        <v>74</v>
      </c>
      <c r="H46" s="12" t="s">
        <v>335</v>
      </c>
      <c r="I46" s="12" t="s">
        <v>79</v>
      </c>
      <c r="J46" s="12" t="s">
        <v>520</v>
      </c>
      <c r="K46" s="11">
        <v>46077.715520833342</v>
      </c>
      <c r="L46" s="11">
        <v>46141.502800925933</v>
      </c>
      <c r="M46" s="15">
        <v>103.62</v>
      </c>
      <c r="N46" s="15">
        <v>39.840000000000003</v>
      </c>
      <c r="O46" s="12" t="b">
        <v>1</v>
      </c>
      <c r="P46" s="12" t="s">
        <v>351</v>
      </c>
      <c r="Q46" s="12">
        <v>0</v>
      </c>
      <c r="R46" s="12">
        <v>0</v>
      </c>
      <c r="S46" s="12">
        <v>0</v>
      </c>
      <c r="T46" s="12" t="s">
        <v>521</v>
      </c>
    </row>
    <row r="47" spans="1:20" ht="30" x14ac:dyDescent="0.25">
      <c r="A47" s="12" t="s">
        <v>522</v>
      </c>
      <c r="B47" s="12" t="s">
        <v>523</v>
      </c>
      <c r="C47" s="12" t="s">
        <v>76</v>
      </c>
      <c r="D47" s="12" t="s">
        <v>72</v>
      </c>
      <c r="E47" s="12" t="s">
        <v>91</v>
      </c>
      <c r="F47" s="12" t="s">
        <v>317</v>
      </c>
      <c r="G47" s="12" t="s">
        <v>74</v>
      </c>
      <c r="H47" s="12" t="s">
        <v>335</v>
      </c>
      <c r="I47" s="12" t="s">
        <v>79</v>
      </c>
      <c r="J47" s="12" t="s">
        <v>524</v>
      </c>
      <c r="K47" s="11">
        <v>46077.719467592593</v>
      </c>
      <c r="L47" s="11">
        <v>46141.502905092602</v>
      </c>
      <c r="M47" s="15">
        <v>103.62</v>
      </c>
      <c r="N47" s="15">
        <v>39.840000000000003</v>
      </c>
      <c r="O47" s="12" t="b">
        <v>1</v>
      </c>
      <c r="P47" s="12" t="s">
        <v>351</v>
      </c>
      <c r="Q47" s="12">
        <v>0</v>
      </c>
      <c r="R47" s="12">
        <v>0</v>
      </c>
      <c r="S47" s="12">
        <v>0</v>
      </c>
      <c r="T47" s="12" t="s">
        <v>525</v>
      </c>
    </row>
    <row r="48" spans="1:20" ht="30" x14ac:dyDescent="0.25">
      <c r="A48" s="12" t="s">
        <v>526</v>
      </c>
      <c r="B48" s="12" t="s">
        <v>527</v>
      </c>
      <c r="C48" s="12" t="s">
        <v>76</v>
      </c>
      <c r="D48" s="12" t="s">
        <v>72</v>
      </c>
      <c r="E48" s="12" t="s">
        <v>91</v>
      </c>
      <c r="F48" s="12" t="s">
        <v>317</v>
      </c>
      <c r="G48" s="12" t="s">
        <v>74</v>
      </c>
      <c r="H48" s="12" t="s">
        <v>335</v>
      </c>
      <c r="I48" s="12" t="s">
        <v>345</v>
      </c>
      <c r="J48" s="12" t="s">
        <v>528</v>
      </c>
      <c r="K48" s="11">
        <v>46078.459780092591</v>
      </c>
      <c r="L48" s="11">
        <v>46106.382581018523</v>
      </c>
      <c r="M48" s="15">
        <v>102.88</v>
      </c>
      <c r="N48" s="15">
        <v>74.959999999999994</v>
      </c>
      <c r="O48" s="12" t="b">
        <v>0</v>
      </c>
      <c r="P48" s="12" t="s">
        <v>331</v>
      </c>
      <c r="Q48" s="12">
        <v>1</v>
      </c>
      <c r="R48" s="12">
        <v>0</v>
      </c>
      <c r="S48" s="12">
        <v>0</v>
      </c>
      <c r="T48" s="12" t="s">
        <v>529</v>
      </c>
    </row>
    <row r="49" spans="1:20" ht="30" x14ac:dyDescent="0.25">
      <c r="A49" s="12" t="s">
        <v>530</v>
      </c>
      <c r="B49" s="12" t="s">
        <v>531</v>
      </c>
      <c r="C49" s="12" t="s">
        <v>76</v>
      </c>
      <c r="D49" s="12"/>
      <c r="E49" s="12" t="s">
        <v>446</v>
      </c>
      <c r="F49" s="12" t="s">
        <v>317</v>
      </c>
      <c r="G49" s="12" t="s">
        <v>447</v>
      </c>
      <c r="H49" s="12" t="s">
        <v>319</v>
      </c>
      <c r="I49" s="12" t="s">
        <v>336</v>
      </c>
      <c r="J49" s="12" t="s">
        <v>532</v>
      </c>
      <c r="K49" s="11">
        <v>46083.711180555547</v>
      </c>
      <c r="L49" s="11">
        <v>46174.638032407413</v>
      </c>
      <c r="M49" s="15">
        <v>97.63</v>
      </c>
      <c r="N49" s="15">
        <v>6.7</v>
      </c>
      <c r="O49" s="12" t="b">
        <v>0</v>
      </c>
      <c r="P49" s="12" t="s">
        <v>331</v>
      </c>
      <c r="Q49" s="12">
        <v>1</v>
      </c>
      <c r="R49" s="12">
        <v>4</v>
      </c>
      <c r="S49" s="12">
        <v>0</v>
      </c>
      <c r="T49" s="12" t="s">
        <v>533</v>
      </c>
    </row>
    <row r="50" spans="1:20" ht="30" x14ac:dyDescent="0.25">
      <c r="A50" s="12" t="s">
        <v>534</v>
      </c>
      <c r="B50" s="12" t="s">
        <v>535</v>
      </c>
      <c r="C50" s="12" t="s">
        <v>76</v>
      </c>
      <c r="D50" s="12" t="s">
        <v>92</v>
      </c>
      <c r="E50" s="12" t="s">
        <v>88</v>
      </c>
      <c r="F50" s="12" t="s">
        <v>290</v>
      </c>
      <c r="G50" s="12" t="s">
        <v>74</v>
      </c>
      <c r="H50" s="12" t="s">
        <v>328</v>
      </c>
      <c r="I50" s="12" t="s">
        <v>440</v>
      </c>
      <c r="J50" s="12" t="s">
        <v>536</v>
      </c>
      <c r="K50" s="11">
        <v>46084.446956018517</v>
      </c>
      <c r="L50" s="11">
        <v>46108.636631944442</v>
      </c>
      <c r="M50" s="15">
        <v>96.89</v>
      </c>
      <c r="N50" s="15">
        <v>72.7</v>
      </c>
      <c r="O50" s="12" t="b">
        <v>0</v>
      </c>
      <c r="P50" s="12" t="s">
        <v>331</v>
      </c>
      <c r="Q50" s="12">
        <v>0</v>
      </c>
      <c r="R50" s="12">
        <v>0</v>
      </c>
      <c r="S50" s="12">
        <v>0</v>
      </c>
      <c r="T50" s="12" t="s">
        <v>537</v>
      </c>
    </row>
    <row r="51" spans="1:20" ht="30" x14ac:dyDescent="0.25">
      <c r="A51" s="12" t="s">
        <v>538</v>
      </c>
      <c r="B51" s="12" t="s">
        <v>539</v>
      </c>
      <c r="C51" s="12" t="s">
        <v>76</v>
      </c>
      <c r="D51" s="12"/>
      <c r="E51" s="12" t="s">
        <v>91</v>
      </c>
      <c r="F51" s="12" t="s">
        <v>317</v>
      </c>
      <c r="G51" s="12" t="s">
        <v>74</v>
      </c>
      <c r="H51" s="12" t="s">
        <v>335</v>
      </c>
      <c r="I51" s="12" t="s">
        <v>355</v>
      </c>
      <c r="J51" s="12" t="s">
        <v>540</v>
      </c>
      <c r="K51" s="11">
        <v>46091.19667824074</v>
      </c>
      <c r="L51" s="11">
        <v>46106.382175925923</v>
      </c>
      <c r="M51" s="15">
        <v>90.14</v>
      </c>
      <c r="N51" s="15">
        <v>74.959999999999994</v>
      </c>
      <c r="O51" s="12" t="b">
        <v>0</v>
      </c>
      <c r="P51" s="12" t="s">
        <v>331</v>
      </c>
      <c r="Q51" s="12">
        <v>1</v>
      </c>
      <c r="R51" s="12">
        <v>0</v>
      </c>
      <c r="S51" s="12">
        <v>0</v>
      </c>
      <c r="T51" s="12" t="s">
        <v>541</v>
      </c>
    </row>
    <row r="52" spans="1:20" ht="30" x14ac:dyDescent="0.25">
      <c r="A52" s="12" t="s">
        <v>542</v>
      </c>
      <c r="B52" s="12" t="s">
        <v>543</v>
      </c>
      <c r="C52" s="12" t="s">
        <v>76</v>
      </c>
      <c r="D52" s="12" t="s">
        <v>72</v>
      </c>
      <c r="E52" s="12" t="s">
        <v>96</v>
      </c>
      <c r="F52" s="12" t="s">
        <v>317</v>
      </c>
      <c r="G52" s="12" t="s">
        <v>74</v>
      </c>
      <c r="H52" s="12" t="s">
        <v>328</v>
      </c>
      <c r="I52" s="12" t="s">
        <v>336</v>
      </c>
      <c r="J52" s="12" t="s">
        <v>544</v>
      </c>
      <c r="K52" s="11">
        <v>46092.587222222217</v>
      </c>
      <c r="L52" s="11">
        <v>46141.501458333332</v>
      </c>
      <c r="M52" s="15">
        <v>88.75</v>
      </c>
      <c r="N52" s="15">
        <v>39.840000000000003</v>
      </c>
      <c r="O52" s="12" t="b">
        <v>1</v>
      </c>
      <c r="P52" s="12" t="s">
        <v>322</v>
      </c>
      <c r="Q52" s="12">
        <v>3</v>
      </c>
      <c r="R52" s="12">
        <v>1</v>
      </c>
      <c r="S52" s="12">
        <v>1</v>
      </c>
      <c r="T52" s="12" t="s">
        <v>545</v>
      </c>
    </row>
    <row r="53" spans="1:20" ht="30" x14ac:dyDescent="0.25">
      <c r="A53" s="12" t="s">
        <v>546</v>
      </c>
      <c r="B53" s="12" t="s">
        <v>547</v>
      </c>
      <c r="C53" s="12" t="s">
        <v>76</v>
      </c>
      <c r="D53" s="12" t="s">
        <v>92</v>
      </c>
      <c r="E53" s="12" t="s">
        <v>91</v>
      </c>
      <c r="F53" s="12" t="s">
        <v>317</v>
      </c>
      <c r="G53" s="12" t="s">
        <v>74</v>
      </c>
      <c r="H53" s="12" t="s">
        <v>335</v>
      </c>
      <c r="I53" s="12" t="s">
        <v>355</v>
      </c>
      <c r="J53" s="12" t="s">
        <v>548</v>
      </c>
      <c r="K53" s="11">
        <v>46092.662256944437</v>
      </c>
      <c r="L53" s="11">
        <v>46155.424085648148</v>
      </c>
      <c r="M53" s="15">
        <v>88.68</v>
      </c>
      <c r="N53" s="15">
        <v>25.91</v>
      </c>
      <c r="O53" s="12" t="b">
        <v>1</v>
      </c>
      <c r="P53" s="12" t="s">
        <v>322</v>
      </c>
      <c r="Q53" s="12">
        <v>8</v>
      </c>
      <c r="R53" s="12">
        <v>1</v>
      </c>
      <c r="S53" s="12">
        <v>0</v>
      </c>
      <c r="T53" s="12" t="s">
        <v>549</v>
      </c>
    </row>
    <row r="54" spans="1:20" ht="30" x14ac:dyDescent="0.25">
      <c r="A54" s="12" t="s">
        <v>550</v>
      </c>
      <c r="B54" s="12" t="s">
        <v>551</v>
      </c>
      <c r="C54" s="12" t="s">
        <v>76</v>
      </c>
      <c r="D54" s="12"/>
      <c r="E54" s="12" t="s">
        <v>446</v>
      </c>
      <c r="F54" s="12" t="s">
        <v>317</v>
      </c>
      <c r="G54" s="12" t="s">
        <v>447</v>
      </c>
      <c r="H54" s="12" t="s">
        <v>335</v>
      </c>
      <c r="I54" s="12" t="s">
        <v>448</v>
      </c>
      <c r="J54" s="12" t="s">
        <v>552</v>
      </c>
      <c r="K54" s="11">
        <v>46100.383287037039</v>
      </c>
      <c r="L54" s="11">
        <v>46133.410925925928</v>
      </c>
      <c r="M54" s="15">
        <v>80.95</v>
      </c>
      <c r="N54" s="15">
        <v>47.93</v>
      </c>
      <c r="O54" s="12" t="b">
        <v>1</v>
      </c>
      <c r="P54" s="12" t="s">
        <v>322</v>
      </c>
      <c r="Q54" s="12">
        <v>0</v>
      </c>
      <c r="R54" s="12">
        <v>1</v>
      </c>
      <c r="S54" s="12">
        <v>0</v>
      </c>
      <c r="T54" s="12" t="s">
        <v>553</v>
      </c>
    </row>
    <row r="55" spans="1:20" ht="30" x14ac:dyDescent="0.25">
      <c r="A55" s="12" t="s">
        <v>554</v>
      </c>
      <c r="B55" s="12" t="s">
        <v>555</v>
      </c>
      <c r="C55" s="12" t="s">
        <v>76</v>
      </c>
      <c r="D55" s="12" t="s">
        <v>92</v>
      </c>
      <c r="E55" s="12" t="s">
        <v>95</v>
      </c>
      <c r="F55" s="12" t="s">
        <v>290</v>
      </c>
      <c r="G55" s="12" t="s">
        <v>74</v>
      </c>
      <c r="H55" s="12" t="s">
        <v>328</v>
      </c>
      <c r="I55" s="12" t="s">
        <v>336</v>
      </c>
      <c r="J55" s="12" t="s">
        <v>556</v>
      </c>
      <c r="K55" s="11">
        <v>46108.618946759263</v>
      </c>
      <c r="L55" s="11">
        <v>46178.417453703703</v>
      </c>
      <c r="M55" s="15">
        <v>72.72</v>
      </c>
      <c r="N55" s="15">
        <v>2.92</v>
      </c>
      <c r="O55" s="12" t="b">
        <v>0</v>
      </c>
      <c r="P55" s="12" t="s">
        <v>331</v>
      </c>
      <c r="Q55" s="12">
        <v>22</v>
      </c>
      <c r="R55" s="12">
        <v>19</v>
      </c>
      <c r="S55" s="12">
        <v>0</v>
      </c>
      <c r="T55" s="12" t="s">
        <v>557</v>
      </c>
    </row>
    <row r="56" spans="1:20" ht="30" x14ac:dyDescent="0.25">
      <c r="A56" s="12" t="s">
        <v>558</v>
      </c>
      <c r="B56" s="12" t="s">
        <v>559</v>
      </c>
      <c r="C56" s="12" t="s">
        <v>76</v>
      </c>
      <c r="D56" s="12" t="s">
        <v>92</v>
      </c>
      <c r="E56" s="12" t="s">
        <v>446</v>
      </c>
      <c r="F56" s="12" t="s">
        <v>317</v>
      </c>
      <c r="G56" s="12" t="s">
        <v>447</v>
      </c>
      <c r="H56" s="12" t="s">
        <v>78</v>
      </c>
      <c r="I56" s="12" t="s">
        <v>448</v>
      </c>
      <c r="J56" s="12" t="s">
        <v>560</v>
      </c>
      <c r="K56" s="11">
        <v>46113.445034722223</v>
      </c>
      <c r="L56" s="11">
        <v>46140.415717592587</v>
      </c>
      <c r="M56" s="15">
        <v>67.89</v>
      </c>
      <c r="N56" s="15">
        <v>40.92</v>
      </c>
      <c r="O56" s="12" t="b">
        <v>0</v>
      </c>
      <c r="P56" s="12" t="s">
        <v>331</v>
      </c>
      <c r="Q56" s="12">
        <v>0</v>
      </c>
      <c r="R56" s="12">
        <v>1</v>
      </c>
      <c r="S56" s="12">
        <v>0</v>
      </c>
      <c r="T56" s="12" t="s">
        <v>561</v>
      </c>
    </row>
    <row r="57" spans="1:20" ht="30" x14ac:dyDescent="0.25">
      <c r="A57" s="12" t="s">
        <v>562</v>
      </c>
      <c r="B57" s="12" t="s">
        <v>563</v>
      </c>
      <c r="C57" s="12" t="s">
        <v>76</v>
      </c>
      <c r="D57" s="12" t="s">
        <v>92</v>
      </c>
      <c r="E57" s="12" t="s">
        <v>91</v>
      </c>
      <c r="F57" s="12" t="s">
        <v>317</v>
      </c>
      <c r="G57" s="12" t="s">
        <v>74</v>
      </c>
      <c r="H57" s="12" t="s">
        <v>328</v>
      </c>
      <c r="I57" s="12" t="s">
        <v>345</v>
      </c>
      <c r="J57" s="12" t="s">
        <v>564</v>
      </c>
      <c r="K57" s="11">
        <v>46113.514733796299</v>
      </c>
      <c r="L57" s="11">
        <v>46113.515613425923</v>
      </c>
      <c r="M57" s="15">
        <v>67.819999999999993</v>
      </c>
      <c r="N57" s="15">
        <v>67.819999999999993</v>
      </c>
      <c r="O57" s="12" t="b">
        <v>0</v>
      </c>
      <c r="P57" s="12" t="s">
        <v>331</v>
      </c>
      <c r="Q57" s="12">
        <v>0</v>
      </c>
      <c r="R57" s="12">
        <v>0</v>
      </c>
      <c r="S57" s="12">
        <v>0</v>
      </c>
      <c r="T57" s="12" t="s">
        <v>565</v>
      </c>
    </row>
    <row r="58" spans="1:20" ht="30" x14ac:dyDescent="0.25">
      <c r="A58" s="12" t="s">
        <v>566</v>
      </c>
      <c r="B58" s="12" t="s">
        <v>567</v>
      </c>
      <c r="C58" s="12" t="s">
        <v>76</v>
      </c>
      <c r="D58" s="12"/>
      <c r="E58" s="12" t="s">
        <v>91</v>
      </c>
      <c r="F58" s="12" t="s">
        <v>317</v>
      </c>
      <c r="G58" s="12" t="s">
        <v>74</v>
      </c>
      <c r="H58" s="12" t="s">
        <v>335</v>
      </c>
      <c r="I58" s="12" t="s">
        <v>440</v>
      </c>
      <c r="J58" s="12" t="s">
        <v>568</v>
      </c>
      <c r="K58" s="11">
        <v>46119.426550925928</v>
      </c>
      <c r="L58" s="11">
        <v>46119.426574074067</v>
      </c>
      <c r="M58" s="15">
        <v>61.91</v>
      </c>
      <c r="N58" s="15">
        <v>61.91</v>
      </c>
      <c r="O58" s="12" t="b">
        <v>0</v>
      </c>
      <c r="P58" s="12" t="s">
        <v>331</v>
      </c>
      <c r="Q58" s="12">
        <v>0</v>
      </c>
      <c r="R58" s="12">
        <v>0</v>
      </c>
      <c r="S58" s="12">
        <v>0</v>
      </c>
      <c r="T58" s="12" t="s">
        <v>569</v>
      </c>
    </row>
    <row r="59" spans="1:20" ht="30" x14ac:dyDescent="0.25">
      <c r="A59" s="12" t="s">
        <v>570</v>
      </c>
      <c r="B59" s="12" t="s">
        <v>571</v>
      </c>
      <c r="C59" s="12" t="s">
        <v>76</v>
      </c>
      <c r="D59" s="12" t="s">
        <v>92</v>
      </c>
      <c r="E59" s="12" t="s">
        <v>446</v>
      </c>
      <c r="F59" s="12" t="s">
        <v>317</v>
      </c>
      <c r="G59" s="12" t="s">
        <v>447</v>
      </c>
      <c r="H59" s="12" t="s">
        <v>328</v>
      </c>
      <c r="I59" s="12" t="s">
        <v>448</v>
      </c>
      <c r="J59" s="12" t="s">
        <v>572</v>
      </c>
      <c r="K59" s="11">
        <v>46121.434803240743</v>
      </c>
      <c r="L59" s="11">
        <v>46149.615219907413</v>
      </c>
      <c r="M59" s="15">
        <v>59.9</v>
      </c>
      <c r="N59" s="15">
        <v>31.72</v>
      </c>
      <c r="O59" s="12" t="b">
        <v>0</v>
      </c>
      <c r="P59" s="12" t="s">
        <v>331</v>
      </c>
      <c r="Q59" s="12">
        <v>1</v>
      </c>
      <c r="R59" s="12">
        <v>2</v>
      </c>
      <c r="S59" s="12">
        <v>0</v>
      </c>
      <c r="T59" s="12" t="s">
        <v>573</v>
      </c>
    </row>
    <row r="60" spans="1:20" ht="30" x14ac:dyDescent="0.25">
      <c r="A60" s="12" t="s">
        <v>574</v>
      </c>
      <c r="B60" s="12" t="s">
        <v>575</v>
      </c>
      <c r="C60" s="12" t="s">
        <v>76</v>
      </c>
      <c r="D60" s="12" t="s">
        <v>72</v>
      </c>
      <c r="E60" s="12" t="s">
        <v>96</v>
      </c>
      <c r="F60" s="12" t="s">
        <v>317</v>
      </c>
      <c r="G60" s="12" t="s">
        <v>74</v>
      </c>
      <c r="H60" s="12" t="s">
        <v>328</v>
      </c>
      <c r="I60" s="12" t="s">
        <v>336</v>
      </c>
      <c r="J60" s="12" t="s">
        <v>576</v>
      </c>
      <c r="K60" s="11">
        <v>46125.317129629628</v>
      </c>
      <c r="L60" s="11">
        <v>46141.501574074071</v>
      </c>
      <c r="M60" s="15">
        <v>56.02</v>
      </c>
      <c r="N60" s="15">
        <v>39.840000000000003</v>
      </c>
      <c r="O60" s="12" t="b">
        <v>1</v>
      </c>
      <c r="P60" s="12" t="s">
        <v>322</v>
      </c>
      <c r="Q60" s="12">
        <v>0</v>
      </c>
      <c r="R60" s="12">
        <v>1</v>
      </c>
      <c r="S60" s="12">
        <v>0</v>
      </c>
      <c r="T60" s="12" t="s">
        <v>577</v>
      </c>
    </row>
    <row r="61" spans="1:20" ht="30" x14ac:dyDescent="0.25">
      <c r="A61" s="12" t="s">
        <v>578</v>
      </c>
      <c r="B61" s="12" t="s">
        <v>579</v>
      </c>
      <c r="C61" s="12" t="s">
        <v>76</v>
      </c>
      <c r="D61" s="12" t="s">
        <v>72</v>
      </c>
      <c r="E61" s="12" t="s">
        <v>96</v>
      </c>
      <c r="F61" s="12" t="s">
        <v>317</v>
      </c>
      <c r="G61" s="12" t="s">
        <v>74</v>
      </c>
      <c r="H61" s="12" t="s">
        <v>328</v>
      </c>
      <c r="I61" s="12" t="s">
        <v>336</v>
      </c>
      <c r="J61" s="12" t="s">
        <v>580</v>
      </c>
      <c r="K61" s="11">
        <v>46125.355057870373</v>
      </c>
      <c r="L61" s="11">
        <v>46141.50167824074</v>
      </c>
      <c r="M61" s="15">
        <v>55.98</v>
      </c>
      <c r="N61" s="15">
        <v>39.840000000000003</v>
      </c>
      <c r="O61" s="12" t="b">
        <v>1</v>
      </c>
      <c r="P61" s="12" t="s">
        <v>322</v>
      </c>
      <c r="Q61" s="12">
        <v>3</v>
      </c>
      <c r="R61" s="12">
        <v>1</v>
      </c>
      <c r="S61" s="12">
        <v>1</v>
      </c>
      <c r="T61" s="12" t="s">
        <v>581</v>
      </c>
    </row>
    <row r="62" spans="1:20" ht="30" x14ac:dyDescent="0.25">
      <c r="A62" s="12" t="s">
        <v>582</v>
      </c>
      <c r="B62" s="12" t="s">
        <v>583</v>
      </c>
      <c r="C62" s="12" t="s">
        <v>76</v>
      </c>
      <c r="D62" s="12" t="s">
        <v>72</v>
      </c>
      <c r="E62" s="12" t="s">
        <v>96</v>
      </c>
      <c r="F62" s="12" t="s">
        <v>317</v>
      </c>
      <c r="G62" s="12" t="s">
        <v>74</v>
      </c>
      <c r="H62" s="12" t="s">
        <v>328</v>
      </c>
      <c r="I62" s="12" t="s">
        <v>336</v>
      </c>
      <c r="J62" s="12" t="s">
        <v>584</v>
      </c>
      <c r="K62" s="11">
        <v>46125.386377314811</v>
      </c>
      <c r="L62" s="11">
        <v>46141.501782407409</v>
      </c>
      <c r="M62" s="15">
        <v>55.95</v>
      </c>
      <c r="N62" s="15">
        <v>39.840000000000003</v>
      </c>
      <c r="O62" s="12" t="b">
        <v>1</v>
      </c>
      <c r="P62" s="12" t="s">
        <v>322</v>
      </c>
      <c r="Q62" s="12">
        <v>2</v>
      </c>
      <c r="R62" s="12">
        <v>0</v>
      </c>
      <c r="S62" s="12">
        <v>0</v>
      </c>
      <c r="T62" s="12" t="s">
        <v>585</v>
      </c>
    </row>
    <row r="63" spans="1:20" ht="30" x14ac:dyDescent="0.25">
      <c r="A63" s="12" t="s">
        <v>586</v>
      </c>
      <c r="B63" s="12" t="s">
        <v>587</v>
      </c>
      <c r="C63" s="12" t="s">
        <v>76</v>
      </c>
      <c r="D63" s="12" t="s">
        <v>92</v>
      </c>
      <c r="E63" s="12" t="s">
        <v>326</v>
      </c>
      <c r="F63" s="12" t="s">
        <v>290</v>
      </c>
      <c r="G63" s="12" t="s">
        <v>447</v>
      </c>
      <c r="H63" s="12" t="s">
        <v>328</v>
      </c>
      <c r="I63" s="12" t="s">
        <v>448</v>
      </c>
      <c r="J63" s="12" t="s">
        <v>588</v>
      </c>
      <c r="K63" s="11">
        <v>46126.631122685183</v>
      </c>
      <c r="L63" s="11">
        <v>46155.316643518519</v>
      </c>
      <c r="M63" s="15">
        <v>54.71</v>
      </c>
      <c r="N63" s="15">
        <v>26.02</v>
      </c>
      <c r="O63" s="12" t="b">
        <v>0</v>
      </c>
      <c r="P63" s="12" t="s">
        <v>331</v>
      </c>
      <c r="Q63" s="12">
        <v>1</v>
      </c>
      <c r="R63" s="12">
        <v>0</v>
      </c>
      <c r="S63" s="12">
        <v>0</v>
      </c>
      <c r="T63" s="12" t="s">
        <v>589</v>
      </c>
    </row>
    <row r="64" spans="1:20" ht="30" x14ac:dyDescent="0.25">
      <c r="A64" s="12" t="s">
        <v>590</v>
      </c>
      <c r="B64" s="12" t="s">
        <v>591</v>
      </c>
      <c r="C64" s="12" t="s">
        <v>76</v>
      </c>
      <c r="D64" s="12" t="s">
        <v>465</v>
      </c>
      <c r="E64" s="12" t="s">
        <v>326</v>
      </c>
      <c r="F64" s="12" t="s">
        <v>290</v>
      </c>
      <c r="G64" s="12" t="s">
        <v>327</v>
      </c>
      <c r="H64" s="12" t="s">
        <v>335</v>
      </c>
      <c r="I64" s="12" t="s">
        <v>336</v>
      </c>
      <c r="J64" s="12" t="s">
        <v>592</v>
      </c>
      <c r="K64" s="11">
        <v>46127.371388888889</v>
      </c>
      <c r="L64" s="11">
        <v>46175.307106481479</v>
      </c>
      <c r="M64" s="15">
        <v>53.97</v>
      </c>
      <c r="N64" s="15">
        <v>6.03</v>
      </c>
      <c r="O64" s="12" t="b">
        <v>1</v>
      </c>
      <c r="P64" s="12" t="s">
        <v>322</v>
      </c>
      <c r="Q64" s="12">
        <v>1</v>
      </c>
      <c r="R64" s="12">
        <v>1</v>
      </c>
      <c r="S64" s="12">
        <v>0</v>
      </c>
      <c r="T64" s="12" t="s">
        <v>593</v>
      </c>
    </row>
    <row r="65" spans="1:20" ht="30" x14ac:dyDescent="0.25">
      <c r="A65" s="12" t="s">
        <v>594</v>
      </c>
      <c r="B65" s="12" t="s">
        <v>595</v>
      </c>
      <c r="C65" s="12" t="s">
        <v>76</v>
      </c>
      <c r="D65" s="12"/>
      <c r="E65" s="12" t="s">
        <v>91</v>
      </c>
      <c r="F65" s="12" t="s">
        <v>317</v>
      </c>
      <c r="G65" s="12" t="s">
        <v>74</v>
      </c>
      <c r="H65" s="12" t="s">
        <v>335</v>
      </c>
      <c r="I65" s="12" t="s">
        <v>440</v>
      </c>
      <c r="J65" s="12" t="s">
        <v>596</v>
      </c>
      <c r="K65" s="11">
        <v>46128.614618055559</v>
      </c>
      <c r="L65" s="11">
        <v>46128.614618055559</v>
      </c>
      <c r="M65" s="15">
        <v>52.72</v>
      </c>
      <c r="N65" s="15">
        <v>52.72</v>
      </c>
      <c r="O65" s="12" t="b">
        <v>0</v>
      </c>
      <c r="P65" s="12" t="s">
        <v>331</v>
      </c>
      <c r="Q65" s="12">
        <v>0</v>
      </c>
      <c r="R65" s="12">
        <v>0</v>
      </c>
      <c r="S65" s="12">
        <v>0</v>
      </c>
      <c r="T65" s="12" t="s">
        <v>597</v>
      </c>
    </row>
    <row r="66" spans="1:20" ht="30" x14ac:dyDescent="0.25">
      <c r="A66" s="12" t="s">
        <v>598</v>
      </c>
      <c r="B66" s="12" t="s">
        <v>599</v>
      </c>
      <c r="C66" s="12" t="s">
        <v>76</v>
      </c>
      <c r="D66" s="12"/>
      <c r="E66" s="12" t="s">
        <v>91</v>
      </c>
      <c r="F66" s="12" t="s">
        <v>317</v>
      </c>
      <c r="G66" s="12" t="s">
        <v>74</v>
      </c>
      <c r="H66" s="12" t="s">
        <v>335</v>
      </c>
      <c r="I66" s="12" t="s">
        <v>440</v>
      </c>
      <c r="J66" s="12" t="s">
        <v>600</v>
      </c>
      <c r="K66" s="11">
        <v>46129.332881944443</v>
      </c>
      <c r="L66" s="11">
        <v>46129.33289351852</v>
      </c>
      <c r="M66" s="15">
        <v>52.01</v>
      </c>
      <c r="N66" s="15">
        <v>52.01</v>
      </c>
      <c r="O66" s="12" t="b">
        <v>1</v>
      </c>
      <c r="P66" s="12" t="s">
        <v>351</v>
      </c>
      <c r="Q66" s="12">
        <v>0</v>
      </c>
      <c r="R66" s="12">
        <v>0</v>
      </c>
      <c r="S66" s="12">
        <v>0</v>
      </c>
      <c r="T66" s="12" t="s">
        <v>601</v>
      </c>
    </row>
    <row r="67" spans="1:20" ht="30" x14ac:dyDescent="0.25">
      <c r="A67" s="12" t="s">
        <v>602</v>
      </c>
      <c r="B67" s="12" t="s">
        <v>603</v>
      </c>
      <c r="C67" s="12" t="s">
        <v>76</v>
      </c>
      <c r="D67" s="12"/>
      <c r="E67" s="12" t="s">
        <v>91</v>
      </c>
      <c r="F67" s="12" t="s">
        <v>317</v>
      </c>
      <c r="G67" s="12" t="s">
        <v>74</v>
      </c>
      <c r="H67" s="12" t="s">
        <v>335</v>
      </c>
      <c r="I67" s="12" t="s">
        <v>440</v>
      </c>
      <c r="J67" s="12" t="s">
        <v>604</v>
      </c>
      <c r="K67" s="11">
        <v>46129.33321759259</v>
      </c>
      <c r="L67" s="11">
        <v>46129.33321759259</v>
      </c>
      <c r="M67" s="15">
        <v>52.01</v>
      </c>
      <c r="N67" s="15">
        <v>52.01</v>
      </c>
      <c r="O67" s="12" t="b">
        <v>0</v>
      </c>
      <c r="P67" s="12" t="s">
        <v>331</v>
      </c>
      <c r="Q67" s="12">
        <v>0</v>
      </c>
      <c r="R67" s="12">
        <v>0</v>
      </c>
      <c r="S67" s="12">
        <v>0</v>
      </c>
      <c r="T67" s="12" t="s">
        <v>605</v>
      </c>
    </row>
    <row r="68" spans="1:20" ht="30" x14ac:dyDescent="0.25">
      <c r="A68" s="12" t="s">
        <v>606</v>
      </c>
      <c r="B68" s="12" t="s">
        <v>607</v>
      </c>
      <c r="C68" s="12" t="s">
        <v>76</v>
      </c>
      <c r="D68" s="12"/>
      <c r="E68" s="12" t="s">
        <v>91</v>
      </c>
      <c r="F68" s="12" t="s">
        <v>317</v>
      </c>
      <c r="G68" s="12" t="s">
        <v>74</v>
      </c>
      <c r="H68" s="12" t="s">
        <v>335</v>
      </c>
      <c r="I68" s="12" t="s">
        <v>440</v>
      </c>
      <c r="J68" s="12" t="s">
        <v>608</v>
      </c>
      <c r="K68" s="11">
        <v>46129.333831018521</v>
      </c>
      <c r="L68" s="11">
        <v>46129.333831018521</v>
      </c>
      <c r="M68" s="15">
        <v>52</v>
      </c>
      <c r="N68" s="15">
        <v>52</v>
      </c>
      <c r="O68" s="12" t="b">
        <v>0</v>
      </c>
      <c r="P68" s="12" t="s">
        <v>331</v>
      </c>
      <c r="Q68" s="12">
        <v>0</v>
      </c>
      <c r="R68" s="12">
        <v>0</v>
      </c>
      <c r="S68" s="12">
        <v>0</v>
      </c>
      <c r="T68" s="12" t="s">
        <v>609</v>
      </c>
    </row>
    <row r="69" spans="1:20" ht="30" x14ac:dyDescent="0.25">
      <c r="A69" s="12" t="s">
        <v>610</v>
      </c>
      <c r="B69" s="12" t="s">
        <v>611</v>
      </c>
      <c r="C69" s="12" t="s">
        <v>76</v>
      </c>
      <c r="D69" s="12"/>
      <c r="E69" s="12" t="s">
        <v>91</v>
      </c>
      <c r="F69" s="12" t="s">
        <v>317</v>
      </c>
      <c r="G69" s="12" t="s">
        <v>74</v>
      </c>
      <c r="H69" s="12" t="s">
        <v>335</v>
      </c>
      <c r="I69" s="12" t="s">
        <v>440</v>
      </c>
      <c r="J69" s="12" t="s">
        <v>612</v>
      </c>
      <c r="K69" s="11">
        <v>46129.334085648137</v>
      </c>
      <c r="L69" s="11">
        <v>46129.334085648137</v>
      </c>
      <c r="M69" s="15">
        <v>52</v>
      </c>
      <c r="N69" s="15">
        <v>52</v>
      </c>
      <c r="O69" s="12" t="b">
        <v>0</v>
      </c>
      <c r="P69" s="12" t="s">
        <v>331</v>
      </c>
      <c r="Q69" s="12">
        <v>0</v>
      </c>
      <c r="R69" s="12">
        <v>0</v>
      </c>
      <c r="S69" s="12">
        <v>0</v>
      </c>
      <c r="T69" s="12" t="s">
        <v>613</v>
      </c>
    </row>
    <row r="70" spans="1:20" ht="30" x14ac:dyDescent="0.25">
      <c r="A70" s="12" t="s">
        <v>614</v>
      </c>
      <c r="B70" s="12" t="s">
        <v>615</v>
      </c>
      <c r="C70" s="12" t="s">
        <v>76</v>
      </c>
      <c r="D70" s="12"/>
      <c r="E70" s="12" t="s">
        <v>91</v>
      </c>
      <c r="F70" s="12" t="s">
        <v>317</v>
      </c>
      <c r="G70" s="12" t="s">
        <v>74</v>
      </c>
      <c r="H70" s="12" t="s">
        <v>335</v>
      </c>
      <c r="I70" s="12" t="s">
        <v>440</v>
      </c>
      <c r="J70" s="12" t="s">
        <v>616</v>
      </c>
      <c r="K70" s="11">
        <v>46129.334398148138</v>
      </c>
      <c r="L70" s="11">
        <v>46129.334398148138</v>
      </c>
      <c r="M70" s="15">
        <v>52</v>
      </c>
      <c r="N70" s="15">
        <v>52</v>
      </c>
      <c r="O70" s="12" t="b">
        <v>0</v>
      </c>
      <c r="P70" s="12" t="s">
        <v>331</v>
      </c>
      <c r="Q70" s="12">
        <v>0</v>
      </c>
      <c r="R70" s="12">
        <v>0</v>
      </c>
      <c r="S70" s="12">
        <v>0</v>
      </c>
      <c r="T70" s="12" t="s">
        <v>617</v>
      </c>
    </row>
    <row r="71" spans="1:20" ht="30" x14ac:dyDescent="0.25">
      <c r="A71" s="12" t="s">
        <v>618</v>
      </c>
      <c r="B71" s="12" t="s">
        <v>619</v>
      </c>
      <c r="C71" s="12" t="s">
        <v>76</v>
      </c>
      <c r="D71" s="12"/>
      <c r="E71" s="12" t="s">
        <v>91</v>
      </c>
      <c r="F71" s="12" t="s">
        <v>317</v>
      </c>
      <c r="G71" s="12" t="s">
        <v>74</v>
      </c>
      <c r="H71" s="12" t="s">
        <v>319</v>
      </c>
      <c r="I71" s="12" t="s">
        <v>440</v>
      </c>
      <c r="J71" s="12" t="s">
        <v>620</v>
      </c>
      <c r="K71" s="11">
        <v>46129.767256944448</v>
      </c>
      <c r="L71" s="11">
        <v>46129.767476851863</v>
      </c>
      <c r="M71" s="15">
        <v>51.57</v>
      </c>
      <c r="N71" s="15">
        <v>51.57</v>
      </c>
      <c r="O71" s="12" t="b">
        <v>0</v>
      </c>
      <c r="P71" s="12" t="s">
        <v>331</v>
      </c>
      <c r="Q71" s="12">
        <v>0</v>
      </c>
      <c r="R71" s="12">
        <v>0</v>
      </c>
      <c r="S71" s="12">
        <v>0</v>
      </c>
      <c r="T71" s="12" t="s">
        <v>621</v>
      </c>
    </row>
    <row r="72" spans="1:20" ht="30" x14ac:dyDescent="0.25">
      <c r="A72" s="12" t="s">
        <v>70</v>
      </c>
      <c r="B72" s="12" t="s">
        <v>71</v>
      </c>
      <c r="C72" s="12" t="s">
        <v>76</v>
      </c>
      <c r="D72" s="12" t="s">
        <v>72</v>
      </c>
      <c r="E72" s="12" t="s">
        <v>73</v>
      </c>
      <c r="F72" s="12" t="s">
        <v>290</v>
      </c>
      <c r="G72" s="12" t="s">
        <v>74</v>
      </c>
      <c r="H72" s="12" t="s">
        <v>78</v>
      </c>
      <c r="I72" s="12" t="s">
        <v>77</v>
      </c>
      <c r="J72" s="12" t="s">
        <v>622</v>
      </c>
      <c r="K72" s="11">
        <v>46133.337395833332</v>
      </c>
      <c r="L72" s="11">
        <v>46178.661608796298</v>
      </c>
      <c r="M72" s="15">
        <v>48</v>
      </c>
      <c r="N72" s="15">
        <v>2.68</v>
      </c>
      <c r="O72" s="12" t="b">
        <v>1</v>
      </c>
      <c r="P72" s="12" t="s">
        <v>322</v>
      </c>
      <c r="Q72" s="12">
        <v>4</v>
      </c>
      <c r="R72" s="12">
        <v>0</v>
      </c>
      <c r="S72" s="12">
        <v>1</v>
      </c>
      <c r="T72" s="12" t="s">
        <v>80</v>
      </c>
    </row>
    <row r="73" spans="1:20" ht="30" x14ac:dyDescent="0.25">
      <c r="A73" s="12" t="s">
        <v>623</v>
      </c>
      <c r="B73" s="12" t="s">
        <v>624</v>
      </c>
      <c r="C73" s="12" t="s">
        <v>76</v>
      </c>
      <c r="D73" s="12" t="s">
        <v>72</v>
      </c>
      <c r="E73" s="12" t="s">
        <v>93</v>
      </c>
      <c r="F73" s="12" t="s">
        <v>317</v>
      </c>
      <c r="G73" s="12" t="s">
        <v>74</v>
      </c>
      <c r="H73" s="12" t="s">
        <v>78</v>
      </c>
      <c r="I73" s="12" t="s">
        <v>345</v>
      </c>
      <c r="J73" s="12" t="s">
        <v>625</v>
      </c>
      <c r="K73" s="11">
        <v>46133.395914351851</v>
      </c>
      <c r="L73" s="11">
        <v>46148.373530092591</v>
      </c>
      <c r="M73" s="15">
        <v>47.94</v>
      </c>
      <c r="N73" s="15">
        <v>32.96</v>
      </c>
      <c r="O73" s="12" t="b">
        <v>1</v>
      </c>
      <c r="P73" s="12" t="s">
        <v>322</v>
      </c>
      <c r="Q73" s="12">
        <v>2</v>
      </c>
      <c r="R73" s="12">
        <v>2</v>
      </c>
      <c r="S73" s="12">
        <v>0</v>
      </c>
      <c r="T73" s="12" t="s">
        <v>626</v>
      </c>
    </row>
    <row r="74" spans="1:20" ht="30" x14ac:dyDescent="0.25">
      <c r="A74" s="12" t="s">
        <v>627</v>
      </c>
      <c r="B74" s="12" t="s">
        <v>628</v>
      </c>
      <c r="C74" s="12" t="s">
        <v>76</v>
      </c>
      <c r="D74" s="12" t="s">
        <v>72</v>
      </c>
      <c r="E74" s="12" t="s">
        <v>96</v>
      </c>
      <c r="F74" s="12" t="s">
        <v>317</v>
      </c>
      <c r="G74" s="12" t="s">
        <v>74</v>
      </c>
      <c r="H74" s="12" t="s">
        <v>328</v>
      </c>
      <c r="I74" s="12" t="s">
        <v>77</v>
      </c>
      <c r="J74" s="12" t="s">
        <v>629</v>
      </c>
      <c r="K74" s="11">
        <v>46133.633680555547</v>
      </c>
      <c r="L74" s="11">
        <v>46141.501909722218</v>
      </c>
      <c r="M74" s="15">
        <v>47.7</v>
      </c>
      <c r="N74" s="15">
        <v>39.840000000000003</v>
      </c>
      <c r="O74" s="12" t="b">
        <v>1</v>
      </c>
      <c r="P74" s="12" t="s">
        <v>322</v>
      </c>
      <c r="Q74" s="12">
        <v>3</v>
      </c>
      <c r="R74" s="12">
        <v>1</v>
      </c>
      <c r="S74" s="12">
        <v>0</v>
      </c>
      <c r="T74" s="12" t="s">
        <v>630</v>
      </c>
    </row>
    <row r="75" spans="1:20" ht="30" x14ac:dyDescent="0.25">
      <c r="A75" s="12" t="s">
        <v>631</v>
      </c>
      <c r="B75" s="12" t="s">
        <v>632</v>
      </c>
      <c r="C75" s="12" t="s">
        <v>76</v>
      </c>
      <c r="D75" s="12"/>
      <c r="E75" s="12" t="s">
        <v>91</v>
      </c>
      <c r="F75" s="12" t="s">
        <v>317</v>
      </c>
      <c r="G75" s="12" t="s">
        <v>74</v>
      </c>
      <c r="H75" s="12" t="s">
        <v>335</v>
      </c>
      <c r="I75" s="12" t="s">
        <v>79</v>
      </c>
      <c r="J75" s="12" t="s">
        <v>633</v>
      </c>
      <c r="K75" s="11">
        <v>46134.501377314817</v>
      </c>
      <c r="L75" s="11">
        <v>46134.519548611112</v>
      </c>
      <c r="M75" s="15">
        <v>46.84</v>
      </c>
      <c r="N75" s="15">
        <v>46.82</v>
      </c>
      <c r="O75" s="12" t="b">
        <v>1</v>
      </c>
      <c r="P75" s="12" t="s">
        <v>351</v>
      </c>
      <c r="Q75" s="12">
        <v>0</v>
      </c>
      <c r="R75" s="12">
        <v>0</v>
      </c>
      <c r="S75" s="12">
        <v>0</v>
      </c>
      <c r="T75" s="12" t="s">
        <v>634</v>
      </c>
    </row>
    <row r="76" spans="1:20" ht="30" x14ac:dyDescent="0.25">
      <c r="A76" s="12" t="s">
        <v>635</v>
      </c>
      <c r="B76" s="12" t="s">
        <v>636</v>
      </c>
      <c r="C76" s="12" t="s">
        <v>76</v>
      </c>
      <c r="D76" s="12" t="s">
        <v>72</v>
      </c>
      <c r="E76" s="12" t="s">
        <v>96</v>
      </c>
      <c r="F76" s="12" t="s">
        <v>317</v>
      </c>
      <c r="G76" s="12" t="s">
        <v>74</v>
      </c>
      <c r="H76" s="12" t="s">
        <v>328</v>
      </c>
      <c r="I76" s="12" t="s">
        <v>77</v>
      </c>
      <c r="J76" s="12" t="s">
        <v>637</v>
      </c>
      <c r="K76" s="11">
        <v>46134.621793981481</v>
      </c>
      <c r="L76" s="11">
        <v>46142.346053240741</v>
      </c>
      <c r="M76" s="15">
        <v>46.72</v>
      </c>
      <c r="N76" s="15">
        <v>38.99</v>
      </c>
      <c r="O76" s="12" t="b">
        <v>1</v>
      </c>
      <c r="P76" s="12" t="s">
        <v>322</v>
      </c>
      <c r="Q76" s="12">
        <v>0</v>
      </c>
      <c r="R76" s="12">
        <v>1</v>
      </c>
      <c r="S76" s="12">
        <v>0</v>
      </c>
      <c r="T76" s="12" t="s">
        <v>638</v>
      </c>
    </row>
    <row r="77" spans="1:20" ht="30" x14ac:dyDescent="0.25">
      <c r="A77" s="12" t="s">
        <v>639</v>
      </c>
      <c r="B77" s="12" t="s">
        <v>640</v>
      </c>
      <c r="C77" s="12" t="s">
        <v>76</v>
      </c>
      <c r="D77" s="12"/>
      <c r="E77" s="12" t="s">
        <v>446</v>
      </c>
      <c r="F77" s="12" t="s">
        <v>317</v>
      </c>
      <c r="G77" s="12" t="s">
        <v>641</v>
      </c>
      <c r="H77" s="12" t="s">
        <v>335</v>
      </c>
      <c r="I77" s="12" t="s">
        <v>440</v>
      </c>
      <c r="J77" s="12" t="s">
        <v>642</v>
      </c>
      <c r="K77" s="11">
        <v>46135.542164351849</v>
      </c>
      <c r="L77" s="11">
        <v>46135.542187500003</v>
      </c>
      <c r="M77" s="15">
        <v>45.8</v>
      </c>
      <c r="N77" s="15">
        <v>45.8</v>
      </c>
      <c r="O77" s="12" t="b">
        <v>0</v>
      </c>
      <c r="P77" s="12" t="s">
        <v>331</v>
      </c>
      <c r="Q77" s="12">
        <v>0</v>
      </c>
      <c r="R77" s="12">
        <v>0</v>
      </c>
      <c r="S77" s="12">
        <v>0</v>
      </c>
      <c r="T77" s="12" t="s">
        <v>643</v>
      </c>
    </row>
    <row r="78" spans="1:20" ht="30" x14ac:dyDescent="0.25">
      <c r="A78" s="12" t="s">
        <v>644</v>
      </c>
      <c r="B78" s="12" t="s">
        <v>645</v>
      </c>
      <c r="C78" s="12" t="s">
        <v>76</v>
      </c>
      <c r="D78" s="12"/>
      <c r="E78" s="12" t="s">
        <v>91</v>
      </c>
      <c r="F78" s="12" t="s">
        <v>317</v>
      </c>
      <c r="G78" s="12" t="s">
        <v>646</v>
      </c>
      <c r="H78" s="12" t="s">
        <v>335</v>
      </c>
      <c r="I78" s="12" t="s">
        <v>385</v>
      </c>
      <c r="J78" s="12" t="s">
        <v>647</v>
      </c>
      <c r="K78" s="11">
        <v>46135.544791666667</v>
      </c>
      <c r="L78" s="11">
        <v>46135.544814814813</v>
      </c>
      <c r="M78" s="15">
        <v>45.79</v>
      </c>
      <c r="N78" s="15">
        <v>45.79</v>
      </c>
      <c r="O78" s="12" t="b">
        <v>0</v>
      </c>
      <c r="P78" s="12" t="s">
        <v>331</v>
      </c>
      <c r="Q78" s="12">
        <v>0</v>
      </c>
      <c r="R78" s="12">
        <v>0</v>
      </c>
      <c r="S78" s="12">
        <v>0</v>
      </c>
      <c r="T78" s="12" t="s">
        <v>648</v>
      </c>
    </row>
    <row r="79" spans="1:20" ht="30" x14ac:dyDescent="0.25">
      <c r="A79" s="12" t="s">
        <v>649</v>
      </c>
      <c r="B79" s="12" t="s">
        <v>650</v>
      </c>
      <c r="C79" s="12" t="s">
        <v>76</v>
      </c>
      <c r="D79" s="12" t="s">
        <v>72</v>
      </c>
      <c r="E79" s="12" t="s">
        <v>651</v>
      </c>
      <c r="F79" s="12" t="s">
        <v>290</v>
      </c>
      <c r="G79" s="12" t="s">
        <v>479</v>
      </c>
      <c r="H79" s="12" t="s">
        <v>335</v>
      </c>
      <c r="I79" s="12" t="s">
        <v>440</v>
      </c>
      <c r="J79" s="12" t="s">
        <v>652</v>
      </c>
      <c r="K79" s="11">
        <v>46139.668194444443</v>
      </c>
      <c r="L79" s="11">
        <v>46141.501261574071</v>
      </c>
      <c r="M79" s="15">
        <v>41.67</v>
      </c>
      <c r="N79" s="15">
        <v>39.840000000000003</v>
      </c>
      <c r="O79" s="12" t="b">
        <v>0</v>
      </c>
      <c r="P79" s="12" t="s">
        <v>331</v>
      </c>
      <c r="Q79" s="12">
        <v>0</v>
      </c>
      <c r="R79" s="12">
        <v>0</v>
      </c>
      <c r="S79" s="12">
        <v>0</v>
      </c>
      <c r="T79" s="12" t="s">
        <v>653</v>
      </c>
    </row>
    <row r="80" spans="1:20" ht="30" x14ac:dyDescent="0.25">
      <c r="A80" s="12" t="s">
        <v>654</v>
      </c>
      <c r="B80" s="12" t="s">
        <v>655</v>
      </c>
      <c r="C80" s="12" t="s">
        <v>76</v>
      </c>
      <c r="D80" s="12" t="s">
        <v>72</v>
      </c>
      <c r="E80" s="12" t="s">
        <v>96</v>
      </c>
      <c r="F80" s="12" t="s">
        <v>317</v>
      </c>
      <c r="G80" s="12" t="s">
        <v>74</v>
      </c>
      <c r="H80" s="12" t="s">
        <v>328</v>
      </c>
      <c r="I80" s="12" t="s">
        <v>77</v>
      </c>
      <c r="J80" s="12" t="s">
        <v>656</v>
      </c>
      <c r="K80" s="11">
        <v>46139.687743055547</v>
      </c>
      <c r="L80" s="11">
        <v>46142.345289351862</v>
      </c>
      <c r="M80" s="15">
        <v>41.65</v>
      </c>
      <c r="N80" s="15">
        <v>38.99</v>
      </c>
      <c r="O80" s="12" t="b">
        <v>1</v>
      </c>
      <c r="P80" s="12" t="s">
        <v>322</v>
      </c>
      <c r="Q80" s="12">
        <v>7</v>
      </c>
      <c r="R80" s="12">
        <v>1</v>
      </c>
      <c r="S80" s="12">
        <v>0</v>
      </c>
      <c r="T80" s="12" t="s">
        <v>657</v>
      </c>
    </row>
    <row r="81" spans="1:20" ht="30" x14ac:dyDescent="0.25">
      <c r="A81" s="12" t="s">
        <v>658</v>
      </c>
      <c r="B81" s="12" t="s">
        <v>659</v>
      </c>
      <c r="C81" s="12" t="s">
        <v>76</v>
      </c>
      <c r="D81" s="12" t="s">
        <v>72</v>
      </c>
      <c r="E81" s="12" t="s">
        <v>96</v>
      </c>
      <c r="F81" s="12" t="s">
        <v>317</v>
      </c>
      <c r="G81" s="12" t="s">
        <v>74</v>
      </c>
      <c r="H81" s="12" t="s">
        <v>328</v>
      </c>
      <c r="I81" s="12" t="s">
        <v>77</v>
      </c>
      <c r="J81" s="12" t="s">
        <v>660</v>
      </c>
      <c r="K81" s="11">
        <v>46139.706562500003</v>
      </c>
      <c r="L81" s="11">
        <v>46141.502199074072</v>
      </c>
      <c r="M81" s="15">
        <v>41.63</v>
      </c>
      <c r="N81" s="15">
        <v>39.840000000000003</v>
      </c>
      <c r="O81" s="12" t="b">
        <v>1</v>
      </c>
      <c r="P81" s="12" t="s">
        <v>322</v>
      </c>
      <c r="Q81" s="12">
        <v>0</v>
      </c>
      <c r="R81" s="12">
        <v>1</v>
      </c>
      <c r="S81" s="12">
        <v>0</v>
      </c>
      <c r="T81" s="12" t="s">
        <v>661</v>
      </c>
    </row>
    <row r="82" spans="1:20" ht="30" x14ac:dyDescent="0.25">
      <c r="A82" s="12" t="s">
        <v>662</v>
      </c>
      <c r="B82" s="12" t="s">
        <v>663</v>
      </c>
      <c r="C82" s="12" t="s">
        <v>76</v>
      </c>
      <c r="D82" s="12" t="s">
        <v>72</v>
      </c>
      <c r="E82" s="12" t="s">
        <v>96</v>
      </c>
      <c r="F82" s="12" t="s">
        <v>317</v>
      </c>
      <c r="G82" s="12" t="s">
        <v>74</v>
      </c>
      <c r="H82" s="12" t="s">
        <v>328</v>
      </c>
      <c r="I82" s="12" t="s">
        <v>77</v>
      </c>
      <c r="J82" s="12" t="s">
        <v>664</v>
      </c>
      <c r="K82" s="11">
        <v>46139.739398148151</v>
      </c>
      <c r="L82" s="11">
        <v>46142.342662037037</v>
      </c>
      <c r="M82" s="15">
        <v>41.6</v>
      </c>
      <c r="N82" s="15">
        <v>39</v>
      </c>
      <c r="O82" s="12" t="b">
        <v>1</v>
      </c>
      <c r="P82" s="12" t="s">
        <v>322</v>
      </c>
      <c r="Q82" s="12">
        <v>2</v>
      </c>
      <c r="R82" s="12">
        <v>1</v>
      </c>
      <c r="S82" s="12">
        <v>0</v>
      </c>
      <c r="T82" s="12" t="s">
        <v>665</v>
      </c>
    </row>
    <row r="83" spans="1:20" ht="30" x14ac:dyDescent="0.25">
      <c r="A83" s="12" t="s">
        <v>666</v>
      </c>
      <c r="B83" s="12" t="s">
        <v>667</v>
      </c>
      <c r="C83" s="12" t="s">
        <v>76</v>
      </c>
      <c r="D83" s="12" t="s">
        <v>72</v>
      </c>
      <c r="E83" s="12" t="s">
        <v>96</v>
      </c>
      <c r="F83" s="12" t="s">
        <v>317</v>
      </c>
      <c r="G83" s="12" t="s">
        <v>74</v>
      </c>
      <c r="H83" s="12" t="s">
        <v>328</v>
      </c>
      <c r="I83" s="12" t="s">
        <v>77</v>
      </c>
      <c r="J83" s="12" t="s">
        <v>668</v>
      </c>
      <c r="K83" s="11">
        <v>46139.754837962973</v>
      </c>
      <c r="L83" s="11">
        <v>46142.344317129631</v>
      </c>
      <c r="M83" s="15">
        <v>41.58</v>
      </c>
      <c r="N83" s="15">
        <v>38.99</v>
      </c>
      <c r="O83" s="12" t="b">
        <v>1</v>
      </c>
      <c r="P83" s="12" t="s">
        <v>322</v>
      </c>
      <c r="Q83" s="12">
        <v>3</v>
      </c>
      <c r="R83" s="12">
        <v>1</v>
      </c>
      <c r="S83" s="12">
        <v>0</v>
      </c>
      <c r="T83" s="12" t="s">
        <v>669</v>
      </c>
    </row>
    <row r="84" spans="1:20" ht="30" x14ac:dyDescent="0.25">
      <c r="A84" s="12" t="s">
        <v>670</v>
      </c>
      <c r="B84" s="12" t="s">
        <v>671</v>
      </c>
      <c r="C84" s="12" t="s">
        <v>76</v>
      </c>
      <c r="D84" s="12" t="s">
        <v>72</v>
      </c>
      <c r="E84" s="12" t="s">
        <v>96</v>
      </c>
      <c r="F84" s="12" t="s">
        <v>317</v>
      </c>
      <c r="G84" s="12" t="s">
        <v>74</v>
      </c>
      <c r="H84" s="12" t="s">
        <v>328</v>
      </c>
      <c r="I84" s="12" t="s">
        <v>77</v>
      </c>
      <c r="J84" s="12" t="s">
        <v>672</v>
      </c>
      <c r="K84" s="11">
        <v>46139.818518518521</v>
      </c>
      <c r="L84" s="11">
        <v>46141.502523148149</v>
      </c>
      <c r="M84" s="15">
        <v>41.52</v>
      </c>
      <c r="N84" s="15">
        <v>39.840000000000003</v>
      </c>
      <c r="O84" s="12" t="b">
        <v>1</v>
      </c>
      <c r="P84" s="12" t="s">
        <v>322</v>
      </c>
      <c r="Q84" s="12">
        <v>2</v>
      </c>
      <c r="R84" s="12">
        <v>0</v>
      </c>
      <c r="S84" s="12">
        <v>0</v>
      </c>
      <c r="T84" s="12" t="s">
        <v>673</v>
      </c>
    </row>
    <row r="85" spans="1:20" ht="30" x14ac:dyDescent="0.25">
      <c r="A85" s="12" t="s">
        <v>674</v>
      </c>
      <c r="B85" s="12" t="s">
        <v>675</v>
      </c>
      <c r="C85" s="12" t="s">
        <v>76</v>
      </c>
      <c r="D85" s="12" t="s">
        <v>465</v>
      </c>
      <c r="E85" s="12" t="s">
        <v>326</v>
      </c>
      <c r="F85" s="12" t="s">
        <v>290</v>
      </c>
      <c r="G85" s="12" t="s">
        <v>327</v>
      </c>
      <c r="H85" s="12" t="s">
        <v>335</v>
      </c>
      <c r="I85" s="12" t="s">
        <v>336</v>
      </c>
      <c r="J85" s="12" t="s">
        <v>676</v>
      </c>
      <c r="K85" s="11">
        <v>46140.359479166669</v>
      </c>
      <c r="L85" s="11">
        <v>46175.309444444443</v>
      </c>
      <c r="M85" s="15">
        <v>40.98</v>
      </c>
      <c r="N85" s="15">
        <v>6.03</v>
      </c>
      <c r="O85" s="12" t="b">
        <v>1</v>
      </c>
      <c r="P85" s="12" t="s">
        <v>322</v>
      </c>
      <c r="Q85" s="12">
        <v>1</v>
      </c>
      <c r="R85" s="12">
        <v>1</v>
      </c>
      <c r="S85" s="12">
        <v>0</v>
      </c>
      <c r="T85" s="12" t="s">
        <v>677</v>
      </c>
    </row>
    <row r="86" spans="1:20" ht="30" x14ac:dyDescent="0.25">
      <c r="A86" s="12" t="s">
        <v>678</v>
      </c>
      <c r="B86" s="12" t="s">
        <v>679</v>
      </c>
      <c r="C86" s="12" t="s">
        <v>76</v>
      </c>
      <c r="D86" s="12" t="s">
        <v>465</v>
      </c>
      <c r="E86" s="12" t="s">
        <v>326</v>
      </c>
      <c r="F86" s="12" t="s">
        <v>290</v>
      </c>
      <c r="G86" s="12" t="s">
        <v>327</v>
      </c>
      <c r="H86" s="12" t="s">
        <v>335</v>
      </c>
      <c r="I86" s="12" t="s">
        <v>336</v>
      </c>
      <c r="J86" s="12" t="s">
        <v>680</v>
      </c>
      <c r="K86" s="11">
        <v>46140.385439814818</v>
      </c>
      <c r="L86" s="11">
        <v>46154.349733796298</v>
      </c>
      <c r="M86" s="15">
        <v>40.950000000000003</v>
      </c>
      <c r="N86" s="15">
        <v>26.99</v>
      </c>
      <c r="O86" s="12" t="b">
        <v>0</v>
      </c>
      <c r="P86" s="12" t="s">
        <v>331</v>
      </c>
      <c r="Q86" s="12">
        <v>0</v>
      </c>
      <c r="R86" s="12">
        <v>0</v>
      </c>
      <c r="S86" s="12">
        <v>0</v>
      </c>
      <c r="T86" s="12" t="s">
        <v>681</v>
      </c>
    </row>
    <row r="87" spans="1:20" ht="45" x14ac:dyDescent="0.25">
      <c r="A87" s="12" t="s">
        <v>682</v>
      </c>
      <c r="B87" s="12" t="s">
        <v>683</v>
      </c>
      <c r="C87" s="12" t="s">
        <v>76</v>
      </c>
      <c r="D87" s="12" t="s">
        <v>465</v>
      </c>
      <c r="E87" s="12" t="s">
        <v>326</v>
      </c>
      <c r="F87" s="12" t="s">
        <v>290</v>
      </c>
      <c r="G87" s="12" t="s">
        <v>327</v>
      </c>
      <c r="H87" s="12" t="s">
        <v>335</v>
      </c>
      <c r="I87" s="12" t="s">
        <v>336</v>
      </c>
      <c r="J87" s="12" t="s">
        <v>684</v>
      </c>
      <c r="K87" s="11">
        <v>46140.386365740742</v>
      </c>
      <c r="L87" s="11">
        <v>46155.452407407407</v>
      </c>
      <c r="M87" s="15">
        <v>40.950000000000003</v>
      </c>
      <c r="N87" s="15">
        <v>25.89</v>
      </c>
      <c r="O87" s="12" t="b">
        <v>0</v>
      </c>
      <c r="P87" s="12" t="s">
        <v>331</v>
      </c>
      <c r="Q87" s="12">
        <v>1</v>
      </c>
      <c r="R87" s="12">
        <v>1</v>
      </c>
      <c r="S87" s="12">
        <v>0</v>
      </c>
      <c r="T87" s="12" t="s">
        <v>685</v>
      </c>
    </row>
    <row r="88" spans="1:20" ht="30" x14ac:dyDescent="0.25">
      <c r="A88" s="12" t="s">
        <v>686</v>
      </c>
      <c r="B88" s="12" t="s">
        <v>687</v>
      </c>
      <c r="C88" s="12" t="s">
        <v>76</v>
      </c>
      <c r="D88" s="12"/>
      <c r="E88" s="12" t="s">
        <v>91</v>
      </c>
      <c r="F88" s="12" t="s">
        <v>317</v>
      </c>
      <c r="G88" s="12" t="s">
        <v>74</v>
      </c>
      <c r="H88" s="12" t="s">
        <v>78</v>
      </c>
      <c r="I88" s="12" t="s">
        <v>336</v>
      </c>
      <c r="J88" s="12" t="s">
        <v>688</v>
      </c>
      <c r="K88" s="11">
        <v>46142.341793981483</v>
      </c>
      <c r="L88" s="11">
        <v>46142.341817129629</v>
      </c>
      <c r="M88" s="15">
        <v>39</v>
      </c>
      <c r="N88" s="15">
        <v>39</v>
      </c>
      <c r="O88" s="12" t="b">
        <v>1</v>
      </c>
      <c r="P88" s="12" t="s">
        <v>322</v>
      </c>
      <c r="Q88" s="12">
        <v>0</v>
      </c>
      <c r="R88" s="12">
        <v>0</v>
      </c>
      <c r="S88" s="12">
        <v>0</v>
      </c>
      <c r="T88" s="12" t="s">
        <v>689</v>
      </c>
    </row>
    <row r="89" spans="1:20" ht="45" x14ac:dyDescent="0.25">
      <c r="A89" s="12" t="s">
        <v>690</v>
      </c>
      <c r="B89" s="12" t="s">
        <v>691</v>
      </c>
      <c r="C89" s="12" t="s">
        <v>76</v>
      </c>
      <c r="D89" s="12" t="s">
        <v>92</v>
      </c>
      <c r="E89" s="12" t="s">
        <v>446</v>
      </c>
      <c r="F89" s="12" t="s">
        <v>317</v>
      </c>
      <c r="G89" s="12" t="s">
        <v>447</v>
      </c>
      <c r="H89" s="12" t="s">
        <v>335</v>
      </c>
      <c r="I89" s="12" t="s">
        <v>345</v>
      </c>
      <c r="J89" s="12" t="s">
        <v>692</v>
      </c>
      <c r="K89" s="11">
        <v>46153.424212962957</v>
      </c>
      <c r="L89" s="11">
        <v>46177.609895833331</v>
      </c>
      <c r="M89" s="15">
        <v>27.91</v>
      </c>
      <c r="N89" s="15">
        <v>3.73</v>
      </c>
      <c r="O89" s="12" t="b">
        <v>1</v>
      </c>
      <c r="P89" s="12" t="s">
        <v>322</v>
      </c>
      <c r="Q89" s="12">
        <v>1</v>
      </c>
      <c r="R89" s="12">
        <v>2</v>
      </c>
      <c r="S89" s="12">
        <v>0</v>
      </c>
      <c r="T89" s="12" t="s">
        <v>693</v>
      </c>
    </row>
    <row r="90" spans="1:20" ht="30" x14ac:dyDescent="0.25">
      <c r="A90" s="12" t="s">
        <v>694</v>
      </c>
      <c r="B90" s="12" t="s">
        <v>695</v>
      </c>
      <c r="C90" s="12" t="s">
        <v>76</v>
      </c>
      <c r="D90" s="12"/>
      <c r="E90" s="12" t="s">
        <v>446</v>
      </c>
      <c r="F90" s="12" t="s">
        <v>317</v>
      </c>
      <c r="G90" s="12" t="s">
        <v>641</v>
      </c>
      <c r="H90" s="12" t="s">
        <v>335</v>
      </c>
      <c r="I90" s="12" t="s">
        <v>440</v>
      </c>
      <c r="J90" s="12" t="s">
        <v>696</v>
      </c>
      <c r="K90" s="11">
        <v>46154.580914351849</v>
      </c>
      <c r="L90" s="11">
        <v>46154.580949074072</v>
      </c>
      <c r="M90" s="15">
        <v>26.76</v>
      </c>
      <c r="N90" s="15">
        <v>26.76</v>
      </c>
      <c r="O90" s="12" t="b">
        <v>0</v>
      </c>
      <c r="P90" s="12" t="s">
        <v>331</v>
      </c>
      <c r="Q90" s="12">
        <v>0</v>
      </c>
      <c r="R90" s="12">
        <v>0</v>
      </c>
      <c r="S90" s="12">
        <v>0</v>
      </c>
      <c r="T90" s="12" t="s">
        <v>697</v>
      </c>
    </row>
    <row r="91" spans="1:20" ht="30" x14ac:dyDescent="0.25">
      <c r="A91" s="12" t="s">
        <v>698</v>
      </c>
      <c r="B91" s="12" t="s">
        <v>699</v>
      </c>
      <c r="C91" s="12" t="s">
        <v>76</v>
      </c>
      <c r="D91" s="12"/>
      <c r="E91" s="12" t="s">
        <v>446</v>
      </c>
      <c r="F91" s="12" t="s">
        <v>317</v>
      </c>
      <c r="G91" s="12" t="s">
        <v>641</v>
      </c>
      <c r="H91" s="12" t="s">
        <v>335</v>
      </c>
      <c r="I91" s="12" t="s">
        <v>440</v>
      </c>
      <c r="J91" s="12" t="s">
        <v>700</v>
      </c>
      <c r="K91" s="11">
        <v>46154.580925925933</v>
      </c>
      <c r="L91" s="11">
        <v>46154.580949074072</v>
      </c>
      <c r="M91" s="15">
        <v>26.76</v>
      </c>
      <c r="N91" s="15">
        <v>26.76</v>
      </c>
      <c r="O91" s="12" t="b">
        <v>0</v>
      </c>
      <c r="P91" s="12" t="s">
        <v>331</v>
      </c>
      <c r="Q91" s="12">
        <v>0</v>
      </c>
      <c r="R91" s="12">
        <v>0</v>
      </c>
      <c r="S91" s="12">
        <v>0</v>
      </c>
      <c r="T91" s="12" t="s">
        <v>701</v>
      </c>
    </row>
    <row r="92" spans="1:20" ht="30" x14ac:dyDescent="0.25">
      <c r="A92" s="12" t="s">
        <v>702</v>
      </c>
      <c r="B92" s="12" t="s">
        <v>703</v>
      </c>
      <c r="C92" s="12" t="s">
        <v>76</v>
      </c>
      <c r="D92" s="12"/>
      <c r="E92" s="12" t="s">
        <v>446</v>
      </c>
      <c r="F92" s="12" t="s">
        <v>317</v>
      </c>
      <c r="G92" s="12" t="s">
        <v>641</v>
      </c>
      <c r="H92" s="12" t="s">
        <v>335</v>
      </c>
      <c r="I92" s="12" t="s">
        <v>440</v>
      </c>
      <c r="J92" s="12" t="s">
        <v>696</v>
      </c>
      <c r="K92" s="11">
        <v>46154.600914351853</v>
      </c>
      <c r="L92" s="11">
        <v>46154.600937499999</v>
      </c>
      <c r="M92" s="15">
        <v>26.74</v>
      </c>
      <c r="N92" s="15">
        <v>26.74</v>
      </c>
      <c r="O92" s="12" t="b">
        <v>0</v>
      </c>
      <c r="P92" s="12" t="s">
        <v>331</v>
      </c>
      <c r="Q92" s="12">
        <v>0</v>
      </c>
      <c r="R92" s="12">
        <v>0</v>
      </c>
      <c r="S92" s="12">
        <v>0</v>
      </c>
      <c r="T92" s="12" t="s">
        <v>704</v>
      </c>
    </row>
    <row r="93" spans="1:20" ht="30" x14ac:dyDescent="0.25">
      <c r="A93" s="12" t="s">
        <v>705</v>
      </c>
      <c r="B93" s="12" t="s">
        <v>706</v>
      </c>
      <c r="C93" s="12" t="s">
        <v>76</v>
      </c>
      <c r="D93" s="12"/>
      <c r="E93" s="12" t="s">
        <v>446</v>
      </c>
      <c r="F93" s="12" t="s">
        <v>317</v>
      </c>
      <c r="G93" s="12" t="s">
        <v>641</v>
      </c>
      <c r="H93" s="12" t="s">
        <v>335</v>
      </c>
      <c r="I93" s="12" t="s">
        <v>440</v>
      </c>
      <c r="J93" s="12" t="s">
        <v>700</v>
      </c>
      <c r="K93" s="11">
        <v>46154.600914351853</v>
      </c>
      <c r="L93" s="11">
        <v>46154.600949074083</v>
      </c>
      <c r="M93" s="15">
        <v>26.74</v>
      </c>
      <c r="N93" s="15">
        <v>26.74</v>
      </c>
      <c r="O93" s="12" t="b">
        <v>0</v>
      </c>
      <c r="P93" s="12" t="s">
        <v>331</v>
      </c>
      <c r="Q93" s="12">
        <v>0</v>
      </c>
      <c r="R93" s="12">
        <v>0</v>
      </c>
      <c r="S93" s="12">
        <v>0</v>
      </c>
      <c r="T93" s="12" t="s">
        <v>707</v>
      </c>
    </row>
    <row r="94" spans="1:20" ht="30" x14ac:dyDescent="0.25">
      <c r="A94" s="12" t="s">
        <v>708</v>
      </c>
      <c r="B94" s="12" t="s">
        <v>709</v>
      </c>
      <c r="C94" s="12" t="s">
        <v>76</v>
      </c>
      <c r="D94" s="12"/>
      <c r="E94" s="12" t="s">
        <v>91</v>
      </c>
      <c r="F94" s="12" t="s">
        <v>317</v>
      </c>
      <c r="G94" s="12" t="s">
        <v>646</v>
      </c>
      <c r="H94" s="12" t="s">
        <v>335</v>
      </c>
      <c r="I94" s="12" t="s">
        <v>329</v>
      </c>
      <c r="J94" s="12" t="s">
        <v>710</v>
      </c>
      <c r="K94" s="11">
        <v>46161.386261574073</v>
      </c>
      <c r="L94" s="11">
        <v>46161.386284722219</v>
      </c>
      <c r="M94" s="15">
        <v>19.95</v>
      </c>
      <c r="N94" s="15">
        <v>19.95</v>
      </c>
      <c r="O94" s="12" t="b">
        <v>0</v>
      </c>
      <c r="P94" s="12" t="s">
        <v>331</v>
      </c>
      <c r="Q94" s="12">
        <v>0</v>
      </c>
      <c r="R94" s="12">
        <v>0</v>
      </c>
      <c r="S94" s="12">
        <v>0</v>
      </c>
      <c r="T94" s="12" t="s">
        <v>711</v>
      </c>
    </row>
    <row r="95" spans="1:20" ht="30" x14ac:dyDescent="0.25">
      <c r="A95" s="12" t="s">
        <v>712</v>
      </c>
      <c r="B95" s="12" t="s">
        <v>713</v>
      </c>
      <c r="C95" s="12" t="s">
        <v>76</v>
      </c>
      <c r="D95" s="12"/>
      <c r="E95" s="12" t="s">
        <v>446</v>
      </c>
      <c r="F95" s="12" t="s">
        <v>317</v>
      </c>
      <c r="G95" s="12" t="s">
        <v>641</v>
      </c>
      <c r="H95" s="12" t="s">
        <v>335</v>
      </c>
      <c r="I95" s="12" t="s">
        <v>440</v>
      </c>
      <c r="J95" s="12" t="s">
        <v>696</v>
      </c>
      <c r="K95" s="11">
        <v>46161.393807870372</v>
      </c>
      <c r="L95" s="11">
        <v>46161.393831018519</v>
      </c>
      <c r="M95" s="15">
        <v>19.940000000000001</v>
      </c>
      <c r="N95" s="15">
        <v>19.940000000000001</v>
      </c>
      <c r="O95" s="12" t="b">
        <v>0</v>
      </c>
      <c r="P95" s="12" t="s">
        <v>331</v>
      </c>
      <c r="Q95" s="12">
        <v>0</v>
      </c>
      <c r="R95" s="12">
        <v>0</v>
      </c>
      <c r="S95" s="12">
        <v>0</v>
      </c>
      <c r="T95" s="12" t="s">
        <v>714</v>
      </c>
    </row>
    <row r="96" spans="1:20" ht="30" x14ac:dyDescent="0.25">
      <c r="A96" s="12" t="s">
        <v>715</v>
      </c>
      <c r="B96" s="12" t="s">
        <v>716</v>
      </c>
      <c r="C96" s="12" t="s">
        <v>76</v>
      </c>
      <c r="D96" s="12"/>
      <c r="E96" s="12" t="s">
        <v>446</v>
      </c>
      <c r="F96" s="12" t="s">
        <v>317</v>
      </c>
      <c r="G96" s="12" t="s">
        <v>641</v>
      </c>
      <c r="H96" s="12" t="s">
        <v>335</v>
      </c>
      <c r="I96" s="12" t="s">
        <v>440</v>
      </c>
      <c r="J96" s="12" t="s">
        <v>700</v>
      </c>
      <c r="K96" s="11">
        <v>46161.393819444442</v>
      </c>
      <c r="L96" s="11">
        <v>46161.393842592603</v>
      </c>
      <c r="M96" s="15">
        <v>19.940000000000001</v>
      </c>
      <c r="N96" s="15">
        <v>19.940000000000001</v>
      </c>
      <c r="O96" s="12" t="b">
        <v>0</v>
      </c>
      <c r="P96" s="12" t="s">
        <v>331</v>
      </c>
      <c r="Q96" s="12">
        <v>0</v>
      </c>
      <c r="R96" s="12">
        <v>0</v>
      </c>
      <c r="S96" s="12">
        <v>0</v>
      </c>
      <c r="T96" s="12" t="s">
        <v>717</v>
      </c>
    </row>
    <row r="97" spans="1:20" ht="30" x14ac:dyDescent="0.25">
      <c r="A97" s="12" t="s">
        <v>718</v>
      </c>
      <c r="B97" s="12" t="s">
        <v>719</v>
      </c>
      <c r="C97" s="12" t="s">
        <v>76</v>
      </c>
      <c r="D97" s="12"/>
      <c r="E97" s="12" t="s">
        <v>446</v>
      </c>
      <c r="F97" s="12" t="s">
        <v>317</v>
      </c>
      <c r="G97" s="12" t="s">
        <v>641</v>
      </c>
      <c r="H97" s="12" t="s">
        <v>335</v>
      </c>
      <c r="I97" s="12" t="s">
        <v>440</v>
      </c>
      <c r="J97" s="12" t="s">
        <v>720</v>
      </c>
      <c r="K97" s="11">
        <v>46161.398252314822</v>
      </c>
      <c r="L97" s="11">
        <v>46161.398275462961</v>
      </c>
      <c r="M97" s="15">
        <v>19.940000000000001</v>
      </c>
      <c r="N97" s="15">
        <v>19.940000000000001</v>
      </c>
      <c r="O97" s="12" t="b">
        <v>0</v>
      </c>
      <c r="P97" s="12" t="s">
        <v>331</v>
      </c>
      <c r="Q97" s="12">
        <v>0</v>
      </c>
      <c r="R97" s="12">
        <v>0</v>
      </c>
      <c r="S97" s="12">
        <v>0</v>
      </c>
      <c r="T97" s="12" t="s">
        <v>721</v>
      </c>
    </row>
    <row r="98" spans="1:20" ht="30" x14ac:dyDescent="0.25">
      <c r="A98" s="12" t="s">
        <v>722</v>
      </c>
      <c r="B98" s="12" t="s">
        <v>723</v>
      </c>
      <c r="C98" s="12" t="s">
        <v>76</v>
      </c>
      <c r="D98" s="12"/>
      <c r="E98" s="12" t="s">
        <v>446</v>
      </c>
      <c r="F98" s="12" t="s">
        <v>317</v>
      </c>
      <c r="G98" s="12" t="s">
        <v>641</v>
      </c>
      <c r="H98" s="12" t="s">
        <v>335</v>
      </c>
      <c r="I98" s="12" t="s">
        <v>440</v>
      </c>
      <c r="J98" s="12" t="s">
        <v>700</v>
      </c>
      <c r="K98" s="11">
        <v>46161.398263888892</v>
      </c>
      <c r="L98" s="11">
        <v>46161.398287037038</v>
      </c>
      <c r="M98" s="15">
        <v>19.940000000000001</v>
      </c>
      <c r="N98" s="15">
        <v>19.940000000000001</v>
      </c>
      <c r="O98" s="12" t="b">
        <v>0</v>
      </c>
      <c r="P98" s="12" t="s">
        <v>331</v>
      </c>
      <c r="Q98" s="12">
        <v>0</v>
      </c>
      <c r="R98" s="12">
        <v>0</v>
      </c>
      <c r="S98" s="12">
        <v>0</v>
      </c>
      <c r="T98" s="12" t="s">
        <v>724</v>
      </c>
    </row>
    <row r="99" spans="1:20" ht="30" x14ac:dyDescent="0.25">
      <c r="A99" s="12" t="s">
        <v>725</v>
      </c>
      <c r="B99" s="12" t="s">
        <v>726</v>
      </c>
      <c r="C99" s="12" t="s">
        <v>76</v>
      </c>
      <c r="D99" s="12"/>
      <c r="E99" s="12" t="s">
        <v>446</v>
      </c>
      <c r="F99" s="12" t="s">
        <v>317</v>
      </c>
      <c r="G99" s="12" t="s">
        <v>641</v>
      </c>
      <c r="H99" s="12" t="s">
        <v>335</v>
      </c>
      <c r="I99" s="12" t="s">
        <v>440</v>
      </c>
      <c r="J99" s="12" t="s">
        <v>720</v>
      </c>
      <c r="K99" s="11">
        <v>46161.400300925918</v>
      </c>
      <c r="L99" s="11">
        <v>46161.400324074071</v>
      </c>
      <c r="M99" s="15">
        <v>19.940000000000001</v>
      </c>
      <c r="N99" s="15">
        <v>19.940000000000001</v>
      </c>
      <c r="O99" s="12" t="b">
        <v>0</v>
      </c>
      <c r="P99" s="12" t="s">
        <v>331</v>
      </c>
      <c r="Q99" s="12">
        <v>0</v>
      </c>
      <c r="R99" s="12">
        <v>0</v>
      </c>
      <c r="S99" s="12">
        <v>0</v>
      </c>
      <c r="T99" s="12" t="s">
        <v>727</v>
      </c>
    </row>
    <row r="100" spans="1:20" ht="30" x14ac:dyDescent="0.25">
      <c r="A100" s="12" t="s">
        <v>728</v>
      </c>
      <c r="B100" s="12" t="s">
        <v>729</v>
      </c>
      <c r="C100" s="12" t="s">
        <v>76</v>
      </c>
      <c r="D100" s="12"/>
      <c r="E100" s="12" t="s">
        <v>446</v>
      </c>
      <c r="F100" s="12" t="s">
        <v>317</v>
      </c>
      <c r="G100" s="12" t="s">
        <v>641</v>
      </c>
      <c r="H100" s="12" t="s">
        <v>335</v>
      </c>
      <c r="I100" s="12" t="s">
        <v>440</v>
      </c>
      <c r="J100" s="12" t="s">
        <v>720</v>
      </c>
      <c r="K100" s="11">
        <v>46161.400312500002</v>
      </c>
      <c r="L100" s="11">
        <v>46161.400335648148</v>
      </c>
      <c r="M100" s="15">
        <v>19.940000000000001</v>
      </c>
      <c r="N100" s="15">
        <v>19.940000000000001</v>
      </c>
      <c r="O100" s="12" t="b">
        <v>0</v>
      </c>
      <c r="P100" s="12" t="s">
        <v>331</v>
      </c>
      <c r="Q100" s="12">
        <v>0</v>
      </c>
      <c r="R100" s="12">
        <v>0</v>
      </c>
      <c r="S100" s="12">
        <v>0</v>
      </c>
      <c r="T100" s="12" t="s">
        <v>730</v>
      </c>
    </row>
    <row r="101" spans="1:20" ht="30" x14ac:dyDescent="0.25">
      <c r="A101" s="12" t="s">
        <v>731</v>
      </c>
      <c r="B101" s="12" t="s">
        <v>732</v>
      </c>
      <c r="C101" s="12" t="s">
        <v>76</v>
      </c>
      <c r="D101" s="12"/>
      <c r="E101" s="12" t="s">
        <v>446</v>
      </c>
      <c r="F101" s="12" t="s">
        <v>317</v>
      </c>
      <c r="G101" s="12" t="s">
        <v>641</v>
      </c>
      <c r="H101" s="12" t="s">
        <v>335</v>
      </c>
      <c r="I101" s="12" t="s">
        <v>440</v>
      </c>
      <c r="J101" s="12" t="s">
        <v>700</v>
      </c>
      <c r="K101" s="11">
        <v>46161.400324074071</v>
      </c>
      <c r="L101" s="11">
        <v>46178.595601851863</v>
      </c>
      <c r="M101" s="15">
        <v>19.940000000000001</v>
      </c>
      <c r="N101" s="15">
        <v>2.74</v>
      </c>
      <c r="O101" s="12" t="b">
        <v>0</v>
      </c>
      <c r="P101" s="12" t="s">
        <v>331</v>
      </c>
      <c r="Q101" s="12">
        <v>0</v>
      </c>
      <c r="R101" s="12">
        <v>0</v>
      </c>
      <c r="S101" s="12">
        <v>0</v>
      </c>
      <c r="T101" s="12" t="s">
        <v>733</v>
      </c>
    </row>
    <row r="102" spans="1:20" ht="30" x14ac:dyDescent="0.25">
      <c r="A102" s="12" t="s">
        <v>734</v>
      </c>
      <c r="B102" s="12" t="s">
        <v>735</v>
      </c>
      <c r="C102" s="12" t="s">
        <v>76</v>
      </c>
      <c r="D102" s="12"/>
      <c r="E102" s="12" t="s">
        <v>91</v>
      </c>
      <c r="F102" s="12" t="s">
        <v>317</v>
      </c>
      <c r="G102" s="12" t="s">
        <v>646</v>
      </c>
      <c r="H102" s="12" t="s">
        <v>335</v>
      </c>
      <c r="I102" s="12" t="s">
        <v>77</v>
      </c>
      <c r="J102" s="12" t="s">
        <v>736</v>
      </c>
      <c r="K102" s="11">
        <v>46162.414814814823</v>
      </c>
      <c r="L102" s="11">
        <v>46162.414837962962</v>
      </c>
      <c r="M102" s="15">
        <v>18.920000000000002</v>
      </c>
      <c r="N102" s="15">
        <v>18.920000000000002</v>
      </c>
      <c r="O102" s="12" t="b">
        <v>0</v>
      </c>
      <c r="P102" s="12" t="s">
        <v>331</v>
      </c>
      <c r="Q102" s="12">
        <v>0</v>
      </c>
      <c r="R102" s="12">
        <v>0</v>
      </c>
      <c r="S102" s="12">
        <v>0</v>
      </c>
      <c r="T102" s="12" t="s">
        <v>737</v>
      </c>
    </row>
    <row r="103" spans="1:20" ht="30" x14ac:dyDescent="0.25">
      <c r="A103" s="12" t="s">
        <v>738</v>
      </c>
      <c r="B103" s="12" t="s">
        <v>739</v>
      </c>
      <c r="C103" s="12" t="s">
        <v>76</v>
      </c>
      <c r="D103" s="12"/>
      <c r="E103" s="12" t="s">
        <v>91</v>
      </c>
      <c r="F103" s="12" t="s">
        <v>317</v>
      </c>
      <c r="G103" s="12" t="s">
        <v>646</v>
      </c>
      <c r="H103" s="12" t="s">
        <v>335</v>
      </c>
      <c r="I103" s="12" t="s">
        <v>77</v>
      </c>
      <c r="J103" s="12" t="s">
        <v>740</v>
      </c>
      <c r="K103" s="11">
        <v>46162.415555555563</v>
      </c>
      <c r="L103" s="11">
        <v>46162.415578703702</v>
      </c>
      <c r="M103" s="15">
        <v>18.920000000000002</v>
      </c>
      <c r="N103" s="15">
        <v>18.920000000000002</v>
      </c>
      <c r="O103" s="12" t="b">
        <v>0</v>
      </c>
      <c r="P103" s="12" t="s">
        <v>331</v>
      </c>
      <c r="Q103" s="12">
        <v>0</v>
      </c>
      <c r="R103" s="12">
        <v>0</v>
      </c>
      <c r="S103" s="12">
        <v>0</v>
      </c>
      <c r="T103" s="12" t="s">
        <v>741</v>
      </c>
    </row>
    <row r="104" spans="1:20" ht="30" x14ac:dyDescent="0.25">
      <c r="A104" s="12" t="s">
        <v>742</v>
      </c>
      <c r="B104" s="12" t="s">
        <v>743</v>
      </c>
      <c r="C104" s="12" t="s">
        <v>76</v>
      </c>
      <c r="D104" s="12" t="s">
        <v>92</v>
      </c>
      <c r="E104" s="12" t="s">
        <v>466</v>
      </c>
      <c r="F104" s="12" t="s">
        <v>290</v>
      </c>
      <c r="G104" s="12" t="s">
        <v>447</v>
      </c>
      <c r="H104" s="12" t="s">
        <v>335</v>
      </c>
      <c r="I104" s="12" t="s">
        <v>744</v>
      </c>
      <c r="J104" s="12" t="s">
        <v>745</v>
      </c>
      <c r="K104" s="11">
        <v>46163.307233796288</v>
      </c>
      <c r="L104" s="11">
        <v>46163.440266203703</v>
      </c>
      <c r="M104" s="15">
        <v>18.03</v>
      </c>
      <c r="N104" s="15">
        <v>17.899999999999999</v>
      </c>
      <c r="O104" s="12" t="b">
        <v>0</v>
      </c>
      <c r="P104" s="12" t="s">
        <v>331</v>
      </c>
      <c r="Q104" s="12">
        <v>1</v>
      </c>
      <c r="R104" s="12">
        <v>0</v>
      </c>
      <c r="S104" s="12">
        <v>0</v>
      </c>
      <c r="T104" s="12" t="s">
        <v>746</v>
      </c>
    </row>
    <row r="105" spans="1:20" ht="30" x14ac:dyDescent="0.25">
      <c r="A105" s="12" t="s">
        <v>747</v>
      </c>
      <c r="B105" s="12" t="s">
        <v>748</v>
      </c>
      <c r="C105" s="12" t="s">
        <v>76</v>
      </c>
      <c r="D105" s="12"/>
      <c r="E105" s="12" t="s">
        <v>749</v>
      </c>
      <c r="F105" s="12" t="s">
        <v>750</v>
      </c>
      <c r="G105" s="12" t="s">
        <v>641</v>
      </c>
      <c r="H105" s="12" t="s">
        <v>335</v>
      </c>
      <c r="I105" s="12" t="s">
        <v>336</v>
      </c>
      <c r="J105" s="12" t="s">
        <v>751</v>
      </c>
      <c r="K105" s="11">
        <v>46164.572106481479</v>
      </c>
      <c r="L105" s="11">
        <v>46178.59574074074</v>
      </c>
      <c r="M105" s="15">
        <v>16.77</v>
      </c>
      <c r="N105" s="15">
        <v>2.74</v>
      </c>
      <c r="O105" s="12" t="b">
        <v>0</v>
      </c>
      <c r="P105" s="12" t="s">
        <v>331</v>
      </c>
      <c r="Q105" s="12">
        <v>0</v>
      </c>
      <c r="R105" s="12">
        <v>0</v>
      </c>
      <c r="S105" s="12">
        <v>3</v>
      </c>
      <c r="T105" s="12" t="s">
        <v>752</v>
      </c>
    </row>
    <row r="106" spans="1:20" ht="45" x14ac:dyDescent="0.25">
      <c r="A106" s="12" t="s">
        <v>753</v>
      </c>
      <c r="B106" s="12" t="s">
        <v>754</v>
      </c>
      <c r="C106" s="12" t="s">
        <v>76</v>
      </c>
      <c r="D106" s="12" t="s">
        <v>92</v>
      </c>
      <c r="E106" s="12" t="s">
        <v>326</v>
      </c>
      <c r="F106" s="12" t="s">
        <v>290</v>
      </c>
      <c r="G106" s="12" t="s">
        <v>447</v>
      </c>
      <c r="H106" s="12" t="s">
        <v>328</v>
      </c>
      <c r="I106" s="12" t="s">
        <v>448</v>
      </c>
      <c r="J106" s="12" t="s">
        <v>755</v>
      </c>
      <c r="K106" s="11">
        <v>46168.380428240736</v>
      </c>
      <c r="L106" s="11">
        <v>46169.533229166656</v>
      </c>
      <c r="M106" s="15">
        <v>12.96</v>
      </c>
      <c r="N106" s="15">
        <v>11.8</v>
      </c>
      <c r="O106" s="12" t="b">
        <v>0</v>
      </c>
      <c r="P106" s="12" t="s">
        <v>331</v>
      </c>
      <c r="Q106" s="12">
        <v>0</v>
      </c>
      <c r="R106" s="12">
        <v>2</v>
      </c>
      <c r="S106" s="12">
        <v>0</v>
      </c>
      <c r="T106" s="12" t="s">
        <v>756</v>
      </c>
    </row>
    <row r="107" spans="1:20" ht="30" x14ac:dyDescent="0.25">
      <c r="A107" s="12" t="s">
        <v>757</v>
      </c>
      <c r="B107" s="12" t="s">
        <v>758</v>
      </c>
      <c r="C107" s="12" t="s">
        <v>76</v>
      </c>
      <c r="D107" s="12"/>
      <c r="E107" s="12" t="s">
        <v>446</v>
      </c>
      <c r="F107" s="12" t="s">
        <v>317</v>
      </c>
      <c r="G107" s="12" t="s">
        <v>641</v>
      </c>
      <c r="H107" s="12" t="s">
        <v>335</v>
      </c>
      <c r="I107" s="12" t="s">
        <v>440</v>
      </c>
      <c r="J107" s="12" t="s">
        <v>759</v>
      </c>
      <c r="K107" s="11">
        <v>46168.408136574071</v>
      </c>
      <c r="L107" s="11">
        <v>46168.408171296287</v>
      </c>
      <c r="M107" s="15">
        <v>12.93</v>
      </c>
      <c r="N107" s="15">
        <v>12.93</v>
      </c>
      <c r="O107" s="12" t="b">
        <v>0</v>
      </c>
      <c r="P107" s="12" t="s">
        <v>331</v>
      </c>
      <c r="Q107" s="12">
        <v>0</v>
      </c>
      <c r="R107" s="12">
        <v>0</v>
      </c>
      <c r="S107" s="12">
        <v>0</v>
      </c>
      <c r="T107" s="12" t="s">
        <v>760</v>
      </c>
    </row>
    <row r="108" spans="1:20" ht="30" x14ac:dyDescent="0.25">
      <c r="A108" s="12" t="s">
        <v>761</v>
      </c>
      <c r="B108" s="12" t="s">
        <v>762</v>
      </c>
      <c r="C108" s="12" t="s">
        <v>76</v>
      </c>
      <c r="D108" s="12"/>
      <c r="E108" s="12" t="s">
        <v>446</v>
      </c>
      <c r="F108" s="12" t="s">
        <v>317</v>
      </c>
      <c r="G108" s="12" t="s">
        <v>641</v>
      </c>
      <c r="H108" s="12" t="s">
        <v>335</v>
      </c>
      <c r="I108" s="12" t="s">
        <v>440</v>
      </c>
      <c r="J108" s="12" t="s">
        <v>763</v>
      </c>
      <c r="K108" s="11">
        <v>46168.590543981481</v>
      </c>
      <c r="L108" s="11">
        <v>46168.590578703697</v>
      </c>
      <c r="M108" s="15">
        <v>12.75</v>
      </c>
      <c r="N108" s="15">
        <v>12.75</v>
      </c>
      <c r="O108" s="12" t="b">
        <v>0</v>
      </c>
      <c r="P108" s="12" t="s">
        <v>331</v>
      </c>
      <c r="Q108" s="12">
        <v>0</v>
      </c>
      <c r="R108" s="12">
        <v>0</v>
      </c>
      <c r="S108" s="12">
        <v>0</v>
      </c>
      <c r="T108" s="12" t="s">
        <v>764</v>
      </c>
    </row>
    <row r="109" spans="1:20" ht="30" x14ac:dyDescent="0.25">
      <c r="A109" s="12" t="s">
        <v>765</v>
      </c>
      <c r="B109" s="12" t="s">
        <v>766</v>
      </c>
      <c r="C109" s="12" t="s">
        <v>76</v>
      </c>
      <c r="D109" s="12"/>
      <c r="E109" s="12" t="s">
        <v>446</v>
      </c>
      <c r="F109" s="12" t="s">
        <v>317</v>
      </c>
      <c r="G109" s="12" t="s">
        <v>641</v>
      </c>
      <c r="H109" s="12" t="s">
        <v>335</v>
      </c>
      <c r="I109" s="12" t="s">
        <v>440</v>
      </c>
      <c r="J109" s="12" t="s">
        <v>767</v>
      </c>
      <c r="K109" s="11">
        <v>46168.592789351853</v>
      </c>
      <c r="L109" s="11">
        <v>46168.592812499999</v>
      </c>
      <c r="M109" s="15">
        <v>12.75</v>
      </c>
      <c r="N109" s="15">
        <v>12.75</v>
      </c>
      <c r="O109" s="12" t="b">
        <v>0</v>
      </c>
      <c r="P109" s="12" t="s">
        <v>331</v>
      </c>
      <c r="Q109" s="12">
        <v>0</v>
      </c>
      <c r="R109" s="12">
        <v>0</v>
      </c>
      <c r="S109" s="12">
        <v>0</v>
      </c>
      <c r="T109" s="12" t="s">
        <v>768</v>
      </c>
    </row>
    <row r="110" spans="1:20" ht="30" x14ac:dyDescent="0.25">
      <c r="A110" s="12" t="s">
        <v>769</v>
      </c>
      <c r="B110" s="12" t="s">
        <v>770</v>
      </c>
      <c r="C110" s="12" t="s">
        <v>76</v>
      </c>
      <c r="D110" s="12"/>
      <c r="E110" s="12" t="s">
        <v>446</v>
      </c>
      <c r="F110" s="12" t="s">
        <v>317</v>
      </c>
      <c r="G110" s="12" t="s">
        <v>641</v>
      </c>
      <c r="H110" s="12" t="s">
        <v>335</v>
      </c>
      <c r="I110" s="12" t="s">
        <v>440</v>
      </c>
      <c r="J110" s="12" t="s">
        <v>771</v>
      </c>
      <c r="K110" s="11">
        <v>46168.593842592592</v>
      </c>
      <c r="L110" s="11">
        <v>46168.593877314823</v>
      </c>
      <c r="M110" s="15">
        <v>12.74</v>
      </c>
      <c r="N110" s="15">
        <v>12.74</v>
      </c>
      <c r="O110" s="12" t="b">
        <v>0</v>
      </c>
      <c r="P110" s="12" t="s">
        <v>331</v>
      </c>
      <c r="Q110" s="12">
        <v>0</v>
      </c>
      <c r="R110" s="12">
        <v>0</v>
      </c>
      <c r="S110" s="12">
        <v>0</v>
      </c>
      <c r="T110" s="12" t="s">
        <v>772</v>
      </c>
    </row>
    <row r="111" spans="1:20" ht="30" x14ac:dyDescent="0.25">
      <c r="A111" s="12" t="s">
        <v>773</v>
      </c>
      <c r="B111" s="12" t="s">
        <v>774</v>
      </c>
      <c r="C111" s="12" t="s">
        <v>76</v>
      </c>
      <c r="D111" s="12"/>
      <c r="E111" s="12" t="s">
        <v>446</v>
      </c>
      <c r="F111" s="12" t="s">
        <v>317</v>
      </c>
      <c r="G111" s="12" t="s">
        <v>641</v>
      </c>
      <c r="H111" s="12" t="s">
        <v>335</v>
      </c>
      <c r="I111" s="12" t="s">
        <v>440</v>
      </c>
      <c r="J111" s="12" t="s">
        <v>775</v>
      </c>
      <c r="K111" s="11">
        <v>46168.595891203702</v>
      </c>
      <c r="L111" s="11">
        <v>46168.595925925933</v>
      </c>
      <c r="M111" s="15">
        <v>12.74</v>
      </c>
      <c r="N111" s="15">
        <v>12.74</v>
      </c>
      <c r="O111" s="12" t="b">
        <v>0</v>
      </c>
      <c r="P111" s="12" t="s">
        <v>331</v>
      </c>
      <c r="Q111" s="12">
        <v>0</v>
      </c>
      <c r="R111" s="12">
        <v>0</v>
      </c>
      <c r="S111" s="12">
        <v>0</v>
      </c>
      <c r="T111" s="12" t="s">
        <v>776</v>
      </c>
    </row>
    <row r="112" spans="1:20" ht="30" x14ac:dyDescent="0.25">
      <c r="A112" s="12" t="s">
        <v>777</v>
      </c>
      <c r="B112" s="12" t="s">
        <v>778</v>
      </c>
      <c r="C112" s="12" t="s">
        <v>76</v>
      </c>
      <c r="D112" s="12"/>
      <c r="E112" s="12" t="s">
        <v>446</v>
      </c>
      <c r="F112" s="12" t="s">
        <v>317</v>
      </c>
      <c r="G112" s="12" t="s">
        <v>641</v>
      </c>
      <c r="H112" s="12" t="s">
        <v>335</v>
      </c>
      <c r="I112" s="12" t="s">
        <v>440</v>
      </c>
      <c r="J112" s="12" t="s">
        <v>779</v>
      </c>
      <c r="K112" s="11">
        <v>46168.596655092602</v>
      </c>
      <c r="L112" s="11">
        <v>46168.596678240741</v>
      </c>
      <c r="M112" s="15">
        <v>12.74</v>
      </c>
      <c r="N112" s="15">
        <v>12.74</v>
      </c>
      <c r="O112" s="12" t="b">
        <v>0</v>
      </c>
      <c r="P112" s="12" t="s">
        <v>331</v>
      </c>
      <c r="Q112" s="12">
        <v>0</v>
      </c>
      <c r="R112" s="12">
        <v>0</v>
      </c>
      <c r="S112" s="12">
        <v>0</v>
      </c>
      <c r="T112" s="12" t="s">
        <v>780</v>
      </c>
    </row>
    <row r="113" spans="1:20" ht="30" x14ac:dyDescent="0.25">
      <c r="A113" s="12" t="s">
        <v>781</v>
      </c>
      <c r="B113" s="12" t="s">
        <v>782</v>
      </c>
      <c r="C113" s="12" t="s">
        <v>76</v>
      </c>
      <c r="D113" s="12"/>
      <c r="E113" s="12" t="s">
        <v>446</v>
      </c>
      <c r="F113" s="12" t="s">
        <v>317</v>
      </c>
      <c r="G113" s="12" t="s">
        <v>641</v>
      </c>
      <c r="H113" s="12" t="s">
        <v>335</v>
      </c>
      <c r="I113" s="12" t="s">
        <v>440</v>
      </c>
      <c r="J113" s="12" t="s">
        <v>783</v>
      </c>
      <c r="K113" s="11">
        <v>46168.59752314815</v>
      </c>
      <c r="L113" s="11">
        <v>46168.597546296303</v>
      </c>
      <c r="M113" s="15">
        <v>12.74</v>
      </c>
      <c r="N113" s="15">
        <v>12.74</v>
      </c>
      <c r="O113" s="12" t="b">
        <v>0</v>
      </c>
      <c r="P113" s="12" t="s">
        <v>331</v>
      </c>
      <c r="Q113" s="12">
        <v>0</v>
      </c>
      <c r="R113" s="12">
        <v>0</v>
      </c>
      <c r="S113" s="12">
        <v>0</v>
      </c>
      <c r="T113" s="12" t="s">
        <v>784</v>
      </c>
    </row>
    <row r="114" spans="1:20" ht="30" x14ac:dyDescent="0.25">
      <c r="A114" s="12" t="s">
        <v>785</v>
      </c>
      <c r="B114" s="12" t="s">
        <v>786</v>
      </c>
      <c r="C114" s="12" t="s">
        <v>76</v>
      </c>
      <c r="D114" s="12"/>
      <c r="E114" s="12" t="s">
        <v>446</v>
      </c>
      <c r="F114" s="12" t="s">
        <v>317</v>
      </c>
      <c r="G114" s="12" t="s">
        <v>641</v>
      </c>
      <c r="H114" s="12" t="s">
        <v>335</v>
      </c>
      <c r="I114" s="12" t="s">
        <v>440</v>
      </c>
      <c r="J114" s="12" t="s">
        <v>787</v>
      </c>
      <c r="K114" s="11">
        <v>46168.599097222221</v>
      </c>
      <c r="L114" s="11">
        <v>46168.599166666667</v>
      </c>
      <c r="M114" s="15">
        <v>12.74</v>
      </c>
      <c r="N114" s="15">
        <v>12.74</v>
      </c>
      <c r="O114" s="12" t="b">
        <v>0</v>
      </c>
      <c r="P114" s="12" t="s">
        <v>331</v>
      </c>
      <c r="Q114" s="12">
        <v>0</v>
      </c>
      <c r="R114" s="12">
        <v>0</v>
      </c>
      <c r="S114" s="12">
        <v>0</v>
      </c>
      <c r="T114" s="12" t="s">
        <v>788</v>
      </c>
    </row>
    <row r="115" spans="1:20" ht="30" x14ac:dyDescent="0.25">
      <c r="A115" s="12" t="s">
        <v>789</v>
      </c>
      <c r="B115" s="12" t="s">
        <v>790</v>
      </c>
      <c r="C115" s="12" t="s">
        <v>76</v>
      </c>
      <c r="D115" s="12"/>
      <c r="E115" s="12" t="s">
        <v>446</v>
      </c>
      <c r="F115" s="12" t="s">
        <v>317</v>
      </c>
      <c r="G115" s="12" t="s">
        <v>641</v>
      </c>
      <c r="H115" s="12" t="s">
        <v>335</v>
      </c>
      <c r="I115" s="12" t="s">
        <v>440</v>
      </c>
      <c r="J115" s="12" t="s">
        <v>791</v>
      </c>
      <c r="K115" s="11">
        <v>46168.599699074082</v>
      </c>
      <c r="L115" s="11">
        <v>46168.599722222221</v>
      </c>
      <c r="M115" s="15">
        <v>12.74</v>
      </c>
      <c r="N115" s="15">
        <v>12.74</v>
      </c>
      <c r="O115" s="12" t="b">
        <v>0</v>
      </c>
      <c r="P115" s="12" t="s">
        <v>331</v>
      </c>
      <c r="Q115" s="12">
        <v>0</v>
      </c>
      <c r="R115" s="12">
        <v>0</v>
      </c>
      <c r="S115" s="12">
        <v>0</v>
      </c>
      <c r="T115" s="12" t="s">
        <v>792</v>
      </c>
    </row>
    <row r="116" spans="1:20" ht="30" x14ac:dyDescent="0.25">
      <c r="A116" s="12" t="s">
        <v>793</v>
      </c>
      <c r="B116" s="12" t="s">
        <v>794</v>
      </c>
      <c r="C116" s="12" t="s">
        <v>76</v>
      </c>
      <c r="D116" s="12"/>
      <c r="E116" s="12" t="s">
        <v>446</v>
      </c>
      <c r="F116" s="12" t="s">
        <v>317</v>
      </c>
      <c r="G116" s="12" t="s">
        <v>641</v>
      </c>
      <c r="H116" s="12" t="s">
        <v>335</v>
      </c>
      <c r="I116" s="12" t="s">
        <v>440</v>
      </c>
      <c r="J116" s="12" t="s">
        <v>795</v>
      </c>
      <c r="K116" s="11">
        <v>46168.603159722217</v>
      </c>
      <c r="L116" s="11">
        <v>46168.603182870371</v>
      </c>
      <c r="M116" s="15">
        <v>12.74</v>
      </c>
      <c r="N116" s="15">
        <v>12.74</v>
      </c>
      <c r="O116" s="12" t="b">
        <v>0</v>
      </c>
      <c r="P116" s="12" t="s">
        <v>331</v>
      </c>
      <c r="Q116" s="12">
        <v>0</v>
      </c>
      <c r="R116" s="12">
        <v>0</v>
      </c>
      <c r="S116" s="12">
        <v>0</v>
      </c>
      <c r="T116" s="12" t="s">
        <v>796</v>
      </c>
    </row>
    <row r="117" spans="1:20" ht="30" x14ac:dyDescent="0.25">
      <c r="A117" s="12" t="s">
        <v>797</v>
      </c>
      <c r="B117" s="12" t="s">
        <v>798</v>
      </c>
      <c r="C117" s="12" t="s">
        <v>76</v>
      </c>
      <c r="D117" s="12"/>
      <c r="E117" s="12" t="s">
        <v>446</v>
      </c>
      <c r="F117" s="12" t="s">
        <v>317</v>
      </c>
      <c r="G117" s="12" t="s">
        <v>641</v>
      </c>
      <c r="H117" s="12" t="s">
        <v>335</v>
      </c>
      <c r="I117" s="12" t="s">
        <v>440</v>
      </c>
      <c r="J117" s="12" t="s">
        <v>799</v>
      </c>
      <c r="K117" s="11">
        <v>46168.611817129633</v>
      </c>
      <c r="L117" s="11">
        <v>46168.611851851849</v>
      </c>
      <c r="M117" s="15">
        <v>12.73</v>
      </c>
      <c r="N117" s="15">
        <v>12.73</v>
      </c>
      <c r="O117" s="12" t="b">
        <v>0</v>
      </c>
      <c r="P117" s="12" t="s">
        <v>331</v>
      </c>
      <c r="Q117" s="12">
        <v>0</v>
      </c>
      <c r="R117" s="12">
        <v>0</v>
      </c>
      <c r="S117" s="12">
        <v>0</v>
      </c>
      <c r="T117" s="12" t="s">
        <v>800</v>
      </c>
    </row>
    <row r="118" spans="1:20" ht="30" x14ac:dyDescent="0.25">
      <c r="A118" s="12" t="s">
        <v>801</v>
      </c>
      <c r="B118" s="12" t="s">
        <v>802</v>
      </c>
      <c r="C118" s="12" t="s">
        <v>76</v>
      </c>
      <c r="D118" s="12"/>
      <c r="E118" s="12" t="s">
        <v>446</v>
      </c>
      <c r="F118" s="12" t="s">
        <v>317</v>
      </c>
      <c r="G118" s="12" t="s">
        <v>641</v>
      </c>
      <c r="H118" s="12" t="s">
        <v>335</v>
      </c>
      <c r="I118" s="12" t="s">
        <v>440</v>
      </c>
      <c r="J118" s="12" t="s">
        <v>803</v>
      </c>
      <c r="K118" s="11">
        <v>46168.612835648149</v>
      </c>
      <c r="L118" s="11">
        <v>46168.612858796303</v>
      </c>
      <c r="M118" s="15">
        <v>12.73</v>
      </c>
      <c r="N118" s="15">
        <v>12.73</v>
      </c>
      <c r="O118" s="12" t="b">
        <v>0</v>
      </c>
      <c r="P118" s="12" t="s">
        <v>331</v>
      </c>
      <c r="Q118" s="12">
        <v>0</v>
      </c>
      <c r="R118" s="12">
        <v>0</v>
      </c>
      <c r="S118" s="12">
        <v>0</v>
      </c>
      <c r="T118" s="12" t="s">
        <v>804</v>
      </c>
    </row>
    <row r="119" spans="1:20" ht="30" x14ac:dyDescent="0.25">
      <c r="A119" s="12" t="s">
        <v>805</v>
      </c>
      <c r="B119" s="12" t="s">
        <v>806</v>
      </c>
      <c r="C119" s="12" t="s">
        <v>76</v>
      </c>
      <c r="D119" s="12"/>
      <c r="E119" s="12" t="s">
        <v>446</v>
      </c>
      <c r="F119" s="12" t="s">
        <v>317</v>
      </c>
      <c r="G119" s="12" t="s">
        <v>641</v>
      </c>
      <c r="H119" s="12" t="s">
        <v>335</v>
      </c>
      <c r="I119" s="12" t="s">
        <v>440</v>
      </c>
      <c r="J119" s="12" t="s">
        <v>807</v>
      </c>
      <c r="K119" s="11">
        <v>46168.613518518519</v>
      </c>
      <c r="L119" s="11">
        <v>46168.613541666673</v>
      </c>
      <c r="M119" s="15">
        <v>12.72</v>
      </c>
      <c r="N119" s="15">
        <v>12.72</v>
      </c>
      <c r="O119" s="12" t="b">
        <v>0</v>
      </c>
      <c r="P119" s="12" t="s">
        <v>331</v>
      </c>
      <c r="Q119" s="12">
        <v>0</v>
      </c>
      <c r="R119" s="12">
        <v>0</v>
      </c>
      <c r="S119" s="12">
        <v>0</v>
      </c>
      <c r="T119" s="12" t="s">
        <v>808</v>
      </c>
    </row>
    <row r="120" spans="1:20" ht="30" x14ac:dyDescent="0.25">
      <c r="A120" s="12" t="s">
        <v>809</v>
      </c>
      <c r="B120" s="12" t="s">
        <v>810</v>
      </c>
      <c r="C120" s="12" t="s">
        <v>76</v>
      </c>
      <c r="D120" s="12"/>
      <c r="E120" s="12" t="s">
        <v>446</v>
      </c>
      <c r="F120" s="12" t="s">
        <v>317</v>
      </c>
      <c r="G120" s="12" t="s">
        <v>641</v>
      </c>
      <c r="H120" s="12" t="s">
        <v>335</v>
      </c>
      <c r="I120" s="12" t="s">
        <v>440</v>
      </c>
      <c r="J120" s="12" t="s">
        <v>811</v>
      </c>
      <c r="K120" s="11">
        <v>46168.614837962959</v>
      </c>
      <c r="L120" s="11">
        <v>46168.614861111113</v>
      </c>
      <c r="M120" s="15">
        <v>12.72</v>
      </c>
      <c r="N120" s="15">
        <v>12.72</v>
      </c>
      <c r="O120" s="12" t="b">
        <v>0</v>
      </c>
      <c r="P120" s="12" t="s">
        <v>331</v>
      </c>
      <c r="Q120" s="12">
        <v>0</v>
      </c>
      <c r="R120" s="12">
        <v>0</v>
      </c>
      <c r="S120" s="12">
        <v>0</v>
      </c>
      <c r="T120" s="12" t="s">
        <v>812</v>
      </c>
    </row>
    <row r="121" spans="1:20" ht="30" x14ac:dyDescent="0.25">
      <c r="A121" s="12" t="s">
        <v>813</v>
      </c>
      <c r="B121" s="12" t="s">
        <v>814</v>
      </c>
      <c r="C121" s="12" t="s">
        <v>76</v>
      </c>
      <c r="D121" s="12"/>
      <c r="E121" s="12" t="s">
        <v>446</v>
      </c>
      <c r="F121" s="12" t="s">
        <v>317</v>
      </c>
      <c r="G121" s="12" t="s">
        <v>641</v>
      </c>
      <c r="H121" s="12" t="s">
        <v>335</v>
      </c>
      <c r="I121" s="12" t="s">
        <v>440</v>
      </c>
      <c r="J121" s="12" t="s">
        <v>815</v>
      </c>
      <c r="K121" s="11">
        <v>46168.61546296296</v>
      </c>
      <c r="L121" s="11">
        <v>46168.615497685183</v>
      </c>
      <c r="M121" s="15">
        <v>12.72</v>
      </c>
      <c r="N121" s="15">
        <v>12.72</v>
      </c>
      <c r="O121" s="12" t="b">
        <v>0</v>
      </c>
      <c r="P121" s="12" t="s">
        <v>331</v>
      </c>
      <c r="Q121" s="12">
        <v>0</v>
      </c>
      <c r="R121" s="12">
        <v>0</v>
      </c>
      <c r="S121" s="12">
        <v>0</v>
      </c>
      <c r="T121" s="12" t="s">
        <v>816</v>
      </c>
    </row>
    <row r="122" spans="1:20" ht="30" x14ac:dyDescent="0.25">
      <c r="A122" s="12" t="s">
        <v>817</v>
      </c>
      <c r="B122" s="12" t="s">
        <v>818</v>
      </c>
      <c r="C122" s="12" t="s">
        <v>76</v>
      </c>
      <c r="D122" s="12"/>
      <c r="E122" s="12" t="s">
        <v>446</v>
      </c>
      <c r="F122" s="12" t="s">
        <v>317</v>
      </c>
      <c r="G122" s="12" t="s">
        <v>641</v>
      </c>
      <c r="H122" s="12" t="s">
        <v>335</v>
      </c>
      <c r="I122" s="12" t="s">
        <v>440</v>
      </c>
      <c r="J122" s="12" t="s">
        <v>819</v>
      </c>
      <c r="K122" s="11">
        <v>46168.623078703713</v>
      </c>
      <c r="L122" s="11">
        <v>46168.623101851852</v>
      </c>
      <c r="M122" s="15">
        <v>12.72</v>
      </c>
      <c r="N122" s="15">
        <v>12.72</v>
      </c>
      <c r="O122" s="12" t="b">
        <v>0</v>
      </c>
      <c r="P122" s="12" t="s">
        <v>331</v>
      </c>
      <c r="Q122" s="12">
        <v>0</v>
      </c>
      <c r="R122" s="12">
        <v>0</v>
      </c>
      <c r="S122" s="12">
        <v>0</v>
      </c>
      <c r="T122" s="12" t="s">
        <v>820</v>
      </c>
    </row>
    <row r="123" spans="1:20" ht="30" x14ac:dyDescent="0.25">
      <c r="A123" s="12" t="s">
        <v>821</v>
      </c>
      <c r="B123" s="12" t="s">
        <v>822</v>
      </c>
      <c r="C123" s="12" t="s">
        <v>76</v>
      </c>
      <c r="D123" s="12"/>
      <c r="E123" s="12" t="s">
        <v>446</v>
      </c>
      <c r="F123" s="12" t="s">
        <v>317</v>
      </c>
      <c r="G123" s="12" t="s">
        <v>641</v>
      </c>
      <c r="H123" s="12" t="s">
        <v>335</v>
      </c>
      <c r="I123" s="12" t="s">
        <v>440</v>
      </c>
      <c r="J123" s="12" t="s">
        <v>823</v>
      </c>
      <c r="K123" s="11">
        <v>46168.62945601852</v>
      </c>
      <c r="L123" s="11">
        <v>46168.629479166673</v>
      </c>
      <c r="M123" s="15">
        <v>12.71</v>
      </c>
      <c r="N123" s="15">
        <v>12.71</v>
      </c>
      <c r="O123" s="12" t="b">
        <v>0</v>
      </c>
      <c r="P123" s="12" t="s">
        <v>331</v>
      </c>
      <c r="Q123" s="12">
        <v>0</v>
      </c>
      <c r="R123" s="12">
        <v>0</v>
      </c>
      <c r="S123" s="12">
        <v>0</v>
      </c>
      <c r="T123" s="12" t="s">
        <v>824</v>
      </c>
    </row>
    <row r="124" spans="1:20" ht="30" x14ac:dyDescent="0.25">
      <c r="A124" s="12" t="s">
        <v>825</v>
      </c>
      <c r="B124" s="12" t="s">
        <v>826</v>
      </c>
      <c r="C124" s="12" t="s">
        <v>76</v>
      </c>
      <c r="D124" s="12"/>
      <c r="E124" s="12" t="s">
        <v>446</v>
      </c>
      <c r="F124" s="12" t="s">
        <v>317</v>
      </c>
      <c r="G124" s="12" t="s">
        <v>641</v>
      </c>
      <c r="H124" s="12" t="s">
        <v>335</v>
      </c>
      <c r="I124" s="12" t="s">
        <v>440</v>
      </c>
      <c r="J124" s="12" t="s">
        <v>827</v>
      </c>
      <c r="K124" s="11">
        <v>46168.630601851852</v>
      </c>
      <c r="L124" s="11">
        <v>46168.630624999998</v>
      </c>
      <c r="M124" s="15">
        <v>12.71</v>
      </c>
      <c r="N124" s="15">
        <v>12.71</v>
      </c>
      <c r="O124" s="12" t="b">
        <v>0</v>
      </c>
      <c r="P124" s="12" t="s">
        <v>331</v>
      </c>
      <c r="Q124" s="12">
        <v>0</v>
      </c>
      <c r="R124" s="12">
        <v>0</v>
      </c>
      <c r="S124" s="12">
        <v>0</v>
      </c>
      <c r="T124" s="12" t="s">
        <v>828</v>
      </c>
    </row>
    <row r="125" spans="1:20" ht="30" x14ac:dyDescent="0.25">
      <c r="A125" s="12" t="s">
        <v>829</v>
      </c>
      <c r="B125" s="12" t="s">
        <v>830</v>
      </c>
      <c r="C125" s="12" t="s">
        <v>76</v>
      </c>
      <c r="D125" s="12"/>
      <c r="E125" s="12" t="s">
        <v>446</v>
      </c>
      <c r="F125" s="12" t="s">
        <v>317</v>
      </c>
      <c r="G125" s="12" t="s">
        <v>641</v>
      </c>
      <c r="H125" s="12" t="s">
        <v>335</v>
      </c>
      <c r="I125" s="12" t="s">
        <v>440</v>
      </c>
      <c r="J125" s="12" t="s">
        <v>831</v>
      </c>
      <c r="K125" s="11">
        <v>46168.637986111113</v>
      </c>
      <c r="L125" s="11">
        <v>46168.638009259259</v>
      </c>
      <c r="M125" s="15">
        <v>12.7</v>
      </c>
      <c r="N125" s="15">
        <v>12.7</v>
      </c>
      <c r="O125" s="12" t="b">
        <v>0</v>
      </c>
      <c r="P125" s="12" t="s">
        <v>331</v>
      </c>
      <c r="Q125" s="12">
        <v>0</v>
      </c>
      <c r="R125" s="12">
        <v>0</v>
      </c>
      <c r="S125" s="12">
        <v>0</v>
      </c>
      <c r="T125" s="12" t="s">
        <v>832</v>
      </c>
    </row>
    <row r="126" spans="1:20" ht="30" x14ac:dyDescent="0.25">
      <c r="A126" s="12" t="s">
        <v>833</v>
      </c>
      <c r="B126" s="12" t="s">
        <v>834</v>
      </c>
      <c r="C126" s="12" t="s">
        <v>76</v>
      </c>
      <c r="D126" s="12"/>
      <c r="E126" s="12" t="s">
        <v>446</v>
      </c>
      <c r="F126" s="12" t="s">
        <v>317</v>
      </c>
      <c r="G126" s="12" t="s">
        <v>641</v>
      </c>
      <c r="H126" s="12" t="s">
        <v>335</v>
      </c>
      <c r="I126" s="12" t="s">
        <v>440</v>
      </c>
      <c r="J126" s="12" t="s">
        <v>835</v>
      </c>
      <c r="K126" s="11">
        <v>46168.639178240737</v>
      </c>
      <c r="L126" s="11">
        <v>46168.639201388891</v>
      </c>
      <c r="M126" s="15">
        <v>12.7</v>
      </c>
      <c r="N126" s="15">
        <v>12.7</v>
      </c>
      <c r="O126" s="12" t="b">
        <v>0</v>
      </c>
      <c r="P126" s="12" t="s">
        <v>331</v>
      </c>
      <c r="Q126" s="12">
        <v>0</v>
      </c>
      <c r="R126" s="12">
        <v>0</v>
      </c>
      <c r="S126" s="12">
        <v>0</v>
      </c>
      <c r="T126" s="12" t="s">
        <v>836</v>
      </c>
    </row>
    <row r="127" spans="1:20" ht="30" x14ac:dyDescent="0.25">
      <c r="A127" s="12" t="s">
        <v>837</v>
      </c>
      <c r="B127" s="12" t="s">
        <v>838</v>
      </c>
      <c r="C127" s="12" t="s">
        <v>76</v>
      </c>
      <c r="D127" s="12"/>
      <c r="E127" s="12" t="s">
        <v>446</v>
      </c>
      <c r="F127" s="12" t="s">
        <v>317</v>
      </c>
      <c r="G127" s="12" t="s">
        <v>641</v>
      </c>
      <c r="H127" s="12" t="s">
        <v>335</v>
      </c>
      <c r="I127" s="12" t="s">
        <v>440</v>
      </c>
      <c r="J127" s="12" t="s">
        <v>839</v>
      </c>
      <c r="K127" s="11">
        <v>46168.642592592587</v>
      </c>
      <c r="L127" s="11">
        <v>46168.642627314817</v>
      </c>
      <c r="M127" s="15">
        <v>12.7</v>
      </c>
      <c r="N127" s="15">
        <v>12.7</v>
      </c>
      <c r="O127" s="12" t="b">
        <v>0</v>
      </c>
      <c r="P127" s="12" t="s">
        <v>331</v>
      </c>
      <c r="Q127" s="12">
        <v>0</v>
      </c>
      <c r="R127" s="12">
        <v>0</v>
      </c>
      <c r="S127" s="12">
        <v>0</v>
      </c>
      <c r="T127" s="12" t="s">
        <v>840</v>
      </c>
    </row>
    <row r="128" spans="1:20" ht="30" x14ac:dyDescent="0.25">
      <c r="A128" s="12" t="s">
        <v>841</v>
      </c>
      <c r="B128" s="12" t="s">
        <v>842</v>
      </c>
      <c r="C128" s="12" t="s">
        <v>76</v>
      </c>
      <c r="D128" s="12"/>
      <c r="E128" s="12" t="s">
        <v>446</v>
      </c>
      <c r="F128" s="12" t="s">
        <v>317</v>
      </c>
      <c r="G128" s="12" t="s">
        <v>641</v>
      </c>
      <c r="H128" s="12" t="s">
        <v>335</v>
      </c>
      <c r="I128" s="12" t="s">
        <v>440</v>
      </c>
      <c r="J128" s="12" t="s">
        <v>843</v>
      </c>
      <c r="K128" s="11">
        <v>46168.650613425933</v>
      </c>
      <c r="L128" s="11">
        <v>46168.650636574072</v>
      </c>
      <c r="M128" s="15">
        <v>12.69</v>
      </c>
      <c r="N128" s="15">
        <v>12.69</v>
      </c>
      <c r="O128" s="12" t="b">
        <v>0</v>
      </c>
      <c r="P128" s="12" t="s">
        <v>331</v>
      </c>
      <c r="Q128" s="12">
        <v>0</v>
      </c>
      <c r="R128" s="12">
        <v>0</v>
      </c>
      <c r="S128" s="12">
        <v>0</v>
      </c>
      <c r="T128" s="12" t="s">
        <v>844</v>
      </c>
    </row>
    <row r="129" spans="1:20" ht="30" x14ac:dyDescent="0.25">
      <c r="A129" s="12" t="s">
        <v>845</v>
      </c>
      <c r="B129" s="12" t="s">
        <v>846</v>
      </c>
      <c r="C129" s="12" t="s">
        <v>76</v>
      </c>
      <c r="D129" s="12"/>
      <c r="E129" s="12" t="s">
        <v>446</v>
      </c>
      <c r="F129" s="12" t="s">
        <v>317</v>
      </c>
      <c r="G129" s="12" t="s">
        <v>641</v>
      </c>
      <c r="H129" s="12" t="s">
        <v>335</v>
      </c>
      <c r="I129" s="12" t="s">
        <v>440</v>
      </c>
      <c r="J129" s="12" t="s">
        <v>847</v>
      </c>
      <c r="K129" s="11">
        <v>46169.31826388889</v>
      </c>
      <c r="L129" s="11">
        <v>46169.318298611113</v>
      </c>
      <c r="M129" s="15">
        <v>12.02</v>
      </c>
      <c r="N129" s="15">
        <v>12.02</v>
      </c>
      <c r="O129" s="12" t="b">
        <v>0</v>
      </c>
      <c r="P129" s="12" t="s">
        <v>331</v>
      </c>
      <c r="Q129" s="12">
        <v>0</v>
      </c>
      <c r="R129" s="12">
        <v>0</v>
      </c>
      <c r="S129" s="12">
        <v>0</v>
      </c>
      <c r="T129" s="12" t="s">
        <v>848</v>
      </c>
    </row>
    <row r="130" spans="1:20" ht="30" x14ac:dyDescent="0.25">
      <c r="A130" s="12" t="s">
        <v>849</v>
      </c>
      <c r="B130" s="12" t="s">
        <v>850</v>
      </c>
      <c r="C130" s="12" t="s">
        <v>76</v>
      </c>
      <c r="D130" s="12"/>
      <c r="E130" s="12" t="s">
        <v>446</v>
      </c>
      <c r="F130" s="12" t="s">
        <v>317</v>
      </c>
      <c r="G130" s="12" t="s">
        <v>641</v>
      </c>
      <c r="H130" s="12" t="s">
        <v>335</v>
      </c>
      <c r="I130" s="12" t="s">
        <v>440</v>
      </c>
      <c r="J130" s="12" t="s">
        <v>851</v>
      </c>
      <c r="K130" s="11">
        <v>46169.320474537039</v>
      </c>
      <c r="L130" s="11">
        <v>46169.320497685178</v>
      </c>
      <c r="M130" s="15">
        <v>12.02</v>
      </c>
      <c r="N130" s="15">
        <v>12.02</v>
      </c>
      <c r="O130" s="12" t="b">
        <v>0</v>
      </c>
      <c r="P130" s="12" t="s">
        <v>331</v>
      </c>
      <c r="Q130" s="12">
        <v>0</v>
      </c>
      <c r="R130" s="12">
        <v>0</v>
      </c>
      <c r="S130" s="12">
        <v>0</v>
      </c>
      <c r="T130" s="12" t="s">
        <v>852</v>
      </c>
    </row>
    <row r="131" spans="1:20" ht="30" x14ac:dyDescent="0.25">
      <c r="A131" s="12" t="s">
        <v>853</v>
      </c>
      <c r="B131" s="12" t="s">
        <v>854</v>
      </c>
      <c r="C131" s="12" t="s">
        <v>76</v>
      </c>
      <c r="D131" s="12"/>
      <c r="E131" s="12" t="s">
        <v>446</v>
      </c>
      <c r="F131" s="12" t="s">
        <v>317</v>
      </c>
      <c r="G131" s="12" t="s">
        <v>641</v>
      </c>
      <c r="H131" s="12" t="s">
        <v>335</v>
      </c>
      <c r="I131" s="12" t="s">
        <v>440</v>
      </c>
      <c r="J131" s="12" t="s">
        <v>855</v>
      </c>
      <c r="K131" s="11">
        <v>46169.322974537034</v>
      </c>
      <c r="L131" s="11">
        <v>46169.323009259257</v>
      </c>
      <c r="M131" s="15">
        <v>12.02</v>
      </c>
      <c r="N131" s="15">
        <v>12.02</v>
      </c>
      <c r="O131" s="12" t="b">
        <v>0</v>
      </c>
      <c r="P131" s="12" t="s">
        <v>331</v>
      </c>
      <c r="Q131" s="12">
        <v>0</v>
      </c>
      <c r="R131" s="12">
        <v>0</v>
      </c>
      <c r="S131" s="12">
        <v>0</v>
      </c>
      <c r="T131" s="12" t="s">
        <v>856</v>
      </c>
    </row>
    <row r="132" spans="1:20" ht="30" x14ac:dyDescent="0.25">
      <c r="A132" s="12" t="s">
        <v>857</v>
      </c>
      <c r="B132" s="12" t="s">
        <v>858</v>
      </c>
      <c r="C132" s="12" t="s">
        <v>76</v>
      </c>
      <c r="D132" s="12"/>
      <c r="E132" s="12" t="s">
        <v>446</v>
      </c>
      <c r="F132" s="12" t="s">
        <v>317</v>
      </c>
      <c r="G132" s="12" t="s">
        <v>641</v>
      </c>
      <c r="H132" s="12" t="s">
        <v>335</v>
      </c>
      <c r="I132" s="12" t="s">
        <v>440</v>
      </c>
      <c r="J132" s="12" t="s">
        <v>859</v>
      </c>
      <c r="K132" s="11">
        <v>46169.323692129627</v>
      </c>
      <c r="L132" s="11">
        <v>46169.32371527778</v>
      </c>
      <c r="M132" s="15">
        <v>12.01</v>
      </c>
      <c r="N132" s="15">
        <v>12.01</v>
      </c>
      <c r="O132" s="12" t="b">
        <v>0</v>
      </c>
      <c r="P132" s="12" t="s">
        <v>331</v>
      </c>
      <c r="Q132" s="12">
        <v>0</v>
      </c>
      <c r="R132" s="12">
        <v>0</v>
      </c>
      <c r="S132" s="12">
        <v>0</v>
      </c>
      <c r="T132" s="12" t="s">
        <v>860</v>
      </c>
    </row>
    <row r="133" spans="1:20" ht="30" x14ac:dyDescent="0.25">
      <c r="A133" s="12" t="s">
        <v>861</v>
      </c>
      <c r="B133" s="12" t="s">
        <v>862</v>
      </c>
      <c r="C133" s="12" t="s">
        <v>76</v>
      </c>
      <c r="D133" s="12"/>
      <c r="E133" s="12" t="s">
        <v>446</v>
      </c>
      <c r="F133" s="12" t="s">
        <v>317</v>
      </c>
      <c r="G133" s="12" t="s">
        <v>641</v>
      </c>
      <c r="H133" s="12" t="s">
        <v>335</v>
      </c>
      <c r="I133" s="12" t="s">
        <v>440</v>
      </c>
      <c r="J133" s="12" t="s">
        <v>863</v>
      </c>
      <c r="K133" s="11">
        <v>46169.325023148151</v>
      </c>
      <c r="L133" s="11">
        <v>46169.325046296297</v>
      </c>
      <c r="M133" s="15">
        <v>12.01</v>
      </c>
      <c r="N133" s="15">
        <v>12.01</v>
      </c>
      <c r="O133" s="12" t="b">
        <v>0</v>
      </c>
      <c r="P133" s="12" t="s">
        <v>331</v>
      </c>
      <c r="Q133" s="12">
        <v>0</v>
      </c>
      <c r="R133" s="12">
        <v>0</v>
      </c>
      <c r="S133" s="12">
        <v>0</v>
      </c>
      <c r="T133" s="12" t="s">
        <v>864</v>
      </c>
    </row>
    <row r="134" spans="1:20" ht="30" x14ac:dyDescent="0.25">
      <c r="A134" s="12" t="s">
        <v>865</v>
      </c>
      <c r="B134" s="12" t="s">
        <v>866</v>
      </c>
      <c r="C134" s="12" t="s">
        <v>76</v>
      </c>
      <c r="D134" s="12"/>
      <c r="E134" s="12" t="s">
        <v>446</v>
      </c>
      <c r="F134" s="12" t="s">
        <v>317</v>
      </c>
      <c r="G134" s="12" t="s">
        <v>641</v>
      </c>
      <c r="H134" s="12" t="s">
        <v>335</v>
      </c>
      <c r="I134" s="12" t="s">
        <v>440</v>
      </c>
      <c r="J134" s="12" t="s">
        <v>867</v>
      </c>
      <c r="K134" s="11">
        <v>46169.325555555559</v>
      </c>
      <c r="L134" s="11">
        <v>46169.325578703712</v>
      </c>
      <c r="M134" s="15">
        <v>12.01</v>
      </c>
      <c r="N134" s="15">
        <v>12.01</v>
      </c>
      <c r="O134" s="12" t="b">
        <v>0</v>
      </c>
      <c r="P134" s="12" t="s">
        <v>331</v>
      </c>
      <c r="Q134" s="12">
        <v>0</v>
      </c>
      <c r="R134" s="12">
        <v>0</v>
      </c>
      <c r="S134" s="12">
        <v>0</v>
      </c>
      <c r="T134" s="12" t="s">
        <v>868</v>
      </c>
    </row>
    <row r="135" spans="1:20" ht="30" x14ac:dyDescent="0.25">
      <c r="A135" s="12" t="s">
        <v>869</v>
      </c>
      <c r="B135" s="12" t="s">
        <v>870</v>
      </c>
      <c r="C135" s="12" t="s">
        <v>76</v>
      </c>
      <c r="D135" s="12"/>
      <c r="E135" s="12" t="s">
        <v>446</v>
      </c>
      <c r="F135" s="12" t="s">
        <v>317</v>
      </c>
      <c r="G135" s="12" t="s">
        <v>641</v>
      </c>
      <c r="H135" s="12" t="s">
        <v>335</v>
      </c>
      <c r="I135" s="12" t="s">
        <v>440</v>
      </c>
      <c r="J135" s="12" t="s">
        <v>871</v>
      </c>
      <c r="K135" s="11">
        <v>46169.32613425926</v>
      </c>
      <c r="L135" s="11">
        <v>46169.326168981483</v>
      </c>
      <c r="M135" s="15">
        <v>12.01</v>
      </c>
      <c r="N135" s="15">
        <v>12.01</v>
      </c>
      <c r="O135" s="12" t="b">
        <v>0</v>
      </c>
      <c r="P135" s="12" t="s">
        <v>331</v>
      </c>
      <c r="Q135" s="12">
        <v>0</v>
      </c>
      <c r="R135" s="12">
        <v>0</v>
      </c>
      <c r="S135" s="12">
        <v>0</v>
      </c>
      <c r="T135" s="12" t="s">
        <v>872</v>
      </c>
    </row>
    <row r="136" spans="1:20" ht="30" x14ac:dyDescent="0.25">
      <c r="A136" s="12" t="s">
        <v>873</v>
      </c>
      <c r="B136" s="12" t="s">
        <v>874</v>
      </c>
      <c r="C136" s="12" t="s">
        <v>76</v>
      </c>
      <c r="D136" s="12"/>
      <c r="E136" s="12" t="s">
        <v>446</v>
      </c>
      <c r="F136" s="12" t="s">
        <v>317</v>
      </c>
      <c r="G136" s="12" t="s">
        <v>641</v>
      </c>
      <c r="H136" s="12" t="s">
        <v>335</v>
      </c>
      <c r="I136" s="12" t="s">
        <v>440</v>
      </c>
      <c r="J136" s="12" t="s">
        <v>875</v>
      </c>
      <c r="K136" s="11">
        <v>46169.326782407406</v>
      </c>
      <c r="L136" s="11">
        <v>46169.326817129629</v>
      </c>
      <c r="M136" s="15">
        <v>12.01</v>
      </c>
      <c r="N136" s="15">
        <v>12.01</v>
      </c>
      <c r="O136" s="12" t="b">
        <v>0</v>
      </c>
      <c r="P136" s="12" t="s">
        <v>331</v>
      </c>
      <c r="Q136" s="12">
        <v>0</v>
      </c>
      <c r="R136" s="12">
        <v>0</v>
      </c>
      <c r="S136" s="12">
        <v>0</v>
      </c>
      <c r="T136" s="12" t="s">
        <v>876</v>
      </c>
    </row>
    <row r="137" spans="1:20" ht="30" x14ac:dyDescent="0.25">
      <c r="A137" s="12" t="s">
        <v>877</v>
      </c>
      <c r="B137" s="12" t="s">
        <v>878</v>
      </c>
      <c r="C137" s="12" t="s">
        <v>76</v>
      </c>
      <c r="D137" s="12"/>
      <c r="E137" s="12" t="s">
        <v>446</v>
      </c>
      <c r="F137" s="12" t="s">
        <v>317</v>
      </c>
      <c r="G137" s="12" t="s">
        <v>641</v>
      </c>
      <c r="H137" s="12" t="s">
        <v>335</v>
      </c>
      <c r="I137" s="12" t="s">
        <v>440</v>
      </c>
      <c r="J137" s="12" t="s">
        <v>879</v>
      </c>
      <c r="K137" s="11">
        <v>46169.488229166673</v>
      </c>
      <c r="L137" s="11">
        <v>46169.488252314812</v>
      </c>
      <c r="M137" s="15">
        <v>11.85</v>
      </c>
      <c r="N137" s="15">
        <v>11.85</v>
      </c>
      <c r="O137" s="12" t="b">
        <v>0</v>
      </c>
      <c r="P137" s="12" t="s">
        <v>331</v>
      </c>
      <c r="Q137" s="12">
        <v>0</v>
      </c>
      <c r="R137" s="12">
        <v>0</v>
      </c>
      <c r="S137" s="12">
        <v>0</v>
      </c>
      <c r="T137" s="12" t="s">
        <v>880</v>
      </c>
    </row>
    <row r="138" spans="1:20" ht="30" x14ac:dyDescent="0.25">
      <c r="A138" s="12" t="s">
        <v>881</v>
      </c>
      <c r="B138" s="12" t="s">
        <v>882</v>
      </c>
      <c r="C138" s="12" t="s">
        <v>76</v>
      </c>
      <c r="D138" s="12"/>
      <c r="E138" s="12" t="s">
        <v>446</v>
      </c>
      <c r="F138" s="12" t="s">
        <v>317</v>
      </c>
      <c r="G138" s="12" t="s">
        <v>883</v>
      </c>
      <c r="H138" s="12" t="s">
        <v>335</v>
      </c>
      <c r="I138" s="12" t="s">
        <v>440</v>
      </c>
      <c r="J138" s="12" t="s">
        <v>884</v>
      </c>
      <c r="K138" s="11">
        <v>46169.569282407407</v>
      </c>
      <c r="L138" s="11">
        <v>46170.540763888886</v>
      </c>
      <c r="M138" s="15">
        <v>11.77</v>
      </c>
      <c r="N138" s="15">
        <v>10.8</v>
      </c>
      <c r="O138" s="12" t="b">
        <v>0</v>
      </c>
      <c r="P138" s="12" t="s">
        <v>331</v>
      </c>
      <c r="Q138" s="12">
        <v>0</v>
      </c>
      <c r="R138" s="12">
        <v>0</v>
      </c>
      <c r="S138" s="12">
        <v>0</v>
      </c>
      <c r="T138" s="12" t="s">
        <v>885</v>
      </c>
    </row>
    <row r="139" spans="1:20" ht="30" x14ac:dyDescent="0.25">
      <c r="A139" s="12" t="s">
        <v>886</v>
      </c>
      <c r="B139" s="12" t="s">
        <v>887</v>
      </c>
      <c r="C139" s="12" t="s">
        <v>76</v>
      </c>
      <c r="D139" s="12"/>
      <c r="E139" s="12" t="s">
        <v>446</v>
      </c>
      <c r="F139" s="12" t="s">
        <v>317</v>
      </c>
      <c r="G139" s="12" t="s">
        <v>883</v>
      </c>
      <c r="H139" s="12" t="s">
        <v>335</v>
      </c>
      <c r="I139" s="12" t="s">
        <v>440</v>
      </c>
      <c r="J139" s="12" t="s">
        <v>888</v>
      </c>
      <c r="K139" s="11">
        <v>46169.58326388889</v>
      </c>
      <c r="L139" s="11">
        <v>46170.540347222217</v>
      </c>
      <c r="M139" s="15">
        <v>11.75</v>
      </c>
      <c r="N139" s="15">
        <v>10.8</v>
      </c>
      <c r="O139" s="12" t="b">
        <v>0</v>
      </c>
      <c r="P139" s="12" t="s">
        <v>331</v>
      </c>
      <c r="Q139" s="12">
        <v>0</v>
      </c>
      <c r="R139" s="12">
        <v>0</v>
      </c>
      <c r="S139" s="12">
        <v>0</v>
      </c>
      <c r="T139" s="12" t="s">
        <v>889</v>
      </c>
    </row>
    <row r="140" spans="1:20" ht="30" x14ac:dyDescent="0.25">
      <c r="A140" s="12" t="s">
        <v>890</v>
      </c>
      <c r="B140" s="12" t="s">
        <v>891</v>
      </c>
      <c r="C140" s="12" t="s">
        <v>76</v>
      </c>
      <c r="D140" s="12"/>
      <c r="E140" s="12" t="s">
        <v>446</v>
      </c>
      <c r="F140" s="12" t="s">
        <v>317</v>
      </c>
      <c r="G140" s="12" t="s">
        <v>883</v>
      </c>
      <c r="H140" s="12" t="s">
        <v>335</v>
      </c>
      <c r="I140" s="12" t="s">
        <v>440</v>
      </c>
      <c r="J140" s="12" t="s">
        <v>892</v>
      </c>
      <c r="K140" s="11">
        <v>46169.58388888889</v>
      </c>
      <c r="L140" s="11">
        <v>46170.540034722217</v>
      </c>
      <c r="M140" s="15">
        <v>11.75</v>
      </c>
      <c r="N140" s="15">
        <v>10.8</v>
      </c>
      <c r="O140" s="12" t="b">
        <v>0</v>
      </c>
      <c r="P140" s="12" t="s">
        <v>331</v>
      </c>
      <c r="Q140" s="12">
        <v>0</v>
      </c>
      <c r="R140" s="12">
        <v>0</v>
      </c>
      <c r="S140" s="12">
        <v>0</v>
      </c>
      <c r="T140" s="12" t="s">
        <v>893</v>
      </c>
    </row>
    <row r="141" spans="1:20" ht="30" x14ac:dyDescent="0.25">
      <c r="A141" s="12" t="s">
        <v>894</v>
      </c>
      <c r="B141" s="12" t="s">
        <v>895</v>
      </c>
      <c r="C141" s="12" t="s">
        <v>76</v>
      </c>
      <c r="D141" s="12"/>
      <c r="E141" s="12" t="s">
        <v>446</v>
      </c>
      <c r="F141" s="12" t="s">
        <v>317</v>
      </c>
      <c r="G141" s="12" t="s">
        <v>883</v>
      </c>
      <c r="H141" s="12" t="s">
        <v>335</v>
      </c>
      <c r="I141" s="12" t="s">
        <v>440</v>
      </c>
      <c r="J141" s="12" t="s">
        <v>896</v>
      </c>
      <c r="K141" s="11">
        <v>46169.584803240738</v>
      </c>
      <c r="L141" s="11">
        <v>46170.539664351847</v>
      </c>
      <c r="M141" s="15">
        <v>11.75</v>
      </c>
      <c r="N141" s="15">
        <v>10.8</v>
      </c>
      <c r="O141" s="12" t="b">
        <v>0</v>
      </c>
      <c r="P141" s="12" t="s">
        <v>331</v>
      </c>
      <c r="Q141" s="12">
        <v>0</v>
      </c>
      <c r="R141" s="12">
        <v>0</v>
      </c>
      <c r="S141" s="12">
        <v>0</v>
      </c>
      <c r="T141" s="12" t="s">
        <v>897</v>
      </c>
    </row>
    <row r="142" spans="1:20" ht="30" x14ac:dyDescent="0.25">
      <c r="A142" s="12" t="s">
        <v>898</v>
      </c>
      <c r="B142" s="12" t="s">
        <v>899</v>
      </c>
      <c r="C142" s="12" t="s">
        <v>76</v>
      </c>
      <c r="D142" s="12"/>
      <c r="E142" s="12" t="s">
        <v>446</v>
      </c>
      <c r="F142" s="12" t="s">
        <v>317</v>
      </c>
      <c r="G142" s="12" t="s">
        <v>883</v>
      </c>
      <c r="H142" s="12" t="s">
        <v>335</v>
      </c>
      <c r="I142" s="12" t="s">
        <v>440</v>
      </c>
      <c r="J142" s="12" t="s">
        <v>900</v>
      </c>
      <c r="K142" s="11">
        <v>46169.585393518522</v>
      </c>
      <c r="L142" s="11">
        <v>46170.539247685178</v>
      </c>
      <c r="M142" s="15">
        <v>11.75</v>
      </c>
      <c r="N142" s="15">
        <v>10.8</v>
      </c>
      <c r="O142" s="12" t="b">
        <v>0</v>
      </c>
      <c r="P142" s="12" t="s">
        <v>331</v>
      </c>
      <c r="Q142" s="12">
        <v>0</v>
      </c>
      <c r="R142" s="12">
        <v>0</v>
      </c>
      <c r="S142" s="12">
        <v>0</v>
      </c>
      <c r="T142" s="12" t="s">
        <v>901</v>
      </c>
    </row>
    <row r="143" spans="1:20" ht="30" x14ac:dyDescent="0.25">
      <c r="A143" s="12" t="s">
        <v>902</v>
      </c>
      <c r="B143" s="12" t="s">
        <v>903</v>
      </c>
      <c r="C143" s="12" t="s">
        <v>76</v>
      </c>
      <c r="D143" s="12"/>
      <c r="E143" s="12" t="s">
        <v>446</v>
      </c>
      <c r="F143" s="12" t="s">
        <v>317</v>
      </c>
      <c r="G143" s="12" t="s">
        <v>883</v>
      </c>
      <c r="H143" s="12" t="s">
        <v>335</v>
      </c>
      <c r="I143" s="12" t="s">
        <v>440</v>
      </c>
      <c r="J143" s="12" t="s">
        <v>904</v>
      </c>
      <c r="K143" s="11">
        <v>46169.589305555557</v>
      </c>
      <c r="L143" s="11">
        <v>46170.538599537038</v>
      </c>
      <c r="M143" s="15">
        <v>11.75</v>
      </c>
      <c r="N143" s="15">
        <v>10.8</v>
      </c>
      <c r="O143" s="12" t="b">
        <v>0</v>
      </c>
      <c r="P143" s="12" t="s">
        <v>331</v>
      </c>
      <c r="Q143" s="12">
        <v>0</v>
      </c>
      <c r="R143" s="12">
        <v>0</v>
      </c>
      <c r="S143" s="12">
        <v>0</v>
      </c>
      <c r="T143" s="12" t="s">
        <v>905</v>
      </c>
    </row>
    <row r="144" spans="1:20" ht="30" x14ac:dyDescent="0.25">
      <c r="A144" s="12" t="s">
        <v>906</v>
      </c>
      <c r="B144" s="12" t="s">
        <v>907</v>
      </c>
      <c r="C144" s="12" t="s">
        <v>76</v>
      </c>
      <c r="D144" s="12"/>
      <c r="E144" s="12" t="s">
        <v>446</v>
      </c>
      <c r="F144" s="12" t="s">
        <v>317</v>
      </c>
      <c r="G144" s="12" t="s">
        <v>883</v>
      </c>
      <c r="H144" s="12" t="s">
        <v>335</v>
      </c>
      <c r="I144" s="12" t="s">
        <v>440</v>
      </c>
      <c r="J144" s="12" t="s">
        <v>908</v>
      </c>
      <c r="K144" s="11">
        <v>46169.599849537037</v>
      </c>
      <c r="L144" s="11">
        <v>46170.538148148153</v>
      </c>
      <c r="M144" s="15">
        <v>11.74</v>
      </c>
      <c r="N144" s="15">
        <v>10.8</v>
      </c>
      <c r="O144" s="12" t="b">
        <v>0</v>
      </c>
      <c r="P144" s="12" t="s">
        <v>331</v>
      </c>
      <c r="Q144" s="12">
        <v>0</v>
      </c>
      <c r="R144" s="12">
        <v>0</v>
      </c>
      <c r="S144" s="12">
        <v>0</v>
      </c>
      <c r="T144" s="12" t="s">
        <v>909</v>
      </c>
    </row>
    <row r="145" spans="1:20" ht="30" x14ac:dyDescent="0.25">
      <c r="A145" s="12" t="s">
        <v>910</v>
      </c>
      <c r="B145" s="12" t="s">
        <v>911</v>
      </c>
      <c r="C145" s="12" t="s">
        <v>76</v>
      </c>
      <c r="D145" s="12"/>
      <c r="E145" s="12" t="s">
        <v>446</v>
      </c>
      <c r="F145" s="12" t="s">
        <v>317</v>
      </c>
      <c r="G145" s="12" t="s">
        <v>883</v>
      </c>
      <c r="H145" s="12" t="s">
        <v>335</v>
      </c>
      <c r="I145" s="12" t="s">
        <v>440</v>
      </c>
      <c r="J145" s="12" t="s">
        <v>912</v>
      </c>
      <c r="K145" s="11">
        <v>46169.600381944438</v>
      </c>
      <c r="L145" s="11">
        <v>46170.53769675926</v>
      </c>
      <c r="M145" s="15">
        <v>11.74</v>
      </c>
      <c r="N145" s="15">
        <v>10.8</v>
      </c>
      <c r="O145" s="12" t="b">
        <v>0</v>
      </c>
      <c r="P145" s="12" t="s">
        <v>331</v>
      </c>
      <c r="Q145" s="12">
        <v>0</v>
      </c>
      <c r="R145" s="12">
        <v>0</v>
      </c>
      <c r="S145" s="12">
        <v>0</v>
      </c>
      <c r="T145" s="12" t="s">
        <v>913</v>
      </c>
    </row>
    <row r="146" spans="1:20" ht="30" x14ac:dyDescent="0.25">
      <c r="A146" s="12" t="s">
        <v>914</v>
      </c>
      <c r="B146" s="12" t="s">
        <v>915</v>
      </c>
      <c r="C146" s="12" t="s">
        <v>76</v>
      </c>
      <c r="D146" s="12"/>
      <c r="E146" s="12" t="s">
        <v>446</v>
      </c>
      <c r="F146" s="12" t="s">
        <v>317</v>
      </c>
      <c r="G146" s="12" t="s">
        <v>883</v>
      </c>
      <c r="H146" s="12" t="s">
        <v>335</v>
      </c>
      <c r="I146" s="12" t="s">
        <v>440</v>
      </c>
      <c r="J146" s="12" t="s">
        <v>916</v>
      </c>
      <c r="K146" s="11">
        <v>46169.602060185192</v>
      </c>
      <c r="L146" s="11">
        <v>46170.536469907413</v>
      </c>
      <c r="M146" s="15">
        <v>11.74</v>
      </c>
      <c r="N146" s="15">
        <v>10.8</v>
      </c>
      <c r="O146" s="12" t="b">
        <v>0</v>
      </c>
      <c r="P146" s="12" t="s">
        <v>331</v>
      </c>
      <c r="Q146" s="12">
        <v>0</v>
      </c>
      <c r="R146" s="12">
        <v>0</v>
      </c>
      <c r="S146" s="12">
        <v>0</v>
      </c>
      <c r="T146" s="12" t="s">
        <v>917</v>
      </c>
    </row>
    <row r="147" spans="1:20" ht="30" x14ac:dyDescent="0.25">
      <c r="A147" s="12" t="s">
        <v>918</v>
      </c>
      <c r="B147" s="12" t="s">
        <v>919</v>
      </c>
      <c r="C147" s="12" t="s">
        <v>76</v>
      </c>
      <c r="D147" s="12"/>
      <c r="E147" s="12" t="s">
        <v>446</v>
      </c>
      <c r="F147" s="12" t="s">
        <v>317</v>
      </c>
      <c r="G147" s="12" t="s">
        <v>883</v>
      </c>
      <c r="H147" s="12" t="s">
        <v>335</v>
      </c>
      <c r="I147" s="12" t="s">
        <v>440</v>
      </c>
      <c r="J147" s="12" t="s">
        <v>920</v>
      </c>
      <c r="K147" s="11">
        <v>46169.602511574078</v>
      </c>
      <c r="L147" s="11">
        <v>46170.535081018519</v>
      </c>
      <c r="M147" s="15">
        <v>11.74</v>
      </c>
      <c r="N147" s="15">
        <v>10.8</v>
      </c>
      <c r="O147" s="12" t="b">
        <v>0</v>
      </c>
      <c r="P147" s="12" t="s">
        <v>331</v>
      </c>
      <c r="Q147" s="12">
        <v>0</v>
      </c>
      <c r="R147" s="12">
        <v>0</v>
      </c>
      <c r="S147" s="12">
        <v>0</v>
      </c>
      <c r="T147" s="12" t="s">
        <v>921</v>
      </c>
    </row>
    <row r="148" spans="1:20" ht="30" x14ac:dyDescent="0.25">
      <c r="A148" s="12" t="s">
        <v>922</v>
      </c>
      <c r="B148" s="12" t="s">
        <v>923</v>
      </c>
      <c r="C148" s="12" t="s">
        <v>76</v>
      </c>
      <c r="D148" s="12"/>
      <c r="E148" s="12" t="s">
        <v>91</v>
      </c>
      <c r="F148" s="12" t="s">
        <v>317</v>
      </c>
      <c r="G148" s="12" t="s">
        <v>646</v>
      </c>
      <c r="H148" s="12" t="s">
        <v>335</v>
      </c>
      <c r="I148" s="12" t="s">
        <v>329</v>
      </c>
      <c r="J148" s="12" t="s">
        <v>924</v>
      </c>
      <c r="K148" s="11">
        <v>46169.637546296297</v>
      </c>
      <c r="L148" s="11">
        <v>46169.637569444443</v>
      </c>
      <c r="M148" s="15">
        <v>11.7</v>
      </c>
      <c r="N148" s="15">
        <v>11.7</v>
      </c>
      <c r="O148" s="12" t="b">
        <v>0</v>
      </c>
      <c r="P148" s="12" t="s">
        <v>331</v>
      </c>
      <c r="Q148" s="12">
        <v>0</v>
      </c>
      <c r="R148" s="12">
        <v>0</v>
      </c>
      <c r="S148" s="12">
        <v>0</v>
      </c>
      <c r="T148" s="12" t="s">
        <v>925</v>
      </c>
    </row>
    <row r="149" spans="1:20" ht="30" x14ac:dyDescent="0.25">
      <c r="A149" s="12" t="s">
        <v>926</v>
      </c>
      <c r="B149" s="12" t="s">
        <v>927</v>
      </c>
      <c r="C149" s="12" t="s">
        <v>76</v>
      </c>
      <c r="D149" s="12"/>
      <c r="E149" s="12" t="s">
        <v>446</v>
      </c>
      <c r="F149" s="12" t="s">
        <v>317</v>
      </c>
      <c r="G149" s="12" t="s">
        <v>447</v>
      </c>
      <c r="H149" s="12" t="s">
        <v>335</v>
      </c>
      <c r="I149" s="12" t="s">
        <v>440</v>
      </c>
      <c r="J149" s="12" t="s">
        <v>928</v>
      </c>
      <c r="K149" s="11">
        <v>46175.414895833332</v>
      </c>
      <c r="L149" s="11">
        <v>46175.428460648152</v>
      </c>
      <c r="M149" s="15">
        <v>5.92</v>
      </c>
      <c r="N149" s="15">
        <v>5.91</v>
      </c>
      <c r="O149" s="12" t="b">
        <v>1</v>
      </c>
      <c r="P149" s="12" t="s">
        <v>322</v>
      </c>
      <c r="Q149" s="12">
        <v>0</v>
      </c>
      <c r="R149" s="12">
        <v>1</v>
      </c>
      <c r="S149" s="12">
        <v>0</v>
      </c>
      <c r="T149" s="12" t="s">
        <v>929</v>
      </c>
    </row>
    <row r="150" spans="1:20" ht="30" x14ac:dyDescent="0.25">
      <c r="A150" s="12" t="s">
        <v>930</v>
      </c>
      <c r="B150" s="12" t="s">
        <v>931</v>
      </c>
      <c r="C150" s="12" t="s">
        <v>76</v>
      </c>
      <c r="D150" s="12" t="s">
        <v>465</v>
      </c>
      <c r="E150" s="12" t="s">
        <v>326</v>
      </c>
      <c r="F150" s="12" t="s">
        <v>290</v>
      </c>
      <c r="G150" s="12" t="s">
        <v>327</v>
      </c>
      <c r="H150" s="12" t="s">
        <v>335</v>
      </c>
      <c r="I150" s="12" t="s">
        <v>448</v>
      </c>
      <c r="J150" s="12" t="s">
        <v>932</v>
      </c>
      <c r="K150" s="11">
        <v>46175.422488425917</v>
      </c>
      <c r="L150" s="11">
        <v>46175.424988425933</v>
      </c>
      <c r="M150" s="15">
        <v>5.92</v>
      </c>
      <c r="N150" s="15">
        <v>5.91</v>
      </c>
      <c r="O150" s="12" t="b">
        <v>0</v>
      </c>
      <c r="P150" s="12" t="s">
        <v>331</v>
      </c>
      <c r="Q150" s="12">
        <v>1</v>
      </c>
      <c r="R150" s="12">
        <v>0</v>
      </c>
      <c r="S150" s="12">
        <v>0</v>
      </c>
      <c r="T150" s="12" t="s">
        <v>933</v>
      </c>
    </row>
    <row r="151" spans="1:20" ht="30" x14ac:dyDescent="0.25">
      <c r="A151" s="12" t="s">
        <v>934</v>
      </c>
      <c r="B151" s="12" t="s">
        <v>935</v>
      </c>
      <c r="C151" s="12" t="s">
        <v>76</v>
      </c>
      <c r="D151" s="12"/>
      <c r="E151" s="12" t="s">
        <v>91</v>
      </c>
      <c r="F151" s="12" t="s">
        <v>317</v>
      </c>
      <c r="G151" s="12" t="s">
        <v>318</v>
      </c>
      <c r="H151" s="12" t="s">
        <v>335</v>
      </c>
      <c r="I151" s="12" t="s">
        <v>440</v>
      </c>
      <c r="J151" s="12" t="s">
        <v>936</v>
      </c>
      <c r="K151" s="11">
        <v>46176.609849537039</v>
      </c>
      <c r="L151" s="11">
        <v>46176.62060185185</v>
      </c>
      <c r="M151" s="15">
        <v>4.7300000000000004</v>
      </c>
      <c r="N151" s="15">
        <v>4.72</v>
      </c>
      <c r="O151" s="12" t="b">
        <v>0</v>
      </c>
      <c r="P151" s="12" t="s">
        <v>331</v>
      </c>
      <c r="Q151" s="12">
        <v>1</v>
      </c>
      <c r="R151" s="12">
        <v>0</v>
      </c>
      <c r="S151" s="12">
        <v>0</v>
      </c>
      <c r="T151" s="12" t="s">
        <v>937</v>
      </c>
    </row>
    <row r="152" spans="1:20" ht="30" x14ac:dyDescent="0.25">
      <c r="A152" s="12" t="s">
        <v>938</v>
      </c>
      <c r="B152" s="12" t="s">
        <v>939</v>
      </c>
      <c r="C152" s="12" t="s">
        <v>76</v>
      </c>
      <c r="D152" s="12"/>
      <c r="E152" s="12" t="s">
        <v>91</v>
      </c>
      <c r="F152" s="12" t="s">
        <v>317</v>
      </c>
      <c r="G152" s="12" t="s">
        <v>646</v>
      </c>
      <c r="H152" s="12" t="s">
        <v>335</v>
      </c>
      <c r="I152" s="12" t="s">
        <v>448</v>
      </c>
      <c r="J152" s="12" t="s">
        <v>940</v>
      </c>
      <c r="K152" s="11">
        <v>46177.377870370372</v>
      </c>
      <c r="L152" s="11">
        <v>46177.377893518518</v>
      </c>
      <c r="M152" s="15">
        <v>3.96</v>
      </c>
      <c r="N152" s="15">
        <v>3.96</v>
      </c>
      <c r="O152" s="12" t="b">
        <v>0</v>
      </c>
      <c r="P152" s="12" t="s">
        <v>331</v>
      </c>
      <c r="Q152" s="12">
        <v>0</v>
      </c>
      <c r="R152" s="12">
        <v>0</v>
      </c>
      <c r="S152" s="12">
        <v>0</v>
      </c>
      <c r="T152" s="12" t="s">
        <v>941</v>
      </c>
    </row>
    <row r="153" spans="1:20" ht="30" x14ac:dyDescent="0.25">
      <c r="A153" s="12" t="s">
        <v>942</v>
      </c>
      <c r="B153" s="12" t="s">
        <v>943</v>
      </c>
      <c r="C153" s="12" t="s">
        <v>76</v>
      </c>
      <c r="D153" s="12"/>
      <c r="E153" s="12" t="s">
        <v>91</v>
      </c>
      <c r="F153" s="12" t="s">
        <v>317</v>
      </c>
      <c r="G153" s="12" t="s">
        <v>646</v>
      </c>
      <c r="H153" s="12" t="s">
        <v>335</v>
      </c>
      <c r="I153" s="12" t="s">
        <v>448</v>
      </c>
      <c r="J153" s="12" t="s">
        <v>940</v>
      </c>
      <c r="K153" s="11">
        <v>46177.37871527778</v>
      </c>
      <c r="L153" s="11">
        <v>46177.378738425927</v>
      </c>
      <c r="M153" s="15">
        <v>3.96</v>
      </c>
      <c r="N153" s="15">
        <v>3.96</v>
      </c>
      <c r="O153" s="12" t="b">
        <v>0</v>
      </c>
      <c r="P153" s="12" t="s">
        <v>331</v>
      </c>
      <c r="Q153" s="12">
        <v>0</v>
      </c>
      <c r="R153" s="12">
        <v>0</v>
      </c>
      <c r="S153" s="12">
        <v>0</v>
      </c>
      <c r="T153" s="12" t="s">
        <v>944</v>
      </c>
    </row>
    <row r="154" spans="1:20" ht="30" x14ac:dyDescent="0.25">
      <c r="A154" s="12" t="s">
        <v>945</v>
      </c>
      <c r="B154" s="12" t="s">
        <v>946</v>
      </c>
      <c r="C154" s="12" t="s">
        <v>76</v>
      </c>
      <c r="D154" s="12"/>
      <c r="E154" s="12" t="s">
        <v>91</v>
      </c>
      <c r="F154" s="12" t="s">
        <v>317</v>
      </c>
      <c r="G154" s="12" t="s">
        <v>646</v>
      </c>
      <c r="H154" s="12" t="s">
        <v>335</v>
      </c>
      <c r="I154" s="12" t="s">
        <v>448</v>
      </c>
      <c r="J154" s="12" t="s">
        <v>940</v>
      </c>
      <c r="K154" s="11">
        <v>46178.340601851851</v>
      </c>
      <c r="L154" s="11">
        <v>46178.340624999997</v>
      </c>
      <c r="M154" s="15">
        <v>3</v>
      </c>
      <c r="N154" s="15">
        <v>3</v>
      </c>
      <c r="O154" s="12" t="b">
        <v>0</v>
      </c>
      <c r="P154" s="12" t="s">
        <v>331</v>
      </c>
      <c r="Q154" s="12">
        <v>0</v>
      </c>
      <c r="R154" s="12">
        <v>0</v>
      </c>
      <c r="S154" s="12">
        <v>0</v>
      </c>
      <c r="T154" s="12" t="s">
        <v>947</v>
      </c>
    </row>
    <row r="155" spans="1:20" ht="30" x14ac:dyDescent="0.25">
      <c r="A155" s="12" t="s">
        <v>948</v>
      </c>
      <c r="B155" s="12" t="s">
        <v>949</v>
      </c>
      <c r="C155" s="12" t="s">
        <v>76</v>
      </c>
      <c r="D155" s="12"/>
      <c r="E155" s="12" t="s">
        <v>91</v>
      </c>
      <c r="F155" s="12" t="s">
        <v>317</v>
      </c>
      <c r="G155" s="12" t="s">
        <v>646</v>
      </c>
      <c r="H155" s="12" t="s">
        <v>335</v>
      </c>
      <c r="I155" s="12" t="s">
        <v>448</v>
      </c>
      <c r="J155" s="12" t="s">
        <v>950</v>
      </c>
      <c r="K155" s="11">
        <v>46178.343449074076</v>
      </c>
      <c r="L155" s="11">
        <v>46178.3434837963</v>
      </c>
      <c r="M155" s="15">
        <v>2.99</v>
      </c>
      <c r="N155" s="15">
        <v>2.99</v>
      </c>
      <c r="O155" s="12" t="b">
        <v>0</v>
      </c>
      <c r="P155" s="12" t="s">
        <v>331</v>
      </c>
      <c r="Q155" s="12">
        <v>0</v>
      </c>
      <c r="R155" s="12">
        <v>0</v>
      </c>
      <c r="S155" s="12">
        <v>0</v>
      </c>
      <c r="T155" s="12" t="s">
        <v>951</v>
      </c>
    </row>
    <row r="156" spans="1:20" ht="30" x14ac:dyDescent="0.25">
      <c r="A156" s="12" t="s">
        <v>952</v>
      </c>
      <c r="B156" s="12" t="s">
        <v>953</v>
      </c>
      <c r="C156" s="12" t="s">
        <v>76</v>
      </c>
      <c r="D156" s="12"/>
      <c r="E156" s="12" t="s">
        <v>91</v>
      </c>
      <c r="F156" s="12" t="s">
        <v>317</v>
      </c>
      <c r="G156" s="12" t="s">
        <v>646</v>
      </c>
      <c r="H156" s="12" t="s">
        <v>335</v>
      </c>
      <c r="I156" s="12" t="s">
        <v>336</v>
      </c>
      <c r="J156" s="12" t="s">
        <v>950</v>
      </c>
      <c r="K156" s="11">
        <v>46178.501203703701</v>
      </c>
      <c r="L156" s="11">
        <v>46178.573738425926</v>
      </c>
      <c r="M156" s="15">
        <v>2.84</v>
      </c>
      <c r="N156" s="15">
        <v>2.76</v>
      </c>
      <c r="O156" s="12" t="b">
        <v>0</v>
      </c>
      <c r="P156" s="12" t="s">
        <v>331</v>
      </c>
      <c r="Q156" s="12">
        <v>0</v>
      </c>
      <c r="R156" s="12">
        <v>0</v>
      </c>
      <c r="S156" s="12">
        <v>3</v>
      </c>
      <c r="T156" s="12" t="s">
        <v>954</v>
      </c>
    </row>
    <row r="157" spans="1:20" ht="30" x14ac:dyDescent="0.25">
      <c r="A157" s="12" t="s">
        <v>955</v>
      </c>
      <c r="B157" s="12" t="s">
        <v>956</v>
      </c>
      <c r="C157" s="12" t="s">
        <v>76</v>
      </c>
      <c r="D157" s="12" t="s">
        <v>465</v>
      </c>
      <c r="E157" s="12" t="s">
        <v>446</v>
      </c>
      <c r="F157" s="12" t="s">
        <v>317</v>
      </c>
      <c r="G157" s="12" t="s">
        <v>447</v>
      </c>
      <c r="H157" s="12" t="s">
        <v>335</v>
      </c>
      <c r="I157" s="12" t="s">
        <v>336</v>
      </c>
      <c r="J157" s="12" t="s">
        <v>957</v>
      </c>
      <c r="K157" s="11">
        <v>46178.540231481478</v>
      </c>
      <c r="L157" s="11">
        <v>46178.578472222223</v>
      </c>
      <c r="M157" s="15">
        <v>2.8</v>
      </c>
      <c r="N157" s="15">
        <v>2.76</v>
      </c>
      <c r="O157" s="12" t="b">
        <v>1</v>
      </c>
      <c r="P157" s="12" t="s">
        <v>322</v>
      </c>
      <c r="Q157" s="12">
        <v>0</v>
      </c>
      <c r="R157" s="12">
        <v>0</v>
      </c>
      <c r="S157" s="12">
        <v>2</v>
      </c>
      <c r="T157" s="12" t="s">
        <v>958</v>
      </c>
    </row>
    <row r="158" spans="1:20" ht="30" x14ac:dyDescent="0.25">
      <c r="A158" s="12" t="s">
        <v>959</v>
      </c>
      <c r="B158" s="12" t="s">
        <v>960</v>
      </c>
      <c r="C158" s="12" t="s">
        <v>76</v>
      </c>
      <c r="D158" s="12"/>
      <c r="E158" s="12" t="s">
        <v>446</v>
      </c>
      <c r="F158" s="12" t="s">
        <v>317</v>
      </c>
      <c r="G158" s="12" t="s">
        <v>641</v>
      </c>
      <c r="H158" s="12" t="s">
        <v>335</v>
      </c>
      <c r="I158" s="12" t="s">
        <v>440</v>
      </c>
      <c r="J158" s="12" t="s">
        <v>961</v>
      </c>
      <c r="K158" s="11">
        <v>46178.552141203712</v>
      </c>
      <c r="L158" s="11">
        <v>46178.552164351851</v>
      </c>
      <c r="M158" s="15">
        <v>2.79</v>
      </c>
      <c r="N158" s="15">
        <v>2.79</v>
      </c>
      <c r="O158" s="12" t="b">
        <v>0</v>
      </c>
      <c r="P158" s="12" t="s">
        <v>331</v>
      </c>
      <c r="Q158" s="12">
        <v>0</v>
      </c>
      <c r="R158" s="12">
        <v>0</v>
      </c>
      <c r="S158" s="12">
        <v>0</v>
      </c>
      <c r="T158" s="12" t="s">
        <v>962</v>
      </c>
    </row>
    <row r="159" spans="1:20" ht="30" x14ac:dyDescent="0.25">
      <c r="A159" s="12" t="s">
        <v>963</v>
      </c>
      <c r="B159" s="12" t="s">
        <v>964</v>
      </c>
      <c r="C159" s="12" t="s">
        <v>76</v>
      </c>
      <c r="D159" s="12"/>
      <c r="E159" s="12" t="s">
        <v>91</v>
      </c>
      <c r="F159" s="12" t="s">
        <v>317</v>
      </c>
      <c r="G159" s="12" t="s">
        <v>646</v>
      </c>
      <c r="H159" s="12" t="s">
        <v>335</v>
      </c>
      <c r="I159" s="12" t="s">
        <v>329</v>
      </c>
      <c r="J159" s="12" t="s">
        <v>965</v>
      </c>
      <c r="K159" s="11">
        <v>46178.55259259259</v>
      </c>
      <c r="L159" s="11">
        <v>46178.552615740737</v>
      </c>
      <c r="M159" s="15">
        <v>2.79</v>
      </c>
      <c r="N159" s="15">
        <v>2.79</v>
      </c>
      <c r="O159" s="12" t="b">
        <v>0</v>
      </c>
      <c r="P159" s="12" t="s">
        <v>331</v>
      </c>
      <c r="Q159" s="12">
        <v>0</v>
      </c>
      <c r="R159" s="12">
        <v>0</v>
      </c>
      <c r="S159" s="12">
        <v>0</v>
      </c>
      <c r="T159" s="12" t="s">
        <v>966</v>
      </c>
    </row>
    <row r="160" spans="1:20" ht="30" x14ac:dyDescent="0.25">
      <c r="A160" s="12" t="s">
        <v>967</v>
      </c>
      <c r="B160" s="12" t="s">
        <v>968</v>
      </c>
      <c r="C160" s="12" t="s">
        <v>76</v>
      </c>
      <c r="D160" s="12" t="s">
        <v>465</v>
      </c>
      <c r="E160" s="12" t="s">
        <v>446</v>
      </c>
      <c r="F160" s="12" t="s">
        <v>317</v>
      </c>
      <c r="G160" s="12" t="s">
        <v>447</v>
      </c>
      <c r="H160" s="12" t="s">
        <v>335</v>
      </c>
      <c r="I160" s="12" t="s">
        <v>336</v>
      </c>
      <c r="J160" s="12" t="s">
        <v>969</v>
      </c>
      <c r="K160" s="11">
        <v>46178.573703703703</v>
      </c>
      <c r="L160" s="11">
        <v>46178.576041666667</v>
      </c>
      <c r="M160" s="15">
        <v>2.76</v>
      </c>
      <c r="N160" s="15">
        <v>2.76</v>
      </c>
      <c r="O160" s="12" t="b">
        <v>0</v>
      </c>
      <c r="P160" s="12" t="s">
        <v>331</v>
      </c>
      <c r="Q160" s="12">
        <v>0</v>
      </c>
      <c r="R160" s="12">
        <v>6</v>
      </c>
      <c r="S160" s="12">
        <v>2</v>
      </c>
      <c r="T160" s="12" t="s">
        <v>970</v>
      </c>
    </row>
    <row r="161" spans="1:20" ht="30" x14ac:dyDescent="0.25">
      <c r="A161" s="12" t="s">
        <v>971</v>
      </c>
      <c r="B161" s="12" t="s">
        <v>972</v>
      </c>
      <c r="C161" s="12" t="s">
        <v>76</v>
      </c>
      <c r="D161" s="12"/>
      <c r="E161" s="12" t="s">
        <v>326</v>
      </c>
      <c r="F161" s="12" t="s">
        <v>290</v>
      </c>
      <c r="G161" s="12" t="s">
        <v>479</v>
      </c>
      <c r="H161" s="12" t="s">
        <v>335</v>
      </c>
      <c r="I161" s="12" t="s">
        <v>973</v>
      </c>
      <c r="J161" s="12" t="s">
        <v>974</v>
      </c>
      <c r="K161" s="11">
        <v>44853.589814814812</v>
      </c>
      <c r="L161" s="11">
        <v>45993.558113425926</v>
      </c>
      <c r="M161" s="15">
        <v>1327.75</v>
      </c>
      <c r="N161" s="15">
        <v>187.78</v>
      </c>
      <c r="O161" s="12" t="b">
        <v>0</v>
      </c>
      <c r="P161" s="12" t="s">
        <v>331</v>
      </c>
      <c r="Q161" s="12">
        <v>0</v>
      </c>
      <c r="R161" s="12">
        <v>0</v>
      </c>
      <c r="S161" s="12">
        <v>1</v>
      </c>
      <c r="T161" s="12" t="s">
        <v>975</v>
      </c>
    </row>
    <row r="162" spans="1:20" ht="30" x14ac:dyDescent="0.25">
      <c r="A162" s="12" t="s">
        <v>976</v>
      </c>
      <c r="B162" s="12" t="s">
        <v>977</v>
      </c>
      <c r="C162" s="12" t="s">
        <v>76</v>
      </c>
      <c r="D162" s="12"/>
      <c r="E162" s="12" t="s">
        <v>91</v>
      </c>
      <c r="F162" s="12" t="s">
        <v>317</v>
      </c>
      <c r="G162" s="12" t="s">
        <v>479</v>
      </c>
      <c r="H162" s="12" t="s">
        <v>335</v>
      </c>
      <c r="I162" s="12" t="s">
        <v>345</v>
      </c>
      <c r="J162" s="12" t="s">
        <v>978</v>
      </c>
      <c r="K162" s="11">
        <v>44853.590081018519</v>
      </c>
      <c r="L162" s="11">
        <v>46049.671863425923</v>
      </c>
      <c r="M162" s="15">
        <v>1327.75</v>
      </c>
      <c r="N162" s="15">
        <v>131.66999999999999</v>
      </c>
      <c r="O162" s="12" t="b">
        <v>0</v>
      </c>
      <c r="P162" s="12" t="s">
        <v>331</v>
      </c>
      <c r="Q162" s="12">
        <v>0</v>
      </c>
      <c r="R162" s="12">
        <v>0</v>
      </c>
      <c r="S162" s="12">
        <v>0</v>
      </c>
      <c r="T162" s="12" t="s">
        <v>979</v>
      </c>
    </row>
    <row r="163" spans="1:20" ht="30" x14ac:dyDescent="0.25">
      <c r="A163" s="12" t="s">
        <v>980</v>
      </c>
      <c r="B163" s="12" t="s">
        <v>981</v>
      </c>
      <c r="C163" s="12" t="s">
        <v>76</v>
      </c>
      <c r="D163" s="12"/>
      <c r="E163" s="12" t="s">
        <v>91</v>
      </c>
      <c r="F163" s="12" t="s">
        <v>317</v>
      </c>
      <c r="G163" s="12" t="s">
        <v>479</v>
      </c>
      <c r="H163" s="12" t="s">
        <v>335</v>
      </c>
      <c r="I163" s="12" t="s">
        <v>973</v>
      </c>
      <c r="J163" s="12" t="s">
        <v>982</v>
      </c>
      <c r="K163" s="11">
        <v>44853.590763888889</v>
      </c>
      <c r="L163" s="11">
        <v>45839.565740740742</v>
      </c>
      <c r="M163" s="15">
        <v>1327.75</v>
      </c>
      <c r="N163" s="15">
        <v>341.77</v>
      </c>
      <c r="O163" s="12" t="b">
        <v>0</v>
      </c>
      <c r="P163" s="12" t="s">
        <v>331</v>
      </c>
      <c r="Q163" s="12">
        <v>0</v>
      </c>
      <c r="R163" s="12">
        <v>0</v>
      </c>
      <c r="S163" s="12">
        <v>0</v>
      </c>
      <c r="T163" s="12" t="s">
        <v>983</v>
      </c>
    </row>
    <row r="164" spans="1:20" ht="30" x14ac:dyDescent="0.25">
      <c r="A164" s="12" t="s">
        <v>984</v>
      </c>
      <c r="B164" s="12" t="s">
        <v>985</v>
      </c>
      <c r="C164" s="12" t="s">
        <v>76</v>
      </c>
      <c r="D164" s="12"/>
      <c r="E164" s="12" t="s">
        <v>91</v>
      </c>
      <c r="F164" s="12" t="s">
        <v>317</v>
      </c>
      <c r="G164" s="12" t="s">
        <v>479</v>
      </c>
      <c r="H164" s="12" t="s">
        <v>335</v>
      </c>
      <c r="I164" s="12" t="s">
        <v>973</v>
      </c>
      <c r="J164" s="12" t="s">
        <v>986</v>
      </c>
      <c r="K164" s="11">
        <v>44853.591331018521</v>
      </c>
      <c r="L164" s="11">
        <v>45839.565787037027</v>
      </c>
      <c r="M164" s="15">
        <v>1327.75</v>
      </c>
      <c r="N164" s="15">
        <v>341.77</v>
      </c>
      <c r="O164" s="12" t="b">
        <v>0</v>
      </c>
      <c r="P164" s="12" t="s">
        <v>331</v>
      </c>
      <c r="Q164" s="12">
        <v>0</v>
      </c>
      <c r="R164" s="12">
        <v>0</v>
      </c>
      <c r="S164" s="12">
        <v>0</v>
      </c>
      <c r="T164" s="12" t="s">
        <v>987</v>
      </c>
    </row>
    <row r="165" spans="1:20" ht="30" x14ac:dyDescent="0.25">
      <c r="A165" s="12" t="s">
        <v>988</v>
      </c>
      <c r="B165" s="12" t="s">
        <v>989</v>
      </c>
      <c r="C165" s="12" t="s">
        <v>76</v>
      </c>
      <c r="D165" s="12"/>
      <c r="E165" s="12" t="s">
        <v>91</v>
      </c>
      <c r="F165" s="12" t="s">
        <v>317</v>
      </c>
      <c r="G165" s="12" t="s">
        <v>479</v>
      </c>
      <c r="H165" s="12" t="s">
        <v>335</v>
      </c>
      <c r="I165" s="12" t="s">
        <v>973</v>
      </c>
      <c r="J165" s="12" t="s">
        <v>990</v>
      </c>
      <c r="K165" s="11">
        <v>44853.591527777768</v>
      </c>
      <c r="L165" s="11">
        <v>45839.565821759257</v>
      </c>
      <c r="M165" s="15">
        <v>1327.75</v>
      </c>
      <c r="N165" s="15">
        <v>341.77</v>
      </c>
      <c r="O165" s="12" t="b">
        <v>0</v>
      </c>
      <c r="P165" s="12" t="s">
        <v>331</v>
      </c>
      <c r="Q165" s="12">
        <v>0</v>
      </c>
      <c r="R165" s="12">
        <v>0</v>
      </c>
      <c r="S165" s="12">
        <v>0</v>
      </c>
      <c r="T165" s="12" t="s">
        <v>991</v>
      </c>
    </row>
    <row r="166" spans="1:20" ht="30" x14ac:dyDescent="0.25">
      <c r="A166" s="12" t="s">
        <v>992</v>
      </c>
      <c r="B166" s="12" t="s">
        <v>993</v>
      </c>
      <c r="C166" s="12" t="s">
        <v>76</v>
      </c>
      <c r="D166" s="12"/>
      <c r="E166" s="12" t="s">
        <v>91</v>
      </c>
      <c r="F166" s="12" t="s">
        <v>317</v>
      </c>
      <c r="G166" s="12" t="s">
        <v>74</v>
      </c>
      <c r="H166" s="12" t="s">
        <v>419</v>
      </c>
      <c r="I166" s="12" t="s">
        <v>320</v>
      </c>
      <c r="J166" s="12" t="s">
        <v>994</v>
      </c>
      <c r="K166" s="11">
        <v>44853.602870370371</v>
      </c>
      <c r="L166" s="11">
        <v>45670.58315972222</v>
      </c>
      <c r="M166" s="15">
        <v>1327.74</v>
      </c>
      <c r="N166" s="15">
        <v>510.76</v>
      </c>
      <c r="O166" s="12" t="b">
        <v>0</v>
      </c>
      <c r="P166" s="12" t="s">
        <v>331</v>
      </c>
      <c r="Q166" s="12">
        <v>1</v>
      </c>
      <c r="R166" s="12">
        <v>0</v>
      </c>
      <c r="S166" s="12">
        <v>0</v>
      </c>
      <c r="T166" s="12" t="s">
        <v>995</v>
      </c>
    </row>
    <row r="167" spans="1:20" ht="30" x14ac:dyDescent="0.25">
      <c r="A167" s="12" t="s">
        <v>996</v>
      </c>
      <c r="B167" s="12" t="s">
        <v>997</v>
      </c>
      <c r="C167" s="12" t="s">
        <v>76</v>
      </c>
      <c r="D167" s="12"/>
      <c r="E167" s="12" t="s">
        <v>91</v>
      </c>
      <c r="F167" s="12" t="s">
        <v>317</v>
      </c>
      <c r="G167" s="12" t="s">
        <v>74</v>
      </c>
      <c r="H167" s="12" t="s">
        <v>335</v>
      </c>
      <c r="I167" s="12" t="s">
        <v>320</v>
      </c>
      <c r="J167" s="12" t="s">
        <v>998</v>
      </c>
      <c r="K167" s="11">
        <v>44853.602893518517</v>
      </c>
      <c r="L167" s="11">
        <v>45670.583067129628</v>
      </c>
      <c r="M167" s="15">
        <v>1327.74</v>
      </c>
      <c r="N167" s="15">
        <v>510.76</v>
      </c>
      <c r="O167" s="12" t="b">
        <v>0</v>
      </c>
      <c r="P167" s="12" t="s">
        <v>331</v>
      </c>
      <c r="Q167" s="12">
        <v>1</v>
      </c>
      <c r="R167" s="12">
        <v>0</v>
      </c>
      <c r="S167" s="12">
        <v>0</v>
      </c>
      <c r="T167" s="12" t="s">
        <v>999</v>
      </c>
    </row>
    <row r="168" spans="1:20" ht="30" x14ac:dyDescent="0.25">
      <c r="A168" s="12" t="s">
        <v>1000</v>
      </c>
      <c r="B168" s="12" t="s">
        <v>1001</v>
      </c>
      <c r="C168" s="12" t="s">
        <v>76</v>
      </c>
      <c r="D168" s="12"/>
      <c r="E168" s="12" t="s">
        <v>91</v>
      </c>
      <c r="F168" s="12" t="s">
        <v>317</v>
      </c>
      <c r="G168" s="12" t="s">
        <v>74</v>
      </c>
      <c r="H168" s="12" t="s">
        <v>419</v>
      </c>
      <c r="I168" s="12" t="s">
        <v>320</v>
      </c>
      <c r="J168" s="12" t="s">
        <v>1002</v>
      </c>
      <c r="K168" s="11">
        <v>44853.602939814817</v>
      </c>
      <c r="L168" s="11">
        <v>45670.583194444444</v>
      </c>
      <c r="M168" s="15">
        <v>1327.74</v>
      </c>
      <c r="N168" s="15">
        <v>510.76</v>
      </c>
      <c r="O168" s="12" t="b">
        <v>0</v>
      </c>
      <c r="P168" s="12" t="s">
        <v>331</v>
      </c>
      <c r="Q168" s="12">
        <v>1</v>
      </c>
      <c r="R168" s="12">
        <v>0</v>
      </c>
      <c r="S168" s="12">
        <v>0</v>
      </c>
      <c r="T168" s="12" t="s">
        <v>1003</v>
      </c>
    </row>
    <row r="169" spans="1:20" ht="30" x14ac:dyDescent="0.25">
      <c r="A169" s="12" t="s">
        <v>1004</v>
      </c>
      <c r="B169" s="12" t="s">
        <v>1005</v>
      </c>
      <c r="C169" s="12" t="s">
        <v>76</v>
      </c>
      <c r="D169" s="12"/>
      <c r="E169" s="12" t="s">
        <v>91</v>
      </c>
      <c r="F169" s="12" t="s">
        <v>317</v>
      </c>
      <c r="G169" s="12" t="s">
        <v>74</v>
      </c>
      <c r="H169" s="12" t="s">
        <v>419</v>
      </c>
      <c r="I169" s="12" t="s">
        <v>1006</v>
      </c>
      <c r="J169" s="12" t="s">
        <v>1007</v>
      </c>
      <c r="K169" s="11">
        <v>44853.603020833332</v>
      </c>
      <c r="L169" s="11">
        <v>45670.582997685182</v>
      </c>
      <c r="M169" s="15">
        <v>1327.74</v>
      </c>
      <c r="N169" s="15">
        <v>510.76</v>
      </c>
      <c r="O169" s="12" t="b">
        <v>0</v>
      </c>
      <c r="P169" s="12" t="s">
        <v>331</v>
      </c>
      <c r="Q169" s="12">
        <v>2</v>
      </c>
      <c r="R169" s="12">
        <v>0</v>
      </c>
      <c r="S169" s="12">
        <v>0</v>
      </c>
      <c r="T169" s="12" t="s">
        <v>1008</v>
      </c>
    </row>
    <row r="170" spans="1:20" ht="30" x14ac:dyDescent="0.25">
      <c r="A170" s="12" t="s">
        <v>1009</v>
      </c>
      <c r="B170" s="12" t="s">
        <v>1010</v>
      </c>
      <c r="C170" s="12" t="s">
        <v>76</v>
      </c>
      <c r="D170" s="12"/>
      <c r="E170" s="12" t="s">
        <v>91</v>
      </c>
      <c r="F170" s="12" t="s">
        <v>317</v>
      </c>
      <c r="G170" s="12" t="s">
        <v>74</v>
      </c>
      <c r="H170" s="12" t="s">
        <v>419</v>
      </c>
      <c r="I170" s="12" t="s">
        <v>1006</v>
      </c>
      <c r="J170" s="12" t="s">
        <v>1011</v>
      </c>
      <c r="K170" s="11">
        <v>44853.603032407409</v>
      </c>
      <c r="L170" s="11">
        <v>45672.407175925917</v>
      </c>
      <c r="M170" s="15">
        <v>1327.74</v>
      </c>
      <c r="N170" s="15">
        <v>508.93</v>
      </c>
      <c r="O170" s="12" t="b">
        <v>0</v>
      </c>
      <c r="P170" s="12" t="s">
        <v>331</v>
      </c>
      <c r="Q170" s="12">
        <v>2</v>
      </c>
      <c r="R170" s="12">
        <v>0</v>
      </c>
      <c r="S170" s="12">
        <v>0</v>
      </c>
      <c r="T170" s="12" t="s">
        <v>1012</v>
      </c>
    </row>
    <row r="171" spans="1:20" ht="30" x14ac:dyDescent="0.25">
      <c r="A171" s="12" t="s">
        <v>1013</v>
      </c>
      <c r="B171" s="12" t="s">
        <v>1014</v>
      </c>
      <c r="C171" s="12" t="s">
        <v>76</v>
      </c>
      <c r="D171" s="12"/>
      <c r="E171" s="12" t="s">
        <v>91</v>
      </c>
      <c r="F171" s="12" t="s">
        <v>317</v>
      </c>
      <c r="G171" s="12" t="s">
        <v>74</v>
      </c>
      <c r="H171" s="12" t="s">
        <v>419</v>
      </c>
      <c r="I171" s="12" t="s">
        <v>1006</v>
      </c>
      <c r="J171" s="12" t="s">
        <v>1015</v>
      </c>
      <c r="K171" s="11">
        <v>44853.603043981479</v>
      </c>
      <c r="L171" s="11">
        <v>45670.583078703698</v>
      </c>
      <c r="M171" s="15">
        <v>1327.74</v>
      </c>
      <c r="N171" s="15">
        <v>510.76</v>
      </c>
      <c r="O171" s="12" t="b">
        <v>0</v>
      </c>
      <c r="P171" s="12" t="s">
        <v>331</v>
      </c>
      <c r="Q171" s="12">
        <v>2</v>
      </c>
      <c r="R171" s="12">
        <v>0</v>
      </c>
      <c r="S171" s="12">
        <v>0</v>
      </c>
      <c r="T171" s="12" t="s">
        <v>1016</v>
      </c>
    </row>
    <row r="172" spans="1:20" ht="30" x14ac:dyDescent="0.25">
      <c r="A172" s="12" t="s">
        <v>1017</v>
      </c>
      <c r="B172" s="12" t="s">
        <v>1018</v>
      </c>
      <c r="C172" s="12" t="s">
        <v>76</v>
      </c>
      <c r="D172" s="12"/>
      <c r="E172" s="12" t="s">
        <v>91</v>
      </c>
      <c r="F172" s="12" t="s">
        <v>317</v>
      </c>
      <c r="G172" s="12" t="s">
        <v>74</v>
      </c>
      <c r="H172" s="12" t="s">
        <v>335</v>
      </c>
      <c r="I172" s="12" t="s">
        <v>1006</v>
      </c>
      <c r="J172" s="12" t="s">
        <v>1019</v>
      </c>
      <c r="K172" s="11">
        <v>44853.603043981479</v>
      </c>
      <c r="L172" s="11">
        <v>45868.327233796299</v>
      </c>
      <c r="M172" s="15">
        <v>1327.74</v>
      </c>
      <c r="N172" s="15">
        <v>313.01</v>
      </c>
      <c r="O172" s="12" t="b">
        <v>0</v>
      </c>
      <c r="P172" s="12" t="s">
        <v>331</v>
      </c>
      <c r="Q172" s="12">
        <v>5</v>
      </c>
      <c r="R172" s="12">
        <v>1</v>
      </c>
      <c r="S172" s="12">
        <v>0</v>
      </c>
      <c r="T172" s="12" t="s">
        <v>1020</v>
      </c>
    </row>
    <row r="173" spans="1:20" ht="30" x14ac:dyDescent="0.25">
      <c r="A173" s="12" t="s">
        <v>1021</v>
      </c>
      <c r="B173" s="12" t="s">
        <v>1022</v>
      </c>
      <c r="C173" s="12" t="s">
        <v>76</v>
      </c>
      <c r="D173" s="12"/>
      <c r="E173" s="12" t="s">
        <v>91</v>
      </c>
      <c r="F173" s="12" t="s">
        <v>317</v>
      </c>
      <c r="G173" s="12" t="s">
        <v>479</v>
      </c>
      <c r="H173" s="12" t="s">
        <v>335</v>
      </c>
      <c r="I173" s="12" t="s">
        <v>1023</v>
      </c>
      <c r="J173" s="12" t="s">
        <v>1024</v>
      </c>
      <c r="K173" s="11">
        <v>44873.85659722222</v>
      </c>
      <c r="L173" s="11">
        <v>45839.565810185188</v>
      </c>
      <c r="M173" s="15">
        <v>1307.48</v>
      </c>
      <c r="N173" s="15">
        <v>341.77</v>
      </c>
      <c r="O173" s="12" t="b">
        <v>0</v>
      </c>
      <c r="P173" s="12" t="s">
        <v>331</v>
      </c>
      <c r="Q173" s="12">
        <v>0</v>
      </c>
      <c r="R173" s="12">
        <v>0</v>
      </c>
      <c r="S173" s="12">
        <v>0</v>
      </c>
      <c r="T173" s="12" t="s">
        <v>1025</v>
      </c>
    </row>
    <row r="174" spans="1:20" ht="30" x14ac:dyDescent="0.25">
      <c r="A174" s="12" t="s">
        <v>1026</v>
      </c>
      <c r="B174" s="12" t="s">
        <v>1027</v>
      </c>
      <c r="C174" s="12" t="s">
        <v>76</v>
      </c>
      <c r="D174" s="12"/>
      <c r="E174" s="12" t="s">
        <v>91</v>
      </c>
      <c r="F174" s="12" t="s">
        <v>317</v>
      </c>
      <c r="G174" s="12" t="s">
        <v>74</v>
      </c>
      <c r="H174" s="12" t="s">
        <v>335</v>
      </c>
      <c r="I174" s="12" t="s">
        <v>1028</v>
      </c>
      <c r="J174" s="12" t="s">
        <v>1029</v>
      </c>
      <c r="K174" s="11">
        <v>44873.876979166656</v>
      </c>
      <c r="L174" s="11">
        <v>45670.583020833343</v>
      </c>
      <c r="M174" s="15">
        <v>1307.46</v>
      </c>
      <c r="N174" s="15">
        <v>510.76</v>
      </c>
      <c r="O174" s="12" t="b">
        <v>0</v>
      </c>
      <c r="P174" s="12" t="s">
        <v>331</v>
      </c>
      <c r="Q174" s="12">
        <v>2</v>
      </c>
      <c r="R174" s="12">
        <v>0</v>
      </c>
      <c r="S174" s="12">
        <v>0</v>
      </c>
      <c r="T174" s="12" t="s">
        <v>1030</v>
      </c>
    </row>
    <row r="175" spans="1:20" ht="30" x14ac:dyDescent="0.25">
      <c r="A175" s="12" t="s">
        <v>1031</v>
      </c>
      <c r="B175" s="12" t="s">
        <v>1032</v>
      </c>
      <c r="C175" s="12" t="s">
        <v>76</v>
      </c>
      <c r="D175" s="12"/>
      <c r="E175" s="12" t="s">
        <v>749</v>
      </c>
      <c r="F175" s="12" t="s">
        <v>750</v>
      </c>
      <c r="G175" s="12" t="s">
        <v>641</v>
      </c>
      <c r="H175" s="12" t="s">
        <v>335</v>
      </c>
      <c r="I175" s="12" t="s">
        <v>440</v>
      </c>
      <c r="J175" s="12" t="s">
        <v>1033</v>
      </c>
      <c r="K175" s="11">
        <v>44893.42627314815</v>
      </c>
      <c r="L175" s="11">
        <v>45072.507743055547</v>
      </c>
      <c r="M175" s="15">
        <v>1287.9100000000001</v>
      </c>
      <c r="N175" s="15">
        <v>1108.83</v>
      </c>
      <c r="O175" s="12" t="b">
        <v>0</v>
      </c>
      <c r="P175" s="12" t="s">
        <v>331</v>
      </c>
      <c r="Q175" s="12">
        <v>0</v>
      </c>
      <c r="R175" s="12">
        <v>0</v>
      </c>
      <c r="S175" s="12">
        <v>1</v>
      </c>
      <c r="T175" s="12" t="s">
        <v>1034</v>
      </c>
    </row>
    <row r="176" spans="1:20" ht="30" x14ac:dyDescent="0.25">
      <c r="A176" s="12" t="s">
        <v>1035</v>
      </c>
      <c r="B176" s="12" t="s">
        <v>1036</v>
      </c>
      <c r="C176" s="12" t="s">
        <v>76</v>
      </c>
      <c r="D176" s="12"/>
      <c r="E176" s="12" t="s">
        <v>326</v>
      </c>
      <c r="F176" s="12" t="s">
        <v>290</v>
      </c>
      <c r="G176" s="12" t="s">
        <v>479</v>
      </c>
      <c r="H176" s="12" t="s">
        <v>335</v>
      </c>
      <c r="I176" s="12" t="s">
        <v>1037</v>
      </c>
      <c r="J176" s="12" t="s">
        <v>1038</v>
      </c>
      <c r="K176" s="11">
        <v>44895.587534722217</v>
      </c>
      <c r="L176" s="11">
        <v>45993.556898148148</v>
      </c>
      <c r="M176" s="15">
        <v>1285.75</v>
      </c>
      <c r="N176" s="15">
        <v>187.78</v>
      </c>
      <c r="O176" s="12" t="b">
        <v>0</v>
      </c>
      <c r="P176" s="12" t="s">
        <v>331</v>
      </c>
      <c r="Q176" s="12">
        <v>0</v>
      </c>
      <c r="R176" s="12">
        <v>0</v>
      </c>
      <c r="S176" s="12">
        <v>1</v>
      </c>
      <c r="T176" s="12" t="s">
        <v>1039</v>
      </c>
    </row>
    <row r="177" spans="1:20" ht="30" x14ac:dyDescent="0.25">
      <c r="A177" s="12" t="s">
        <v>1040</v>
      </c>
      <c r="B177" s="12" t="s">
        <v>1041</v>
      </c>
      <c r="C177" s="12" t="s">
        <v>76</v>
      </c>
      <c r="D177" s="12"/>
      <c r="E177" s="12" t="s">
        <v>326</v>
      </c>
      <c r="F177" s="12" t="s">
        <v>290</v>
      </c>
      <c r="G177" s="12" t="s">
        <v>327</v>
      </c>
      <c r="H177" s="12" t="s">
        <v>328</v>
      </c>
      <c r="I177" s="12" t="s">
        <v>372</v>
      </c>
      <c r="J177" s="12" t="s">
        <v>1042</v>
      </c>
      <c r="K177" s="11">
        <v>45453.299027777779</v>
      </c>
      <c r="L177" s="11">
        <v>45835.496574074074</v>
      </c>
      <c r="M177" s="15">
        <v>728.04</v>
      </c>
      <c r="N177" s="15">
        <v>345.84</v>
      </c>
      <c r="O177" s="12" t="b">
        <v>0</v>
      </c>
      <c r="P177" s="12" t="s">
        <v>331</v>
      </c>
      <c r="Q177" s="12">
        <v>9</v>
      </c>
      <c r="R177" s="12">
        <v>0</v>
      </c>
      <c r="S177" s="12">
        <v>0</v>
      </c>
      <c r="T177" s="12" t="s">
        <v>1043</v>
      </c>
    </row>
  </sheetData>
  <autoFilter ref="A1:T177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46" customWidth="1"/>
  </cols>
  <sheetData>
    <row r="1" spans="1:2" x14ac:dyDescent="0.25">
      <c r="A1" s="13" t="s">
        <v>1044</v>
      </c>
      <c r="B1" s="13" t="s">
        <v>1045</v>
      </c>
    </row>
    <row r="2" spans="1:2" ht="60" x14ac:dyDescent="0.25">
      <c r="A2" s="12" t="s">
        <v>1046</v>
      </c>
      <c r="B2" s="12" t="s">
        <v>1047</v>
      </c>
    </row>
    <row r="3" spans="1:2" ht="45" x14ac:dyDescent="0.25">
      <c r="A3" s="12" t="s">
        <v>1048</v>
      </c>
      <c r="B3" s="12" t="s">
        <v>1049</v>
      </c>
    </row>
    <row r="4" spans="1:2" ht="60" x14ac:dyDescent="0.25">
      <c r="A4" s="12" t="s">
        <v>16</v>
      </c>
      <c r="B4" s="12" t="s">
        <v>1050</v>
      </c>
    </row>
    <row r="5" spans="1:2" ht="45" x14ac:dyDescent="0.25">
      <c r="A5" s="12" t="s">
        <v>1051</v>
      </c>
      <c r="B5" s="12" t="s">
        <v>1052</v>
      </c>
    </row>
  </sheetData>
  <autoFilter ref="A1:B5" xr:uid="{00000000-0009-0000-0000-00001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Synthese</vt:lpstr>
      <vt:lpstr>Slide_2_Story_AC</vt:lpstr>
      <vt:lpstr>Analyse_filtrable</vt:lpstr>
      <vt:lpstr>Listes_filtres</vt:lpstr>
      <vt:lpstr>_Story_AC_Lists</vt:lpstr>
      <vt:lpstr>_Story_AC_KPI</vt:lpstr>
      <vt:lpstr>_Story_AC_Field</vt:lpstr>
      <vt:lpstr>_Story_AC_Evo</vt:lpstr>
      <vt:lpstr>_Story_AC_Top</vt:lpstr>
      <vt:lpstr>_Story_AC_Recent</vt:lpstr>
      <vt:lpstr>Modifications_focus</vt:lpstr>
      <vt:lpstr>Modifications_toutes</vt:lpstr>
      <vt:lpstr>KPI_fenetres</vt:lpstr>
      <vt:lpstr>KPI_sprint_status</vt:lpstr>
      <vt:lpstr>Descriptions_modifiees</vt:lpstr>
      <vt:lpstr>AC_modifies</vt:lpstr>
      <vt:lpstr>Story_Desc_AC_events</vt:lpstr>
      <vt:lpstr>Lifecycle</vt:lpstr>
      <vt:lpstr>Top_tickets</vt:lpstr>
      <vt:lpstr>Snapshots</vt:lpstr>
      <vt:lpstr>Latest_snapshot</vt:lpstr>
      <vt:lpstr>Limites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KPI modifications Jira RSS</dc:title>
  <dc:creator>analyse_jira_rss.py</dc:creator>
  <cp:lastModifiedBy>Romain CIESLIK</cp:lastModifiedBy>
  <dcterms:created xsi:type="dcterms:W3CDTF">2026-06-08T14:34:17Z</dcterms:created>
  <dcterms:modified xsi:type="dcterms:W3CDTF">2026-06-08T14:42:01Z</dcterms:modified>
</cp:coreProperties>
</file>