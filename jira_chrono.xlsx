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Analyse_filtrable" sheetId="2" state="visible" r:id="rId2"/>
    <sheet name="Listes_filtres" sheetId="3" state="hidden" r:id="rId3"/>
    <sheet name="Modifications_focus" sheetId="4" state="visible" r:id="rId4"/>
    <sheet name="Modifications_toutes" sheetId="5" state="visible" r:id="rId5"/>
    <sheet name="KPI_fenetres" sheetId="6" state="visible" r:id="rId6"/>
    <sheet name="KPI_sprint_status" sheetId="7" state="visible" r:id="rId7"/>
    <sheet name="Descriptions_modifiees" sheetId="8" state="visible" r:id="rId8"/>
    <sheet name="AC_modifies" sheetId="9" state="visible" r:id="rId9"/>
    <sheet name="Lifecycle" sheetId="10" state="visible" r:id="rId10"/>
    <sheet name="Top_tickets" sheetId="11" state="visible" r:id="rId11"/>
    <sheet name="Snapshots" sheetId="12" state="visible" r:id="rId12"/>
    <sheet name="Latest_snapshot" sheetId="13" state="visible" r:id="rId13"/>
    <sheet name="Limites" sheetId="14" state="visible" r:id="rId14"/>
  </sheets>
  <definedNames>
    <definedName name="_xlnm._FilterDatabase" localSheetId="1" hidden="1">'Analyse_filtrable'!$A$1:$T$5</definedName>
    <definedName name="_xlnm._FilterDatabase" localSheetId="3" hidden="1">'Modifications_focus'!$A$1:$AH$5</definedName>
    <definedName name="_xlnm._FilterDatabase" localSheetId="4" hidden="1">'Modifications_toutes'!$A$1:$AH$5</definedName>
    <definedName name="_xlnm._FilterDatabase" localSheetId="5" hidden="1">'KPI_fenetres'!$A$1:$M$2</definedName>
    <definedName name="_xlnm._FilterDatabase" localSheetId="6" hidden="1">'KPI_sprint_status'!$A$1:$F$5</definedName>
    <definedName name="_xlnm._FilterDatabase" localSheetId="10" hidden="1">'Top_tickets'!$A$1:$L$2</definedName>
    <definedName name="_xlnm._FilterDatabase" localSheetId="11" hidden="1">'Snapshots'!$A$1:$G$3</definedName>
    <definedName name="_xlnm._FilterDatabase" localSheetId="12" hidden="1">'Latest_snapshot'!$A$1:$T$177</definedName>
    <definedName name="_xlnm._FilterDatabase" localSheetId="13" hidden="1">'Limites'!$A$1:$B$5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  <font>
      <b val="1"/>
      <color rgb="0017365D"/>
    </font>
    <font>
      <i val="1"/>
      <color rgb="00666666"/>
      <sz val="9"/>
    </font>
    <font>
      <color rgb="00FFFFFF"/>
    </font>
    <font>
      <b val="1"/>
      <color rgb="0017365D"/>
      <sz val="18"/>
    </font>
    <font>
      <b val="1"/>
      <color rgb="001F4E78"/>
      <sz val="12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2" pivotButton="0" quotePrefix="0" xfId="0"/>
    <xf numFmtId="0" fontId="0" fillId="0" borderId="2" pivotButton="0" quotePrefix="0" xfId="0"/>
    <xf numFmtId="0" fontId="1" fillId="4" borderId="2" applyAlignment="1" pivotButton="0" quotePrefix="0" xfId="0">
      <alignment horizontal="center" vertical="center" wrapText="1"/>
    </xf>
    <xf numFmtId="165" fontId="0" fillId="0" borderId="2" pivotButton="0" quotePrefix="0" xfId="0"/>
    <xf numFmtId="0" fontId="0" fillId="5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Modifications par champ filtré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'Synthese'!B28</f>
            </strRef>
          </tx>
          <spPr>
            <a:ln>
              <a:prstDash val="solid"/>
            </a:ln>
          </spPr>
          <cat>
            <numRef>
              <f>'Synthese'!$A$29:$A$35</f>
            </numRef>
          </cat>
          <val>
            <numRef>
              <f>'Synthese'!$B$29:$B$35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26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28" customHeight="1">
      <c r="A1" s="1" t="inlineStr">
        <is>
          <t>Suivi des modifications Jira RSS</t>
        </is>
      </c>
    </row>
    <row r="2" ht="8" customHeight="1"/>
    <row r="4">
      <c r="A4" s="2" t="inlineStr">
        <is>
          <t>Exports analysés</t>
        </is>
      </c>
      <c r="B4" s="3" t="n">
        <v>2</v>
      </c>
      <c r="D4" s="4" t="inlineStr">
        <is>
          <t>Filtres interactifs du dashboard</t>
        </is>
      </c>
    </row>
    <row r="5">
      <c r="A5" s="2" t="inlineStr">
        <is>
          <t>Premier export</t>
        </is>
      </c>
      <c r="B5" s="5" t="n">
        <v>46178.64810185185</v>
      </c>
    </row>
    <row r="6">
      <c r="A6" s="2" t="inlineStr">
        <is>
          <t>Dernier export</t>
        </is>
      </c>
      <c r="B6" s="5" t="n">
        <v>46181.33821759259</v>
      </c>
      <c r="D6" s="6" t="inlineStr">
        <is>
          <t>Choisis un Sprint, un Statut, un Type, un Champ ou un Projet dans les cellules ci-dessous. Les KPI et le graphique de cette page se recalculent à l'ouverture ou après modification. Pour voir/lister les lignes exactes : va dans l'onglet Analyse_filtrable et utilise les flèches de filtre sur les en-têtes.</t>
        </is>
      </c>
    </row>
    <row r="7">
      <c r="A7" s="2" t="inlineStr">
        <is>
          <t>Période début</t>
        </is>
      </c>
      <c r="B7" s="3" t="n"/>
    </row>
    <row r="8">
      <c r="A8" s="2" t="inlineStr">
        <is>
          <t>Période fin</t>
        </is>
      </c>
      <c r="B8" s="3" t="n"/>
    </row>
    <row r="9">
      <c r="A9" s="2" t="inlineStr">
        <is>
          <t>Filtre CLI</t>
        </is>
      </c>
      <c r="B9" s="3" t="inlineStr">
        <is>
          <t>Aucun filtre en ligne de commande</t>
        </is>
      </c>
      <c r="D9" s="4" t="inlineStr">
        <is>
          <t>Sprint</t>
        </is>
      </c>
      <c r="F9" s="4" t="inlineStr">
        <is>
          <t>Statut</t>
        </is>
      </c>
      <c r="H9" s="4" t="inlineStr">
        <is>
          <t>Type</t>
        </is>
      </c>
      <c r="J9" s="4" t="inlineStr">
        <is>
          <t>Champ</t>
        </is>
      </c>
      <c r="L9" s="4" t="inlineStr">
        <is>
          <t>Projet</t>
        </is>
      </c>
    </row>
    <row r="10">
      <c r="D10" s="7" t="inlineStr">
        <is>
          <t>Tous</t>
        </is>
      </c>
      <c r="F10" s="7" t="inlineStr">
        <is>
          <t>Tous</t>
        </is>
      </c>
      <c r="H10" s="7" t="inlineStr">
        <is>
          <t>Tous</t>
        </is>
      </c>
      <c r="J10" s="7" t="inlineStr">
        <is>
          <t>Tous</t>
        </is>
      </c>
      <c r="L10" s="7" t="inlineStr">
        <is>
          <t>Tous</t>
        </is>
      </c>
    </row>
    <row r="12">
      <c r="A12" s="8" t="inlineStr">
        <is>
          <t>Exemple : pour voir uniquement les modifications sur le sprint 15 encore ouvertes, sélectionne Sprint = Sprint 15 et Statut = Ouvert ci-dessus, puis consulte l'onglet Analyse_filtrable pour la liste détaillée filtrable.</t>
        </is>
      </c>
    </row>
    <row r="15">
      <c r="B15" s="9">
        <f>D10</f>
        <v/>
      </c>
      <c r="D15" s="9">
        <f>F10</f>
        <v/>
      </c>
      <c r="F15" s="9">
        <f>H10</f>
        <v/>
      </c>
      <c r="H15" s="9">
        <f>J10</f>
        <v/>
      </c>
      <c r="J15" s="9">
        <f>L10</f>
        <v/>
      </c>
    </row>
    <row r="17">
      <c r="A17" s="4" t="inlineStr">
        <is>
          <t>Tickets modifiés</t>
        </is>
      </c>
      <c r="B17" s="3" t="n"/>
      <c r="D17" s="4" t="inlineStr">
        <is>
          <t>Total modifications</t>
        </is>
      </c>
      <c r="E17" s="3" t="n"/>
      <c r="G17" s="4" t="inlineStr">
        <is>
          <t>Descriptions modifiées</t>
        </is>
      </c>
      <c r="H17" s="3" t="n"/>
      <c r="J17" s="4" t="inlineStr">
        <is>
          <t>AC modifiés</t>
        </is>
      </c>
      <c r="K17" s="3" t="n"/>
    </row>
    <row r="18">
      <c r="A18" s="10">
        <f>LET(ids,'Analyse_filtrable'!$C$2:$C$5,f,(('Analyse_filtrable'!$C$2:$C$5&lt;&gt;"")*(($B$15="Tous")+('Analyse_filtrable'!$E$2:$E$5=$B$15)&gt;0)*(($D$15="Tous")+('Analyse_filtrable'!$F$2:$F$5=$D$15)&gt;0)*(($F$15="Tous")+('Analyse_filtrable'!$G$2:$G$5=$F$15)&gt;0)*(($H$15="Tous")+('Analyse_filtrable'!$H$2:$H$5=$H$15)&gt;0)*(($J$15="Tous")+('Analyse_filtrable'!$J$2:$J$5=$J$15)&gt;0)),IFERROR(ROWS(UNIQUE(FILTER(ids,f))),0))</f>
        <v/>
      </c>
      <c r="B18" s="3" t="n"/>
      <c r="D18" s="11">
        <f>SUMPRODUCT(--((('Analyse_filtrable'!$C$2:$C$5&lt;&gt;"")*(($B$15="Tous")+('Analyse_filtrable'!$E$2:$E$5=$B$15)&gt;0)*(($D$15="Tous")+('Analyse_filtrable'!$F$2:$F$5=$D$15)&gt;0)*(($F$15="Tous")+('Analyse_filtrable'!$G$2:$G$5=$F$15)&gt;0)*(($H$15="Tous")+('Analyse_filtrable'!$H$2:$H$5=$H$15)&gt;0)*(($J$15="Tous")+('Analyse_filtrable'!$J$2:$J$5=$J$15)&gt;0))))</f>
        <v/>
      </c>
      <c r="E18" s="3" t="n"/>
      <c r="G18" s="12">
        <f>SUMPRODUCT(--((('Analyse_filtrable'!$C$2:$C$5&lt;&gt;"")*(($B$15="Tous")+('Analyse_filtrable'!$E$2:$E$5=$B$15)&gt;0)*(($D$15="Tous")+('Analyse_filtrable'!$F$2:$F$5=$D$15)&gt;0)*(($F$15="Tous")+('Analyse_filtrable'!$G$2:$G$5=$F$15)&gt;0)*(($H$15="Tous")+('Analyse_filtrable'!$H$2:$H$5=$H$15)&gt;0)*(($J$15="Tous")+('Analyse_filtrable'!$J$2:$J$5=$J$15)&gt;0)))*--('Analyse_filtrable'!$H$2:$H$5="Description"))</f>
        <v/>
      </c>
      <c r="H18" s="3" t="n"/>
      <c r="J18" s="12">
        <f>SUMPRODUCT(--((('Analyse_filtrable'!$C$2:$C$5&lt;&gt;"")*(($B$15="Tous")+('Analyse_filtrable'!$E$2:$E$5=$B$15)&gt;0)*(($D$15="Tous")+('Analyse_filtrable'!$F$2:$F$5=$D$15)&gt;0)*(($F$15="Tous")+('Analyse_filtrable'!$G$2:$G$5=$F$15)&gt;0)*(($H$15="Tous")+('Analyse_filtrable'!$H$2:$H$5=$H$15)&gt;0)*(($J$15="Tous")+('Analyse_filtrable'!$J$2:$J$5=$J$15)&gt;0)))*--('Analyse_filtrable'!$H$2:$H$5="Acceptance Criteria"))</f>
        <v/>
      </c>
      <c r="K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</row>
    <row r="21">
      <c r="A21" s="4" t="inlineStr">
        <is>
          <t>Changements statut</t>
        </is>
      </c>
      <c r="B21" s="3" t="n"/>
      <c r="D21" s="4" t="inlineStr">
        <is>
          <t>Changements sprint</t>
        </is>
      </c>
      <c r="E21" s="3" t="n"/>
      <c r="G21" s="4" t="inlineStr">
        <is>
          <t>Tickets apparus</t>
        </is>
      </c>
      <c r="H21" s="3" t="n"/>
      <c r="J21" s="4" t="inlineStr">
        <is>
          <t>Tickets disparus</t>
        </is>
      </c>
      <c r="K21" s="3" t="n"/>
    </row>
    <row r="22">
      <c r="A22" s="11">
        <f>SUMPRODUCT(--((('Analyse_filtrable'!$C$2:$C$5&lt;&gt;"")*(($B$15="Tous")+('Analyse_filtrable'!$E$2:$E$5=$B$15)&gt;0)*(($D$15="Tous")+('Analyse_filtrable'!$F$2:$F$5=$D$15)&gt;0)*(($F$15="Tous")+('Analyse_filtrable'!$G$2:$G$5=$F$15)&gt;0)*(($H$15="Tous")+('Analyse_filtrable'!$H$2:$H$5=$H$15)&gt;0)*(($J$15="Tous")+('Analyse_filtrable'!$J$2:$J$5=$J$15)&gt;0)))*--('Analyse_filtrable'!$H$2:$H$5="Statut"))</f>
        <v/>
      </c>
      <c r="B22" s="3" t="n"/>
      <c r="D22" s="11">
        <f>SUMPRODUCT(--((('Analyse_filtrable'!$C$2:$C$5&lt;&gt;"")*(($B$15="Tous")+('Analyse_filtrable'!$E$2:$E$5=$B$15)&gt;0)*(($D$15="Tous")+('Analyse_filtrable'!$F$2:$F$5=$D$15)&gt;0)*(($F$15="Tous")+('Analyse_filtrable'!$G$2:$G$5=$F$15)&gt;0)*(($H$15="Tous")+('Analyse_filtrable'!$H$2:$H$5=$H$15)&gt;0)*(($J$15="Tous")+('Analyse_filtrable'!$J$2:$J$5=$J$15)&gt;0)))*--('Analyse_filtrable'!$H$2:$H$5="Sprint"))</f>
        <v/>
      </c>
      <c r="E22" s="3" t="n"/>
      <c r="G22" s="10">
        <f>SUMPRODUCT(--((('Analyse_filtrable'!$C$2:$C$5&lt;&gt;"")*(($B$15="Tous")+('Analyse_filtrable'!$E$2:$E$5=$B$15)&gt;0)*(($D$15="Tous")+('Analyse_filtrable'!$F$2:$F$5=$D$15)&gt;0)*(($F$15="Tous")+('Analyse_filtrable'!$G$2:$G$5=$F$15)&gt;0)*(($H$15="Tous")+('Analyse_filtrable'!$H$2:$H$5=$H$15)&gt;0)*(($J$15="Tous")+('Analyse_filtrable'!$J$2:$J$5=$J$15)&gt;0)))*--('Analyse_filtrable'!$I$2:$I$5="Ticket apparu dans l'export"))</f>
        <v/>
      </c>
      <c r="H22" s="3" t="n"/>
      <c r="J22" s="12">
        <f>SUMPRODUCT(--((('Analyse_filtrable'!$C$2:$C$5&lt;&gt;"")*(($B$15="Tous")+('Analyse_filtrable'!$E$2:$E$5=$B$15)&gt;0)*(($D$15="Tous")+('Analyse_filtrable'!$F$2:$F$5=$D$15)&gt;0)*(($F$15="Tous")+('Analyse_filtrable'!$G$2:$G$5=$F$15)&gt;0)*(($H$15="Tous")+('Analyse_filtrable'!$H$2:$H$5=$H$15)&gt;0)*(($J$15="Tous")+('Analyse_filtrable'!$J$2:$J$5=$J$15)&gt;0)))*--('Analyse_filtrable'!$I$2:$I$5="Ticket disparu de l'export"))</f>
        <v/>
      </c>
      <c r="K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</row>
    <row r="27">
      <c r="A27" s="13" t="inlineStr">
        <is>
          <t>Répartition dynamique selon les filtres</t>
        </is>
      </c>
    </row>
    <row r="28">
      <c r="A28" s="4" t="inlineStr">
        <is>
          <t>Champ</t>
        </is>
      </c>
      <c r="B28" s="4" t="inlineStr">
        <is>
          <t>Modifications</t>
        </is>
      </c>
    </row>
    <row r="29">
      <c r="A29" s="3" t="inlineStr">
        <is>
          <t>Description</t>
        </is>
      </c>
      <c r="B29" s="3">
        <f>SUMPRODUCT(--((('Analyse_filtrable'!$C$2:$C$5&lt;&gt;"")*(($B$15="Tous")+('Analyse_filtrable'!$E$2:$E$5=$B$15)&gt;0)*(($D$15="Tous")+('Analyse_filtrable'!$F$2:$F$5=$D$15)&gt;0)*(($F$15="Tous")+('Analyse_filtrable'!$G$2:$G$5=$F$15)&gt;0)*(($H$15="Tous")+('Analyse_filtrable'!$H$2:$H$5=$H$15)&gt;0)*(($J$15="Tous")+('Analyse_filtrable'!$J$2:$J$5=$J$15)&gt;0)))*--('Analyse_filtrable'!$H$2:$H$5="Description"))</f>
        <v/>
      </c>
    </row>
    <row r="30">
      <c r="A30" s="3" t="inlineStr">
        <is>
          <t>Acceptance Criteria</t>
        </is>
      </c>
      <c r="B30" s="3">
        <f>SUMPRODUCT(--((('Analyse_filtrable'!$C$2:$C$5&lt;&gt;"")*(($B$15="Tous")+('Analyse_filtrable'!$E$2:$E$5=$B$15)&gt;0)*(($D$15="Tous")+('Analyse_filtrable'!$F$2:$F$5=$D$15)&gt;0)*(($F$15="Tous")+('Analyse_filtrable'!$G$2:$G$5=$F$15)&gt;0)*(($H$15="Tous")+('Analyse_filtrable'!$H$2:$H$5=$H$15)&gt;0)*(($J$15="Tous")+('Analyse_filtrable'!$J$2:$J$5=$J$15)&gt;0)))*--('Analyse_filtrable'!$H$2:$H$5="Acceptance Criteria"))</f>
        <v/>
      </c>
    </row>
    <row r="31">
      <c r="A31" s="3" t="inlineStr">
        <is>
          <t>Statut</t>
        </is>
      </c>
      <c r="B31" s="3">
        <f>SUMPRODUCT(--((('Analyse_filtrable'!$C$2:$C$5&lt;&gt;"")*(($B$15="Tous")+('Analyse_filtrable'!$E$2:$E$5=$B$15)&gt;0)*(($D$15="Tous")+('Analyse_filtrable'!$F$2:$F$5=$D$15)&gt;0)*(($F$15="Tous")+('Analyse_filtrable'!$G$2:$G$5=$F$15)&gt;0)*(($H$15="Tous")+('Analyse_filtrable'!$H$2:$H$5=$H$15)&gt;0)*(($J$15="Tous")+('Analyse_filtrable'!$J$2:$J$5=$J$15)&gt;0)))*--('Analyse_filtrable'!$H$2:$H$5="Statut"))</f>
        <v/>
      </c>
    </row>
    <row r="32">
      <c r="A32" s="3" t="inlineStr">
        <is>
          <t>Sprint</t>
        </is>
      </c>
      <c r="B32" s="3">
        <f>SUMPRODUCT(--((('Analyse_filtrable'!$C$2:$C$5&lt;&gt;"")*(($B$15="Tous")+('Analyse_filtrable'!$E$2:$E$5=$B$15)&gt;0)*(($D$15="Tous")+('Analyse_filtrable'!$F$2:$F$5=$D$15)&gt;0)*(($F$15="Tous")+('Analyse_filtrable'!$G$2:$G$5=$F$15)&gt;0)*(($H$15="Tous")+('Analyse_filtrable'!$H$2:$H$5=$H$15)&gt;0)*(($J$15="Tous")+('Analyse_filtrable'!$J$2:$J$5=$J$15)&gt;0)))*--('Analyse_filtrable'!$H$2:$H$5="Sprint"))</f>
        <v/>
      </c>
    </row>
    <row r="33">
      <c r="A33" s="3" t="inlineStr">
        <is>
          <t>Assigné</t>
        </is>
      </c>
      <c r="B33" s="3">
        <f>SUMPRODUCT(--((('Analyse_filtrable'!$C$2:$C$5&lt;&gt;"")*(($B$15="Tous")+('Analyse_filtrable'!$E$2:$E$5=$B$15)&gt;0)*(($D$15="Tous")+('Analyse_filtrable'!$F$2:$F$5=$D$15)&gt;0)*(($F$15="Tous")+('Analyse_filtrable'!$G$2:$G$5=$F$15)&gt;0)*(($H$15="Tous")+('Analyse_filtrable'!$H$2:$H$5=$H$15)&gt;0)*(($J$15="Tous")+('Analyse_filtrable'!$J$2:$J$5=$J$15)&gt;0)))*--('Analyse_filtrable'!$H$2:$H$5="Assigné"))</f>
        <v/>
      </c>
    </row>
    <row r="34">
      <c r="A34" s="3" t="inlineStr">
        <is>
          <t>Commentaires</t>
        </is>
      </c>
      <c r="B34" s="3">
        <f>SUMPRODUCT(--((('Analyse_filtrable'!$C$2:$C$5&lt;&gt;"")*(($B$15="Tous")+('Analyse_filtrable'!$E$2:$E$5=$B$15)&gt;0)*(($D$15="Tous")+('Analyse_filtrable'!$F$2:$F$5=$D$15)&gt;0)*(($F$15="Tous")+('Analyse_filtrable'!$G$2:$G$5=$F$15)&gt;0)*(($H$15="Tous")+('Analyse_filtrable'!$H$2:$H$5=$H$15)&gt;0)*(($J$15="Tous")+('Analyse_filtrable'!$J$2:$J$5=$J$15)&gt;0)))*--('Analyse_filtrable'!$H$2:$H$5="Commentaires"))</f>
        <v/>
      </c>
    </row>
    <row r="35">
      <c r="A35" s="3" t="inlineStr">
        <is>
          <t>Custom fields</t>
        </is>
      </c>
      <c r="B35" s="3">
        <f>SUMPRODUCT(--((('Analyse_filtrable'!$C$2:$C$5&lt;&gt;"")*(($B$15="Tous")+('Analyse_filtrable'!$E$2:$E$5=$B$15)&gt;0)*(($D$15="Tous")+('Analyse_filtrable'!$F$2:$F$5=$D$15)&gt;0)*(($F$15="Tous")+('Analyse_filtrable'!$G$2:$G$5=$F$15)&gt;0)*(($H$15="Tous")+('Analyse_filtrable'!$H$2:$H$5=$H$15)&gt;0)*(($J$15="Tous")+('Analyse_filtrable'!$J$2:$J$5=$J$15)&gt;0)))*--('Analyse_filtrable'!$H$2:$H$5="Custom fields"))</f>
        <v/>
      </c>
    </row>
    <row r="43">
      <c r="A43" s="13" t="inlineStr">
        <is>
          <t>Top champs modifiés - périmètre focus CLI</t>
        </is>
      </c>
    </row>
    <row r="44">
      <c r="A44" s="4" t="inlineStr">
        <is>
          <t>Champ modifié</t>
        </is>
      </c>
      <c r="B44" s="4" t="inlineStr">
        <is>
          <t>Modifications</t>
        </is>
      </c>
      <c r="C44" s="4" t="inlineStr">
        <is>
          <t>Tickets concernés</t>
        </is>
      </c>
    </row>
    <row r="45">
      <c r="A45" s="3" t="inlineStr">
        <is>
          <t>Assigné</t>
        </is>
      </c>
      <c r="B45" s="3" t="n">
        <v>1</v>
      </c>
      <c r="C45" s="3" t="n">
        <v>1</v>
      </c>
    </row>
    <row r="46">
      <c r="A46" s="3" t="inlineStr">
        <is>
          <t>Commentaires</t>
        </is>
      </c>
      <c r="B46" s="3" t="n">
        <v>1</v>
      </c>
      <c r="C46" s="3" t="n">
        <v>1</v>
      </c>
    </row>
    <row r="47">
      <c r="A47" s="3" t="inlineStr">
        <is>
          <t>Custom fields</t>
        </is>
      </c>
      <c r="B47" s="3" t="n">
        <v>1</v>
      </c>
      <c r="C47" s="3" t="n">
        <v>1</v>
      </c>
    </row>
    <row r="48">
      <c r="A48" s="3" t="inlineStr">
        <is>
          <t>Statut</t>
        </is>
      </c>
      <c r="B48" s="3" t="n">
        <v>1</v>
      </c>
      <c r="C48" s="3" t="n">
        <v>1</v>
      </c>
    </row>
  </sheetData>
  <mergeCells count="20">
    <mergeCell ref="G21:H21"/>
    <mergeCell ref="D4:N5"/>
    <mergeCell ref="G18:H19"/>
    <mergeCell ref="A18:B19"/>
    <mergeCell ref="D18:E19"/>
    <mergeCell ref="G17:H17"/>
    <mergeCell ref="D21:E21"/>
    <mergeCell ref="A22:B23"/>
    <mergeCell ref="J18:K19"/>
    <mergeCell ref="J22:K23"/>
    <mergeCell ref="D17:E17"/>
    <mergeCell ref="G22:H23"/>
    <mergeCell ref="A21:B21"/>
    <mergeCell ref="A12:N12"/>
    <mergeCell ref="A17:B17"/>
    <mergeCell ref="D22:E23"/>
    <mergeCell ref="D6:N7"/>
    <mergeCell ref="A1:N2"/>
    <mergeCell ref="J21:K21"/>
    <mergeCell ref="J17:K17"/>
  </mergeCells>
  <dataValidations count="5">
    <dataValidation sqref="D10" showDropDown="0" showInputMessage="0" showErrorMessage="0" allowBlank="0" errorTitle="Valeur invalide" error="Choisis une valeur de la liste." type="list">
      <formula1>=Listes_filtres!$A$2:$A$3</formula1>
    </dataValidation>
    <dataValidation sqref="F10" showDropDown="0" showInputMessage="0" showErrorMessage="0" allowBlank="0" errorTitle="Valeur invalide" error="Choisis une valeur de la liste." type="list">
      <formula1>=Listes_filtres!$B$2:$B$3</formula1>
    </dataValidation>
    <dataValidation sqref="H10" showDropDown="0" showInputMessage="0" showErrorMessage="0" allowBlank="0" errorTitle="Valeur invalide" error="Choisis une valeur de la liste." type="list">
      <formula1>=Listes_filtres!$C$2:$C$3</formula1>
    </dataValidation>
    <dataValidation sqref="J10" showDropDown="0" showInputMessage="0" showErrorMessage="0" allowBlank="0" errorTitle="Valeur invalide" error="Choisis une valeur de la liste." type="list">
      <formula1>=Listes_filtres!$D$2:$D$6</formula1>
    </dataValidation>
    <dataValidation sqref="L10" showDropDown="0" showInputMessage="0" showErrorMessage="0" allowBlank="0" errorTitle="Valeur invalide" error="Choisis une valeur de la liste." type="list">
      <formula1>=Listes_filtres!$E$2:$E$3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  <col width="11" customWidth="1" min="4" max="4"/>
    <col width="18" customWidth="1" min="5" max="5"/>
    <col width="18" customWidth="1" min="6" max="6"/>
    <col width="18" customWidth="1" min="7" max="7"/>
    <col width="18" customWidth="1" min="8" max="8"/>
    <col width="24" customWidth="1" min="9" max="9"/>
    <col width="11" customWidth="1" min="10" max="10"/>
    <col width="16" customWidth="1" min="11" max="11"/>
    <col width="11" customWidth="1" min="12" max="12"/>
    <col width="28" customWidth="1" min="13" max="13"/>
    <col width="28" customWidth="1" min="14" max="14"/>
    <col width="28" customWidth="1" min="15" max="15"/>
    <col width="28" customWidth="1" min="16" max="16"/>
    <col width="46" customWidth="1" min="17" max="17"/>
    <col width="31" customWidth="1" min="18" max="18"/>
    <col width="31" customWidth="1" min="19" max="19"/>
    <col width="21" customWidth="1" min="20" max="20"/>
  </cols>
  <sheetData>
    <row r="1">
      <c r="A1" s="14" t="inlineStr">
        <is>
          <t>Détection</t>
        </is>
      </c>
      <c r="B1" s="14" t="inlineStr">
        <is>
          <t>Début fenêtre</t>
        </is>
      </c>
      <c r="C1" s="14" t="inlineStr">
        <is>
          <t>Ticket ID</t>
        </is>
      </c>
      <c r="D1" s="14" t="inlineStr">
        <is>
          <t>Key</t>
        </is>
      </c>
      <c r="E1" s="14" t="inlineStr">
        <is>
          <t>Sprint</t>
        </is>
      </c>
      <c r="F1" s="14" t="inlineStr">
        <is>
          <t>Statut</t>
        </is>
      </c>
      <c r="G1" s="14" t="inlineStr">
        <is>
          <t>Type</t>
        </is>
      </c>
      <c r="H1" s="14" t="inlineStr">
        <is>
          <t>Champ modifié</t>
        </is>
      </c>
      <c r="I1" s="14" t="inlineStr">
        <is>
          <t>Type de modification</t>
        </is>
      </c>
      <c r="J1" s="14" t="inlineStr">
        <is>
          <t>Projet</t>
        </is>
      </c>
      <c r="K1" s="14" t="inlineStr">
        <is>
          <t>Assigné</t>
        </is>
      </c>
      <c r="L1" s="14" t="inlineStr">
        <is>
          <t>Priorité</t>
        </is>
      </c>
      <c r="M1" s="14" t="inlineStr">
        <is>
          <t>Valeur avant</t>
        </is>
      </c>
      <c r="N1" s="14" t="inlineStr">
        <is>
          <t>Valeur après</t>
        </is>
      </c>
      <c r="O1" s="14" t="inlineStr">
        <is>
          <t>Extrait avant</t>
        </is>
      </c>
      <c r="P1" s="14" t="inlineStr">
        <is>
          <t>Extrait après</t>
        </is>
      </c>
      <c r="Q1" s="14" t="inlineStr">
        <is>
          <t>Lien</t>
        </is>
      </c>
      <c r="R1" s="14" t="inlineStr">
        <is>
          <t>Fichier précédent</t>
        </is>
      </c>
      <c r="S1" s="14" t="inlineStr">
        <is>
          <t>Fichier courant</t>
        </is>
      </c>
      <c r="T1" s="14" t="inlineStr">
        <is>
          <t>Jira updated après</t>
        </is>
      </c>
    </row>
    <row r="2">
      <c r="A2" s="15" t="n">
        <v>46181.33821759259</v>
      </c>
      <c r="B2" s="15" t="n">
        <v>46178.64810185185</v>
      </c>
      <c r="C2" s="16" t="inlineStr">
        <is>
          <t>392738</t>
        </is>
      </c>
      <c r="D2" s="16" t="inlineStr">
        <is>
          <t>PPMG-1549</t>
        </is>
      </c>
      <c r="E2" s="16" t="inlineStr">
        <is>
          <t>Sprint 17 2026</t>
        </is>
      </c>
      <c r="F2" s="16" t="inlineStr">
        <is>
          <t>In Refinement</t>
        </is>
      </c>
      <c r="G2" s="16" t="inlineStr">
        <is>
          <t>Story</t>
        </is>
      </c>
      <c r="H2" s="16" t="inlineStr">
        <is>
          <t>Assigné</t>
        </is>
      </c>
      <c r="I2" s="16" t="inlineStr">
        <is>
          <t>Assigné modifié</t>
        </is>
      </c>
      <c r="J2" s="16" t="inlineStr">
        <is>
          <t>PPMG-1549</t>
        </is>
      </c>
      <c r="K2" s="16" t="inlineStr">
        <is>
          <t>Patrick PONCET</t>
        </is>
      </c>
      <c r="L2" s="16" t="inlineStr">
        <is>
          <t>High</t>
        </is>
      </c>
      <c r="M2" s="16" t="inlineStr">
        <is>
          <t>Yosra MANAI</t>
        </is>
      </c>
      <c r="N2" s="16" t="inlineStr">
        <is>
          <t>Patrick PONCET</t>
        </is>
      </c>
      <c r="O2" s="16" t="inlineStr">
        <is>
          <t>Yosra MANAI</t>
        </is>
      </c>
      <c r="P2" s="16" t="inlineStr">
        <is>
          <t>Patrick PONCET</t>
        </is>
      </c>
      <c r="Q2" s="16" t="inlineStr">
        <is>
          <t>https://data-servier.atlassian.net/browse/PPMG-1549</t>
        </is>
      </c>
      <c r="R2" s="16" t="inlineStr">
        <is>
          <t>ticket non clot (Jira)(2).xml</t>
        </is>
      </c>
      <c r="S2" s="16" t="inlineStr">
        <is>
          <t>ticket non clot (Jira)(3).xml</t>
        </is>
      </c>
      <c r="T2" s="15" t="n">
        <v>46178.6616087963</v>
      </c>
    </row>
    <row r="3">
      <c r="A3" s="15" t="n">
        <v>46181.33821759259</v>
      </c>
      <c r="B3" s="15" t="n">
        <v>46178.64810185185</v>
      </c>
      <c r="C3" s="16" t="inlineStr">
        <is>
          <t>392738</t>
        </is>
      </c>
      <c r="D3" s="16" t="inlineStr">
        <is>
          <t>PPMG-1549</t>
        </is>
      </c>
      <c r="E3" s="16" t="inlineStr">
        <is>
          <t>Sprint 17 2026</t>
        </is>
      </c>
      <c r="F3" s="16" t="inlineStr">
        <is>
          <t>In Refinement</t>
        </is>
      </c>
      <c r="G3" s="16" t="inlineStr">
        <is>
          <t>Story</t>
        </is>
      </c>
      <c r="H3" s="16" t="inlineStr">
        <is>
          <t>Commentaires</t>
        </is>
      </c>
      <c r="I3" s="16" t="inlineStr">
        <is>
          <t>Commentaires modifiés</t>
        </is>
      </c>
      <c r="J3" s="16" t="inlineStr">
        <is>
          <t>PPMG-1549</t>
        </is>
      </c>
      <c r="K3" s="16" t="inlineStr">
        <is>
          <t>Patrick PONCET</t>
        </is>
      </c>
      <c r="L3" s="16" t="inlineStr">
        <is>
          <t>High</t>
        </is>
      </c>
      <c r="M3" s="16" t="inlineStr">
        <is>
          <t>4</t>
        </is>
      </c>
      <c r="N3" s="16" t="inlineStr">
        <is>
          <t>4</t>
        </is>
      </c>
      <c r="O3" s="16" t="inlineStr">
        <is>
          <t>4</t>
        </is>
      </c>
      <c r="P3" s="16" t="inlineStr">
        <is>
          <t>4</t>
        </is>
      </c>
      <c r="Q3" s="16" t="inlineStr">
        <is>
          <t>https://data-servier.atlassian.net/browse/PPMG-1549</t>
        </is>
      </c>
      <c r="R3" s="16" t="inlineStr">
        <is>
          <t>ticket non clot (Jira)(2).xml</t>
        </is>
      </c>
      <c r="S3" s="16" t="inlineStr">
        <is>
          <t>ticket non clot (Jira)(3).xml</t>
        </is>
      </c>
      <c r="T3" s="15" t="n">
        <v>46178.6616087963</v>
      </c>
    </row>
    <row r="4">
      <c r="A4" s="15" t="n">
        <v>46181.33821759259</v>
      </c>
      <c r="B4" s="15" t="n">
        <v>46178.64810185185</v>
      </c>
      <c r="C4" s="16" t="inlineStr">
        <is>
          <t>392738</t>
        </is>
      </c>
      <c r="D4" s="16" t="inlineStr">
        <is>
          <t>PPMG-1549</t>
        </is>
      </c>
      <c r="E4" s="16" t="inlineStr">
        <is>
          <t>Sprint 17 2026</t>
        </is>
      </c>
      <c r="F4" s="16" t="inlineStr">
        <is>
          <t>In Refinement</t>
        </is>
      </c>
      <c r="G4" s="16" t="inlineStr">
        <is>
          <t>Story</t>
        </is>
      </c>
      <c r="H4" s="16" t="inlineStr">
        <is>
          <t>Custom fields</t>
        </is>
      </c>
      <c r="I4" s="16" t="inlineStr">
        <is>
          <t>Custom fields modifiés</t>
        </is>
      </c>
      <c r="J4" s="16" t="inlineStr">
        <is>
          <t>PPMG-1549</t>
        </is>
      </c>
      <c r="K4" s="16" t="inlineStr">
        <is>
          <t>Patrick PONCET</t>
        </is>
      </c>
      <c r="L4" s="16" t="inlineStr">
        <is>
          <t>High</t>
        </is>
      </c>
      <c r="M4" s="16" t="inlineStr">
        <is>
          <t>Rank</t>
        </is>
      </c>
      <c r="N4" s="16" t="inlineStr">
        <is>
          <t>Rank</t>
        </is>
      </c>
      <c r="O4" s="16" t="inlineStr">
        <is>
          <t>Rank</t>
        </is>
      </c>
      <c r="P4" s="16" t="inlineStr">
        <is>
          <t>Rank</t>
        </is>
      </c>
      <c r="Q4" s="16" t="inlineStr">
        <is>
          <t>https://data-servier.atlassian.net/browse/PPMG-1549</t>
        </is>
      </c>
      <c r="R4" s="16" t="inlineStr">
        <is>
          <t>ticket non clot (Jira)(2).xml</t>
        </is>
      </c>
      <c r="S4" s="16" t="inlineStr">
        <is>
          <t>ticket non clot (Jira)(3).xml</t>
        </is>
      </c>
      <c r="T4" s="15" t="n">
        <v>46178.6616087963</v>
      </c>
    </row>
    <row r="5">
      <c r="A5" s="15" t="n">
        <v>46181.33821759259</v>
      </c>
      <c r="B5" s="15" t="n">
        <v>46178.64810185185</v>
      </c>
      <c r="C5" s="16" t="inlineStr">
        <is>
          <t>392738</t>
        </is>
      </c>
      <c r="D5" s="16" t="inlineStr">
        <is>
          <t>PPMG-1549</t>
        </is>
      </c>
      <c r="E5" s="16" t="inlineStr">
        <is>
          <t>Sprint 17 2026</t>
        </is>
      </c>
      <c r="F5" s="16" t="inlineStr">
        <is>
          <t>In Refinement</t>
        </is>
      </c>
      <c r="G5" s="16" t="inlineStr">
        <is>
          <t>Story</t>
        </is>
      </c>
      <c r="H5" s="16" t="inlineStr">
        <is>
          <t>Statut</t>
        </is>
      </c>
      <c r="I5" s="16" t="inlineStr">
        <is>
          <t>Statut modifié</t>
        </is>
      </c>
      <c r="J5" s="16" t="inlineStr">
        <is>
          <t>PPMG-1549</t>
        </is>
      </c>
      <c r="K5" s="16" t="inlineStr">
        <is>
          <t>Patrick PONCET</t>
        </is>
      </c>
      <c r="L5" s="16" t="inlineStr">
        <is>
          <t>High</t>
        </is>
      </c>
      <c r="M5" s="16" t="inlineStr">
        <is>
          <t>Analyse</t>
        </is>
      </c>
      <c r="N5" s="16" t="inlineStr">
        <is>
          <t>In Refinement</t>
        </is>
      </c>
      <c r="O5" s="16" t="inlineStr">
        <is>
          <t>Analyse</t>
        </is>
      </c>
      <c r="P5" s="16" t="inlineStr">
        <is>
          <t>In Refinement</t>
        </is>
      </c>
      <c r="Q5" s="16" t="inlineStr">
        <is>
          <t>https://data-servier.atlassian.net/browse/PPMG-1549</t>
        </is>
      </c>
      <c r="R5" s="16" t="inlineStr">
        <is>
          <t>ticket non clot (Jira)(2).xml</t>
        </is>
      </c>
      <c r="S5" s="16" t="inlineStr">
        <is>
          <t>ticket non clot (Jira)(3).xml</t>
        </is>
      </c>
      <c r="T5" s="15" t="n">
        <v>46178.6616087963</v>
      </c>
    </row>
  </sheetData>
  <autoFilter ref="A1:T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Sprint</t>
        </is>
      </c>
      <c r="B1" t="inlineStr">
        <is>
          <t>Statut</t>
        </is>
      </c>
      <c r="C1" t="inlineStr">
        <is>
          <t>Type</t>
        </is>
      </c>
      <c r="D1" t="inlineStr">
        <is>
          <t>Champ</t>
        </is>
      </c>
      <c r="E1" t="inlineStr">
        <is>
          <t>Projet</t>
        </is>
      </c>
    </row>
    <row r="2">
      <c r="A2" t="inlineStr">
        <is>
          <t>Tous</t>
        </is>
      </c>
      <c r="B2" t="inlineStr">
        <is>
          <t>Tous</t>
        </is>
      </c>
      <c r="C2" t="inlineStr">
        <is>
          <t>Tous</t>
        </is>
      </c>
      <c r="D2" t="inlineStr">
        <is>
          <t>Tous</t>
        </is>
      </c>
      <c r="E2" t="inlineStr">
        <is>
          <t>Tous</t>
        </is>
      </c>
    </row>
    <row r="3">
      <c r="A3" t="inlineStr">
        <is>
          <t>Sprint 17 2026</t>
        </is>
      </c>
      <c r="B3" t="inlineStr">
        <is>
          <t>In Refinement</t>
        </is>
      </c>
      <c r="C3" t="inlineStr">
        <is>
          <t>Story</t>
        </is>
      </c>
      <c r="D3" t="inlineStr">
        <is>
          <t>Assigné</t>
        </is>
      </c>
      <c r="E3" t="inlineStr">
        <is>
          <t>PPMG-1549</t>
        </is>
      </c>
    </row>
    <row r="4">
      <c r="D4" t="inlineStr">
        <is>
          <t>Commentaires</t>
        </is>
      </c>
    </row>
    <row r="5">
      <c r="D5" t="inlineStr">
        <is>
          <t>Custom fields</t>
        </is>
      </c>
    </row>
    <row r="6">
      <c r="D6" t="inlineStr">
        <is>
          <t>Statut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31" customWidth="1" min="3" max="3"/>
    <col width="31" customWidth="1" min="4" max="4"/>
    <col width="11" customWidth="1" min="5" max="5"/>
    <col width="11" customWidth="1" min="6" max="6"/>
    <col width="11" customWidth="1" min="7" max="7"/>
    <col width="11" customWidth="1" min="8" max="8"/>
    <col width="16" customWidth="1" min="9" max="9"/>
    <col width="16" customWidth="1" min="10" max="10"/>
    <col width="17" customWidth="1" min="11" max="11"/>
    <col width="14" customWidth="1" min="12" max="12"/>
    <col width="15" customWidth="1" min="13" max="13"/>
    <col width="17" customWidth="1" min="14" max="14"/>
    <col width="24" customWidth="1" min="15" max="15"/>
    <col width="24" customWidth="1" min="16" max="16"/>
    <col width="12" customWidth="1" min="17" max="17"/>
    <col width="12" customWidth="1" min="18" max="18"/>
    <col width="15" customWidth="1" min="19" max="19"/>
    <col width="15" customWidth="1" min="20" max="20"/>
    <col width="16" customWidth="1" min="21" max="21"/>
    <col width="16" customWidth="1" min="22" max="22"/>
    <col width="16" customWidth="1" min="23" max="23"/>
    <col width="18" customWidth="1" min="24" max="24"/>
    <col width="24" customWidth="1" min="25" max="25"/>
    <col width="28" customWidth="1" min="26" max="26"/>
    <col width="28" customWidth="1" min="27" max="27"/>
    <col width="14" customWidth="1" min="28" max="28"/>
    <col width="14" customWidth="1" min="29" max="29"/>
    <col width="28" customWidth="1" min="30" max="30"/>
    <col width="28" customWidth="1" min="31" max="31"/>
    <col width="21" customWidth="1" min="32" max="32"/>
    <col width="21" customWidth="1" min="33" max="33"/>
    <col width="46" customWidth="1" min="34" max="34"/>
  </cols>
  <sheetData>
    <row r="1">
      <c r="A1" s="17" t="inlineStr">
        <is>
          <t>Fenêtre début</t>
        </is>
      </c>
      <c r="B1" s="17" t="inlineStr">
        <is>
          <t>Fenêtre fin / détection</t>
        </is>
      </c>
      <c r="C1" s="17" t="inlineStr">
        <is>
          <t>Fichier précédent</t>
        </is>
      </c>
      <c r="D1" s="17" t="inlineStr">
        <is>
          <t>Fichier courant</t>
        </is>
      </c>
      <c r="E1" s="17" t="inlineStr">
        <is>
          <t>Ticket ID</t>
        </is>
      </c>
      <c r="F1" s="17" t="inlineStr">
        <is>
          <t>Key avant</t>
        </is>
      </c>
      <c r="G1" s="17" t="inlineStr">
        <is>
          <t>Key après</t>
        </is>
      </c>
      <c r="H1" s="17" t="inlineStr">
        <is>
          <t>Projet</t>
        </is>
      </c>
      <c r="I1" s="17" t="inlineStr">
        <is>
          <t>Sprint avant</t>
        </is>
      </c>
      <c r="J1" s="17" t="inlineStr">
        <is>
          <t>Sprint après</t>
        </is>
      </c>
      <c r="K1" s="17" t="inlineStr">
        <is>
          <t>Sprint effectif</t>
        </is>
      </c>
      <c r="L1" s="17" t="inlineStr">
        <is>
          <t>Statut avant</t>
        </is>
      </c>
      <c r="M1" s="17" t="inlineStr">
        <is>
          <t>Statut après</t>
        </is>
      </c>
      <c r="N1" s="17" t="inlineStr">
        <is>
          <t>Statut effectif</t>
        </is>
      </c>
      <c r="O1" s="17" t="inlineStr">
        <is>
          <t>Catégorie statut avant</t>
        </is>
      </c>
      <c r="P1" s="17" t="inlineStr">
        <is>
          <t>Catégorie statut après</t>
        </is>
      </c>
      <c r="Q1" s="17" t="inlineStr">
        <is>
          <t>Type avant</t>
        </is>
      </c>
      <c r="R1" s="17" t="inlineStr">
        <is>
          <t>Type après</t>
        </is>
      </c>
      <c r="S1" s="17" t="inlineStr">
        <is>
          <t>Type effectif</t>
        </is>
      </c>
      <c r="T1" s="17" t="inlineStr">
        <is>
          <t>Assigné avant</t>
        </is>
      </c>
      <c r="U1" s="17" t="inlineStr">
        <is>
          <t>Assigné après</t>
        </is>
      </c>
      <c r="V1" s="17" t="inlineStr">
        <is>
          <t>Priorité avant</t>
        </is>
      </c>
      <c r="W1" s="17" t="inlineStr">
        <is>
          <t>Priorité après</t>
        </is>
      </c>
      <c r="X1" s="17" t="inlineStr">
        <is>
          <t>Champ modifié</t>
        </is>
      </c>
      <c r="Y1" s="17" t="inlineStr">
        <is>
          <t>Type de modification</t>
        </is>
      </c>
      <c r="Z1" s="17" t="inlineStr">
        <is>
          <t>Valeur avant</t>
        </is>
      </c>
      <c r="AA1" s="17" t="inlineStr">
        <is>
          <t>Valeur après</t>
        </is>
      </c>
      <c r="AB1" s="17" t="inlineStr">
        <is>
          <t>Taille avant</t>
        </is>
      </c>
      <c r="AC1" s="17" t="inlineStr">
        <is>
          <t>Taille après</t>
        </is>
      </c>
      <c r="AD1" s="17" t="inlineStr">
        <is>
          <t>Extrait avant</t>
        </is>
      </c>
      <c r="AE1" s="17" t="inlineStr">
        <is>
          <t>Extrait après</t>
        </is>
      </c>
      <c r="AF1" s="17" t="inlineStr">
        <is>
          <t>Jira updated avant</t>
        </is>
      </c>
      <c r="AG1" s="17" t="inlineStr">
        <is>
          <t>Jira updated après</t>
        </is>
      </c>
      <c r="AH1" s="17" t="inlineStr">
        <is>
          <t>Lien</t>
        </is>
      </c>
    </row>
    <row r="2">
      <c r="A2" s="15" t="n">
        <v>46178.64810185185</v>
      </c>
      <c r="B2" s="15" t="n">
        <v>46181.33821759259</v>
      </c>
      <c r="C2" s="16" t="inlineStr">
        <is>
          <t>ticket non clot (Jira)(2).xml</t>
        </is>
      </c>
      <c r="D2" s="16" t="inlineStr">
        <is>
          <t>ticket non clot (Jira)(3).xml</t>
        </is>
      </c>
      <c r="E2" s="16" t="inlineStr">
        <is>
          <t>392738</t>
        </is>
      </c>
      <c r="F2" s="16" t="inlineStr">
        <is>
          <t>PPMG-1549</t>
        </is>
      </c>
      <c r="G2" s="16" t="inlineStr">
        <is>
          <t>PPMG-1549</t>
        </is>
      </c>
      <c r="H2" s="16" t="inlineStr">
        <is>
          <t>PPMG-1549</t>
        </is>
      </c>
      <c r="I2" s="16" t="inlineStr">
        <is>
          <t>Sprint 17 2026</t>
        </is>
      </c>
      <c r="J2" s="16" t="inlineStr">
        <is>
          <t>Sprint 17 2026</t>
        </is>
      </c>
      <c r="K2" s="16" t="inlineStr">
        <is>
          <t>Sprint 17 2026</t>
        </is>
      </c>
      <c r="L2" s="16" t="inlineStr">
        <is>
          <t>Analyse</t>
        </is>
      </c>
      <c r="M2" s="16" t="inlineStr">
        <is>
          <t>In Refinement</t>
        </is>
      </c>
      <c r="N2" s="16" t="inlineStr">
        <is>
          <t>In Refinement</t>
        </is>
      </c>
      <c r="O2" s="16" t="inlineStr">
        <is>
          <t>indeterminate</t>
        </is>
      </c>
      <c r="P2" s="16" t="inlineStr">
        <is>
          <t>indeterminate</t>
        </is>
      </c>
      <c r="Q2" s="16" t="inlineStr">
        <is>
          <t>Story</t>
        </is>
      </c>
      <c r="R2" s="16" t="inlineStr">
        <is>
          <t>Story</t>
        </is>
      </c>
      <c r="S2" s="16" t="inlineStr">
        <is>
          <t>Story</t>
        </is>
      </c>
      <c r="T2" s="16" t="inlineStr">
        <is>
          <t>Yosra MANAI</t>
        </is>
      </c>
      <c r="U2" s="16" t="inlineStr">
        <is>
          <t>Patrick PONCET</t>
        </is>
      </c>
      <c r="V2" s="16" t="inlineStr">
        <is>
          <t>High</t>
        </is>
      </c>
      <c r="W2" s="16" t="inlineStr">
        <is>
          <t>High</t>
        </is>
      </c>
      <c r="X2" s="16" t="inlineStr">
        <is>
          <t>Statut</t>
        </is>
      </c>
      <c r="Y2" s="16" t="inlineStr">
        <is>
          <t>Statut modifié</t>
        </is>
      </c>
      <c r="Z2" s="16" t="inlineStr">
        <is>
          <t>Analyse</t>
        </is>
      </c>
      <c r="AA2" s="16" t="inlineStr">
        <is>
          <t>In Refinement</t>
        </is>
      </c>
      <c r="AB2" s="16" t="n">
        <v>7</v>
      </c>
      <c r="AC2" s="16" t="n">
        <v>13</v>
      </c>
      <c r="AD2" s="16" t="inlineStr">
        <is>
          <t>Analyse</t>
        </is>
      </c>
      <c r="AE2" s="16" t="inlineStr">
        <is>
          <t>In Refinement</t>
        </is>
      </c>
      <c r="AF2" s="15" t="n">
        <v>46178.54476851852</v>
      </c>
      <c r="AG2" s="15" t="n">
        <v>46178.6616087963</v>
      </c>
      <c r="AH2" s="16" t="inlineStr">
        <is>
          <t>https://data-servier.atlassian.net/browse/PPMG-1549</t>
        </is>
      </c>
    </row>
    <row r="3">
      <c r="A3" s="15" t="n">
        <v>46178.64810185185</v>
      </c>
      <c r="B3" s="15" t="n">
        <v>46181.33821759259</v>
      </c>
      <c r="C3" s="16" t="inlineStr">
        <is>
          <t>ticket non clot (Jira)(2).xml</t>
        </is>
      </c>
      <c r="D3" s="16" t="inlineStr">
        <is>
          <t>ticket non clot (Jira)(3).xml</t>
        </is>
      </c>
      <c r="E3" s="16" t="inlineStr">
        <is>
          <t>392738</t>
        </is>
      </c>
      <c r="F3" s="16" t="inlineStr">
        <is>
          <t>PPMG-1549</t>
        </is>
      </c>
      <c r="G3" s="16" t="inlineStr">
        <is>
          <t>PPMG-1549</t>
        </is>
      </c>
      <c r="H3" s="16" t="inlineStr">
        <is>
          <t>PPMG-1549</t>
        </is>
      </c>
      <c r="I3" s="16" t="inlineStr">
        <is>
          <t>Sprint 17 2026</t>
        </is>
      </c>
      <c r="J3" s="16" t="inlineStr">
        <is>
          <t>Sprint 17 2026</t>
        </is>
      </c>
      <c r="K3" s="16" t="inlineStr">
        <is>
          <t>Sprint 17 2026</t>
        </is>
      </c>
      <c r="L3" s="16" t="inlineStr">
        <is>
          <t>Analyse</t>
        </is>
      </c>
      <c r="M3" s="16" t="inlineStr">
        <is>
          <t>In Refinement</t>
        </is>
      </c>
      <c r="N3" s="16" t="inlineStr">
        <is>
          <t>In Refinement</t>
        </is>
      </c>
      <c r="O3" s="16" t="inlineStr">
        <is>
          <t>indeterminate</t>
        </is>
      </c>
      <c r="P3" s="16" t="inlineStr">
        <is>
          <t>indeterminate</t>
        </is>
      </c>
      <c r="Q3" s="16" t="inlineStr">
        <is>
          <t>Story</t>
        </is>
      </c>
      <c r="R3" s="16" t="inlineStr">
        <is>
          <t>Story</t>
        </is>
      </c>
      <c r="S3" s="16" t="inlineStr">
        <is>
          <t>Story</t>
        </is>
      </c>
      <c r="T3" s="16" t="inlineStr">
        <is>
          <t>Yosra MANAI</t>
        </is>
      </c>
      <c r="U3" s="16" t="inlineStr">
        <is>
          <t>Patrick PONCET</t>
        </is>
      </c>
      <c r="V3" s="16" t="inlineStr">
        <is>
          <t>High</t>
        </is>
      </c>
      <c r="W3" s="16" t="inlineStr">
        <is>
          <t>High</t>
        </is>
      </c>
      <c r="X3" s="16" t="inlineStr">
        <is>
          <t>Assigné</t>
        </is>
      </c>
      <c r="Y3" s="16" t="inlineStr">
        <is>
          <t>Assigné modifié</t>
        </is>
      </c>
      <c r="Z3" s="16" t="inlineStr">
        <is>
          <t>Yosra MANAI</t>
        </is>
      </c>
      <c r="AA3" s="16" t="inlineStr">
        <is>
          <t>Patrick PONCET</t>
        </is>
      </c>
      <c r="AB3" s="16" t="n">
        <v>11</v>
      </c>
      <c r="AC3" s="16" t="n">
        <v>14</v>
      </c>
      <c r="AD3" s="16" t="inlineStr">
        <is>
          <t>Yosra MANAI</t>
        </is>
      </c>
      <c r="AE3" s="16" t="inlineStr">
        <is>
          <t>Patrick PONCET</t>
        </is>
      </c>
      <c r="AF3" s="15" t="n">
        <v>46178.54476851852</v>
      </c>
      <c r="AG3" s="15" t="n">
        <v>46178.6616087963</v>
      </c>
      <c r="AH3" s="16" t="inlineStr">
        <is>
          <t>https://data-servier.atlassian.net/browse/PPMG-1549</t>
        </is>
      </c>
    </row>
    <row r="4">
      <c r="A4" s="15" t="n">
        <v>46178.64810185185</v>
      </c>
      <c r="B4" s="15" t="n">
        <v>46181.33821759259</v>
      </c>
      <c r="C4" s="16" t="inlineStr">
        <is>
          <t>ticket non clot (Jira)(2).xml</t>
        </is>
      </c>
      <c r="D4" s="16" t="inlineStr">
        <is>
          <t>ticket non clot (Jira)(3).xml</t>
        </is>
      </c>
      <c r="E4" s="16" t="inlineStr">
        <is>
          <t>392738</t>
        </is>
      </c>
      <c r="F4" s="16" t="inlineStr">
        <is>
          <t>PPMG-1549</t>
        </is>
      </c>
      <c r="G4" s="16" t="inlineStr">
        <is>
          <t>PPMG-1549</t>
        </is>
      </c>
      <c r="H4" s="16" t="inlineStr">
        <is>
          <t>PPMG-1549</t>
        </is>
      </c>
      <c r="I4" s="16" t="inlineStr">
        <is>
          <t>Sprint 17 2026</t>
        </is>
      </c>
      <c r="J4" s="16" t="inlineStr">
        <is>
          <t>Sprint 17 2026</t>
        </is>
      </c>
      <c r="K4" s="16" t="inlineStr">
        <is>
          <t>Sprint 17 2026</t>
        </is>
      </c>
      <c r="L4" s="16" t="inlineStr">
        <is>
          <t>Analyse</t>
        </is>
      </c>
      <c r="M4" s="16" t="inlineStr">
        <is>
          <t>In Refinement</t>
        </is>
      </c>
      <c r="N4" s="16" t="inlineStr">
        <is>
          <t>In Refinement</t>
        </is>
      </c>
      <c r="O4" s="16" t="inlineStr">
        <is>
          <t>indeterminate</t>
        </is>
      </c>
      <c r="P4" s="16" t="inlineStr">
        <is>
          <t>indeterminate</t>
        </is>
      </c>
      <c r="Q4" s="16" t="inlineStr">
        <is>
          <t>Story</t>
        </is>
      </c>
      <c r="R4" s="16" t="inlineStr">
        <is>
          <t>Story</t>
        </is>
      </c>
      <c r="S4" s="16" t="inlineStr">
        <is>
          <t>Story</t>
        </is>
      </c>
      <c r="T4" s="16" t="inlineStr">
        <is>
          <t>Yosra MANAI</t>
        </is>
      </c>
      <c r="U4" s="16" t="inlineStr">
        <is>
          <t>Patrick PONCET</t>
        </is>
      </c>
      <c r="V4" s="16" t="inlineStr">
        <is>
          <t>High</t>
        </is>
      </c>
      <c r="W4" s="16" t="inlineStr">
        <is>
          <t>High</t>
        </is>
      </c>
      <c r="X4" s="16" t="inlineStr">
        <is>
          <t>Commentaires</t>
        </is>
      </c>
      <c r="Y4" s="16" t="inlineStr">
        <is>
          <t>Commentaires modifiés</t>
        </is>
      </c>
      <c r="Z4" s="16" t="inlineStr">
        <is>
          <t>4</t>
        </is>
      </c>
      <c r="AA4" s="16" t="inlineStr">
        <is>
          <t>4</t>
        </is>
      </c>
      <c r="AB4" s="16" t="n">
        <v>4</v>
      </c>
      <c r="AC4" s="16" t="n">
        <v>4</v>
      </c>
      <c r="AD4" s="16" t="inlineStr">
        <is>
          <t>4</t>
        </is>
      </c>
      <c r="AE4" s="16" t="inlineStr">
        <is>
          <t>4</t>
        </is>
      </c>
      <c r="AF4" s="15" t="n">
        <v>46178.54476851852</v>
      </c>
      <c r="AG4" s="15" t="n">
        <v>46178.6616087963</v>
      </c>
      <c r="AH4" s="16" t="inlineStr">
        <is>
          <t>https://data-servier.atlassian.net/browse/PPMG-1549</t>
        </is>
      </c>
    </row>
    <row r="5">
      <c r="A5" s="15" t="n">
        <v>46178.64810185185</v>
      </c>
      <c r="B5" s="15" t="n">
        <v>46181.33821759259</v>
      </c>
      <c r="C5" s="16" t="inlineStr">
        <is>
          <t>ticket non clot (Jira)(2).xml</t>
        </is>
      </c>
      <c r="D5" s="16" t="inlineStr">
        <is>
          <t>ticket non clot (Jira)(3).xml</t>
        </is>
      </c>
      <c r="E5" s="16" t="inlineStr">
        <is>
          <t>392738</t>
        </is>
      </c>
      <c r="F5" s="16" t="inlineStr">
        <is>
          <t>PPMG-1549</t>
        </is>
      </c>
      <c r="G5" s="16" t="inlineStr">
        <is>
          <t>PPMG-1549</t>
        </is>
      </c>
      <c r="H5" s="16" t="inlineStr">
        <is>
          <t>PPMG-1549</t>
        </is>
      </c>
      <c r="I5" s="16" t="inlineStr">
        <is>
          <t>Sprint 17 2026</t>
        </is>
      </c>
      <c r="J5" s="16" t="inlineStr">
        <is>
          <t>Sprint 17 2026</t>
        </is>
      </c>
      <c r="K5" s="16" t="inlineStr">
        <is>
          <t>Sprint 17 2026</t>
        </is>
      </c>
      <c r="L5" s="16" t="inlineStr">
        <is>
          <t>Analyse</t>
        </is>
      </c>
      <c r="M5" s="16" t="inlineStr">
        <is>
          <t>In Refinement</t>
        </is>
      </c>
      <c r="N5" s="16" t="inlineStr">
        <is>
          <t>In Refinement</t>
        </is>
      </c>
      <c r="O5" s="16" t="inlineStr">
        <is>
          <t>indeterminate</t>
        </is>
      </c>
      <c r="P5" s="16" t="inlineStr">
        <is>
          <t>indeterminate</t>
        </is>
      </c>
      <c r="Q5" s="16" t="inlineStr">
        <is>
          <t>Story</t>
        </is>
      </c>
      <c r="R5" s="16" t="inlineStr">
        <is>
          <t>Story</t>
        </is>
      </c>
      <c r="S5" s="16" t="inlineStr">
        <is>
          <t>Story</t>
        </is>
      </c>
      <c r="T5" s="16" t="inlineStr">
        <is>
          <t>Yosra MANAI</t>
        </is>
      </c>
      <c r="U5" s="16" t="inlineStr">
        <is>
          <t>Patrick PONCET</t>
        </is>
      </c>
      <c r="V5" s="16" t="inlineStr">
        <is>
          <t>High</t>
        </is>
      </c>
      <c r="W5" s="16" t="inlineStr">
        <is>
          <t>High</t>
        </is>
      </c>
      <c r="X5" s="16" t="inlineStr">
        <is>
          <t>Custom fields</t>
        </is>
      </c>
      <c r="Y5" s="16" t="inlineStr">
        <is>
          <t>Custom fields modifiés</t>
        </is>
      </c>
      <c r="Z5" s="16" t="inlineStr">
        <is>
          <t>Rank</t>
        </is>
      </c>
      <c r="AA5" s="16" t="inlineStr">
        <is>
          <t>Rank</t>
        </is>
      </c>
      <c r="AB5" s="16" t="n">
        <v>1</v>
      </c>
      <c r="AC5" s="16" t="n">
        <v>1</v>
      </c>
      <c r="AD5" s="16" t="inlineStr">
        <is>
          <t>Rank</t>
        </is>
      </c>
      <c r="AE5" s="16" t="inlineStr">
        <is>
          <t>Rank</t>
        </is>
      </c>
      <c r="AF5" s="15" t="n">
        <v>46178.54476851852</v>
      </c>
      <c r="AG5" s="15" t="n">
        <v>46178.6616087963</v>
      </c>
      <c r="AH5" s="16" t="inlineStr">
        <is>
          <t>https://data-servier.atlassian.net/browse/PPMG-1549</t>
        </is>
      </c>
    </row>
  </sheetData>
  <autoFilter ref="A1:A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31" customWidth="1" min="3" max="3"/>
    <col width="31" customWidth="1" min="4" max="4"/>
    <col width="11" customWidth="1" min="5" max="5"/>
    <col width="11" customWidth="1" min="6" max="6"/>
    <col width="11" customWidth="1" min="7" max="7"/>
    <col width="11" customWidth="1" min="8" max="8"/>
    <col width="16" customWidth="1" min="9" max="9"/>
    <col width="16" customWidth="1" min="10" max="10"/>
    <col width="17" customWidth="1" min="11" max="11"/>
    <col width="14" customWidth="1" min="12" max="12"/>
    <col width="15" customWidth="1" min="13" max="13"/>
    <col width="17" customWidth="1" min="14" max="14"/>
    <col width="24" customWidth="1" min="15" max="15"/>
    <col width="24" customWidth="1" min="16" max="16"/>
    <col width="12" customWidth="1" min="17" max="17"/>
    <col width="12" customWidth="1" min="18" max="18"/>
    <col width="15" customWidth="1" min="19" max="19"/>
    <col width="15" customWidth="1" min="20" max="20"/>
    <col width="16" customWidth="1" min="21" max="21"/>
    <col width="16" customWidth="1" min="22" max="22"/>
    <col width="16" customWidth="1" min="23" max="23"/>
    <col width="18" customWidth="1" min="24" max="24"/>
    <col width="24" customWidth="1" min="25" max="25"/>
    <col width="28" customWidth="1" min="26" max="26"/>
    <col width="28" customWidth="1" min="27" max="27"/>
    <col width="14" customWidth="1" min="28" max="28"/>
    <col width="14" customWidth="1" min="29" max="29"/>
    <col width="28" customWidth="1" min="30" max="30"/>
    <col width="28" customWidth="1" min="31" max="31"/>
    <col width="21" customWidth="1" min="32" max="32"/>
    <col width="21" customWidth="1" min="33" max="33"/>
    <col width="46" customWidth="1" min="34" max="34"/>
  </cols>
  <sheetData>
    <row r="1">
      <c r="A1" s="17" t="inlineStr">
        <is>
          <t>Fenêtre début</t>
        </is>
      </c>
      <c r="B1" s="17" t="inlineStr">
        <is>
          <t>Fenêtre fin / détection</t>
        </is>
      </c>
      <c r="C1" s="17" t="inlineStr">
        <is>
          <t>Fichier précédent</t>
        </is>
      </c>
      <c r="D1" s="17" t="inlineStr">
        <is>
          <t>Fichier courant</t>
        </is>
      </c>
      <c r="E1" s="17" t="inlineStr">
        <is>
          <t>Ticket ID</t>
        </is>
      </c>
      <c r="F1" s="17" t="inlineStr">
        <is>
          <t>Key avant</t>
        </is>
      </c>
      <c r="G1" s="17" t="inlineStr">
        <is>
          <t>Key après</t>
        </is>
      </c>
      <c r="H1" s="17" t="inlineStr">
        <is>
          <t>Projet</t>
        </is>
      </c>
      <c r="I1" s="17" t="inlineStr">
        <is>
          <t>Sprint avant</t>
        </is>
      </c>
      <c r="J1" s="17" t="inlineStr">
        <is>
          <t>Sprint après</t>
        </is>
      </c>
      <c r="K1" s="17" t="inlineStr">
        <is>
          <t>Sprint effectif</t>
        </is>
      </c>
      <c r="L1" s="17" t="inlineStr">
        <is>
          <t>Statut avant</t>
        </is>
      </c>
      <c r="M1" s="17" t="inlineStr">
        <is>
          <t>Statut après</t>
        </is>
      </c>
      <c r="N1" s="17" t="inlineStr">
        <is>
          <t>Statut effectif</t>
        </is>
      </c>
      <c r="O1" s="17" t="inlineStr">
        <is>
          <t>Catégorie statut avant</t>
        </is>
      </c>
      <c r="P1" s="17" t="inlineStr">
        <is>
          <t>Catégorie statut après</t>
        </is>
      </c>
      <c r="Q1" s="17" t="inlineStr">
        <is>
          <t>Type avant</t>
        </is>
      </c>
      <c r="R1" s="17" t="inlineStr">
        <is>
          <t>Type après</t>
        </is>
      </c>
      <c r="S1" s="17" t="inlineStr">
        <is>
          <t>Type effectif</t>
        </is>
      </c>
      <c r="T1" s="17" t="inlineStr">
        <is>
          <t>Assigné avant</t>
        </is>
      </c>
      <c r="U1" s="17" t="inlineStr">
        <is>
          <t>Assigné après</t>
        </is>
      </c>
      <c r="V1" s="17" t="inlineStr">
        <is>
          <t>Priorité avant</t>
        </is>
      </c>
      <c r="W1" s="17" t="inlineStr">
        <is>
          <t>Priorité après</t>
        </is>
      </c>
      <c r="X1" s="17" t="inlineStr">
        <is>
          <t>Champ modifié</t>
        </is>
      </c>
      <c r="Y1" s="17" t="inlineStr">
        <is>
          <t>Type de modification</t>
        </is>
      </c>
      <c r="Z1" s="17" t="inlineStr">
        <is>
          <t>Valeur avant</t>
        </is>
      </c>
      <c r="AA1" s="17" t="inlineStr">
        <is>
          <t>Valeur après</t>
        </is>
      </c>
      <c r="AB1" s="17" t="inlineStr">
        <is>
          <t>Taille avant</t>
        </is>
      </c>
      <c r="AC1" s="17" t="inlineStr">
        <is>
          <t>Taille après</t>
        </is>
      </c>
      <c r="AD1" s="17" t="inlineStr">
        <is>
          <t>Extrait avant</t>
        </is>
      </c>
      <c r="AE1" s="17" t="inlineStr">
        <is>
          <t>Extrait après</t>
        </is>
      </c>
      <c r="AF1" s="17" t="inlineStr">
        <is>
          <t>Jira updated avant</t>
        </is>
      </c>
      <c r="AG1" s="17" t="inlineStr">
        <is>
          <t>Jira updated après</t>
        </is>
      </c>
      <c r="AH1" s="17" t="inlineStr">
        <is>
          <t>Lien</t>
        </is>
      </c>
    </row>
    <row r="2">
      <c r="A2" s="15" t="n">
        <v>46178.64810185185</v>
      </c>
      <c r="B2" s="15" t="n">
        <v>46181.33821759259</v>
      </c>
      <c r="C2" s="16" t="inlineStr">
        <is>
          <t>ticket non clot (Jira)(2).xml</t>
        </is>
      </c>
      <c r="D2" s="16" t="inlineStr">
        <is>
          <t>ticket non clot (Jira)(3).xml</t>
        </is>
      </c>
      <c r="E2" s="16" t="inlineStr">
        <is>
          <t>392738</t>
        </is>
      </c>
      <c r="F2" s="16" t="inlineStr">
        <is>
          <t>PPMG-1549</t>
        </is>
      </c>
      <c r="G2" s="16" t="inlineStr">
        <is>
          <t>PPMG-1549</t>
        </is>
      </c>
      <c r="H2" s="16" t="inlineStr">
        <is>
          <t>PPMG-1549</t>
        </is>
      </c>
      <c r="I2" s="16" t="inlineStr">
        <is>
          <t>Sprint 17 2026</t>
        </is>
      </c>
      <c r="J2" s="16" t="inlineStr">
        <is>
          <t>Sprint 17 2026</t>
        </is>
      </c>
      <c r="K2" s="16" t="inlineStr">
        <is>
          <t>Sprint 17 2026</t>
        </is>
      </c>
      <c r="L2" s="16" t="inlineStr">
        <is>
          <t>Analyse</t>
        </is>
      </c>
      <c r="M2" s="16" t="inlineStr">
        <is>
          <t>In Refinement</t>
        </is>
      </c>
      <c r="N2" s="16" t="inlineStr">
        <is>
          <t>In Refinement</t>
        </is>
      </c>
      <c r="O2" s="16" t="inlineStr">
        <is>
          <t>indeterminate</t>
        </is>
      </c>
      <c r="P2" s="16" t="inlineStr">
        <is>
          <t>indeterminate</t>
        </is>
      </c>
      <c r="Q2" s="16" t="inlineStr">
        <is>
          <t>Story</t>
        </is>
      </c>
      <c r="R2" s="16" t="inlineStr">
        <is>
          <t>Story</t>
        </is>
      </c>
      <c r="S2" s="16" t="inlineStr">
        <is>
          <t>Story</t>
        </is>
      </c>
      <c r="T2" s="16" t="inlineStr">
        <is>
          <t>Yosra MANAI</t>
        </is>
      </c>
      <c r="U2" s="16" t="inlineStr">
        <is>
          <t>Patrick PONCET</t>
        </is>
      </c>
      <c r="V2" s="16" t="inlineStr">
        <is>
          <t>High</t>
        </is>
      </c>
      <c r="W2" s="16" t="inlineStr">
        <is>
          <t>High</t>
        </is>
      </c>
      <c r="X2" s="16" t="inlineStr">
        <is>
          <t>Statut</t>
        </is>
      </c>
      <c r="Y2" s="16" t="inlineStr">
        <is>
          <t>Statut modifié</t>
        </is>
      </c>
      <c r="Z2" s="16" t="inlineStr">
        <is>
          <t>Analyse</t>
        </is>
      </c>
      <c r="AA2" s="16" t="inlineStr">
        <is>
          <t>In Refinement</t>
        </is>
      </c>
      <c r="AB2" s="16" t="n">
        <v>7</v>
      </c>
      <c r="AC2" s="16" t="n">
        <v>13</v>
      </c>
      <c r="AD2" s="16" t="inlineStr">
        <is>
          <t>Analyse</t>
        </is>
      </c>
      <c r="AE2" s="16" t="inlineStr">
        <is>
          <t>In Refinement</t>
        </is>
      </c>
      <c r="AF2" s="15" t="n">
        <v>46178.54476851852</v>
      </c>
      <c r="AG2" s="15" t="n">
        <v>46178.6616087963</v>
      </c>
      <c r="AH2" s="16" t="inlineStr">
        <is>
          <t>https://data-servier.atlassian.net/browse/PPMG-1549</t>
        </is>
      </c>
    </row>
    <row r="3">
      <c r="A3" s="15" t="n">
        <v>46178.64810185185</v>
      </c>
      <c r="B3" s="15" t="n">
        <v>46181.33821759259</v>
      </c>
      <c r="C3" s="16" t="inlineStr">
        <is>
          <t>ticket non clot (Jira)(2).xml</t>
        </is>
      </c>
      <c r="D3" s="16" t="inlineStr">
        <is>
          <t>ticket non clot (Jira)(3).xml</t>
        </is>
      </c>
      <c r="E3" s="16" t="inlineStr">
        <is>
          <t>392738</t>
        </is>
      </c>
      <c r="F3" s="16" t="inlineStr">
        <is>
          <t>PPMG-1549</t>
        </is>
      </c>
      <c r="G3" s="16" t="inlineStr">
        <is>
          <t>PPMG-1549</t>
        </is>
      </c>
      <c r="H3" s="16" t="inlineStr">
        <is>
          <t>PPMG-1549</t>
        </is>
      </c>
      <c r="I3" s="16" t="inlineStr">
        <is>
          <t>Sprint 17 2026</t>
        </is>
      </c>
      <c r="J3" s="16" t="inlineStr">
        <is>
          <t>Sprint 17 2026</t>
        </is>
      </c>
      <c r="K3" s="16" t="inlineStr">
        <is>
          <t>Sprint 17 2026</t>
        </is>
      </c>
      <c r="L3" s="16" t="inlineStr">
        <is>
          <t>Analyse</t>
        </is>
      </c>
      <c r="M3" s="16" t="inlineStr">
        <is>
          <t>In Refinement</t>
        </is>
      </c>
      <c r="N3" s="16" t="inlineStr">
        <is>
          <t>In Refinement</t>
        </is>
      </c>
      <c r="O3" s="16" t="inlineStr">
        <is>
          <t>indeterminate</t>
        </is>
      </c>
      <c r="P3" s="16" t="inlineStr">
        <is>
          <t>indeterminate</t>
        </is>
      </c>
      <c r="Q3" s="16" t="inlineStr">
        <is>
          <t>Story</t>
        </is>
      </c>
      <c r="R3" s="16" t="inlineStr">
        <is>
          <t>Story</t>
        </is>
      </c>
      <c r="S3" s="16" t="inlineStr">
        <is>
          <t>Story</t>
        </is>
      </c>
      <c r="T3" s="16" t="inlineStr">
        <is>
          <t>Yosra MANAI</t>
        </is>
      </c>
      <c r="U3" s="16" t="inlineStr">
        <is>
          <t>Patrick PONCET</t>
        </is>
      </c>
      <c r="V3" s="16" t="inlineStr">
        <is>
          <t>High</t>
        </is>
      </c>
      <c r="W3" s="16" t="inlineStr">
        <is>
          <t>High</t>
        </is>
      </c>
      <c r="X3" s="16" t="inlineStr">
        <is>
          <t>Assigné</t>
        </is>
      </c>
      <c r="Y3" s="16" t="inlineStr">
        <is>
          <t>Assigné modifié</t>
        </is>
      </c>
      <c r="Z3" s="16" t="inlineStr">
        <is>
          <t>Yosra MANAI</t>
        </is>
      </c>
      <c r="AA3" s="16" t="inlineStr">
        <is>
          <t>Patrick PONCET</t>
        </is>
      </c>
      <c r="AB3" s="16" t="n">
        <v>11</v>
      </c>
      <c r="AC3" s="16" t="n">
        <v>14</v>
      </c>
      <c r="AD3" s="16" t="inlineStr">
        <is>
          <t>Yosra MANAI</t>
        </is>
      </c>
      <c r="AE3" s="16" t="inlineStr">
        <is>
          <t>Patrick PONCET</t>
        </is>
      </c>
      <c r="AF3" s="15" t="n">
        <v>46178.54476851852</v>
      </c>
      <c r="AG3" s="15" t="n">
        <v>46178.6616087963</v>
      </c>
      <c r="AH3" s="16" t="inlineStr">
        <is>
          <t>https://data-servier.atlassian.net/browse/PPMG-1549</t>
        </is>
      </c>
    </row>
    <row r="4">
      <c r="A4" s="15" t="n">
        <v>46178.64810185185</v>
      </c>
      <c r="B4" s="15" t="n">
        <v>46181.33821759259</v>
      </c>
      <c r="C4" s="16" t="inlineStr">
        <is>
          <t>ticket non clot (Jira)(2).xml</t>
        </is>
      </c>
      <c r="D4" s="16" t="inlineStr">
        <is>
          <t>ticket non clot (Jira)(3).xml</t>
        </is>
      </c>
      <c r="E4" s="16" t="inlineStr">
        <is>
          <t>392738</t>
        </is>
      </c>
      <c r="F4" s="16" t="inlineStr">
        <is>
          <t>PPMG-1549</t>
        </is>
      </c>
      <c r="G4" s="16" t="inlineStr">
        <is>
          <t>PPMG-1549</t>
        </is>
      </c>
      <c r="H4" s="16" t="inlineStr">
        <is>
          <t>PPMG-1549</t>
        </is>
      </c>
      <c r="I4" s="16" t="inlineStr">
        <is>
          <t>Sprint 17 2026</t>
        </is>
      </c>
      <c r="J4" s="16" t="inlineStr">
        <is>
          <t>Sprint 17 2026</t>
        </is>
      </c>
      <c r="K4" s="16" t="inlineStr">
        <is>
          <t>Sprint 17 2026</t>
        </is>
      </c>
      <c r="L4" s="16" t="inlineStr">
        <is>
          <t>Analyse</t>
        </is>
      </c>
      <c r="M4" s="16" t="inlineStr">
        <is>
          <t>In Refinement</t>
        </is>
      </c>
      <c r="N4" s="16" t="inlineStr">
        <is>
          <t>In Refinement</t>
        </is>
      </c>
      <c r="O4" s="16" t="inlineStr">
        <is>
          <t>indeterminate</t>
        </is>
      </c>
      <c r="P4" s="16" t="inlineStr">
        <is>
          <t>indeterminate</t>
        </is>
      </c>
      <c r="Q4" s="16" t="inlineStr">
        <is>
          <t>Story</t>
        </is>
      </c>
      <c r="R4" s="16" t="inlineStr">
        <is>
          <t>Story</t>
        </is>
      </c>
      <c r="S4" s="16" t="inlineStr">
        <is>
          <t>Story</t>
        </is>
      </c>
      <c r="T4" s="16" t="inlineStr">
        <is>
          <t>Yosra MANAI</t>
        </is>
      </c>
      <c r="U4" s="16" t="inlineStr">
        <is>
          <t>Patrick PONCET</t>
        </is>
      </c>
      <c r="V4" s="16" t="inlineStr">
        <is>
          <t>High</t>
        </is>
      </c>
      <c r="W4" s="16" t="inlineStr">
        <is>
          <t>High</t>
        </is>
      </c>
      <c r="X4" s="16" t="inlineStr">
        <is>
          <t>Commentaires</t>
        </is>
      </c>
      <c r="Y4" s="16" t="inlineStr">
        <is>
          <t>Commentaires modifiés</t>
        </is>
      </c>
      <c r="Z4" s="16" t="inlineStr">
        <is>
          <t>4</t>
        </is>
      </c>
      <c r="AA4" s="16" t="inlineStr">
        <is>
          <t>4</t>
        </is>
      </c>
      <c r="AB4" s="16" t="n">
        <v>4</v>
      </c>
      <c r="AC4" s="16" t="n">
        <v>4</v>
      </c>
      <c r="AD4" s="16" t="inlineStr">
        <is>
          <t>4</t>
        </is>
      </c>
      <c r="AE4" s="16" t="inlineStr">
        <is>
          <t>4</t>
        </is>
      </c>
      <c r="AF4" s="15" t="n">
        <v>46178.54476851852</v>
      </c>
      <c r="AG4" s="15" t="n">
        <v>46178.6616087963</v>
      </c>
      <c r="AH4" s="16" t="inlineStr">
        <is>
          <t>https://data-servier.atlassian.net/browse/PPMG-1549</t>
        </is>
      </c>
    </row>
    <row r="5">
      <c r="A5" s="15" t="n">
        <v>46178.64810185185</v>
      </c>
      <c r="B5" s="15" t="n">
        <v>46181.33821759259</v>
      </c>
      <c r="C5" s="16" t="inlineStr">
        <is>
          <t>ticket non clot (Jira)(2).xml</t>
        </is>
      </c>
      <c r="D5" s="16" t="inlineStr">
        <is>
          <t>ticket non clot (Jira)(3).xml</t>
        </is>
      </c>
      <c r="E5" s="16" t="inlineStr">
        <is>
          <t>392738</t>
        </is>
      </c>
      <c r="F5" s="16" t="inlineStr">
        <is>
          <t>PPMG-1549</t>
        </is>
      </c>
      <c r="G5" s="16" t="inlineStr">
        <is>
          <t>PPMG-1549</t>
        </is>
      </c>
      <c r="H5" s="16" t="inlineStr">
        <is>
          <t>PPMG-1549</t>
        </is>
      </c>
      <c r="I5" s="16" t="inlineStr">
        <is>
          <t>Sprint 17 2026</t>
        </is>
      </c>
      <c r="J5" s="16" t="inlineStr">
        <is>
          <t>Sprint 17 2026</t>
        </is>
      </c>
      <c r="K5" s="16" t="inlineStr">
        <is>
          <t>Sprint 17 2026</t>
        </is>
      </c>
      <c r="L5" s="16" t="inlineStr">
        <is>
          <t>Analyse</t>
        </is>
      </c>
      <c r="M5" s="16" t="inlineStr">
        <is>
          <t>In Refinement</t>
        </is>
      </c>
      <c r="N5" s="16" t="inlineStr">
        <is>
          <t>In Refinement</t>
        </is>
      </c>
      <c r="O5" s="16" t="inlineStr">
        <is>
          <t>indeterminate</t>
        </is>
      </c>
      <c r="P5" s="16" t="inlineStr">
        <is>
          <t>indeterminate</t>
        </is>
      </c>
      <c r="Q5" s="16" t="inlineStr">
        <is>
          <t>Story</t>
        </is>
      </c>
      <c r="R5" s="16" t="inlineStr">
        <is>
          <t>Story</t>
        </is>
      </c>
      <c r="S5" s="16" t="inlineStr">
        <is>
          <t>Story</t>
        </is>
      </c>
      <c r="T5" s="16" t="inlineStr">
        <is>
          <t>Yosra MANAI</t>
        </is>
      </c>
      <c r="U5" s="16" t="inlineStr">
        <is>
          <t>Patrick PONCET</t>
        </is>
      </c>
      <c r="V5" s="16" t="inlineStr">
        <is>
          <t>High</t>
        </is>
      </c>
      <c r="W5" s="16" t="inlineStr">
        <is>
          <t>High</t>
        </is>
      </c>
      <c r="X5" s="16" t="inlineStr">
        <is>
          <t>Custom fields</t>
        </is>
      </c>
      <c r="Y5" s="16" t="inlineStr">
        <is>
          <t>Custom fields modifiés</t>
        </is>
      </c>
      <c r="Z5" s="16" t="inlineStr">
        <is>
          <t>Rank</t>
        </is>
      </c>
      <c r="AA5" s="16" t="inlineStr">
        <is>
          <t>Rank</t>
        </is>
      </c>
      <c r="AB5" s="16" t="n">
        <v>1</v>
      </c>
      <c r="AC5" s="16" t="n">
        <v>1</v>
      </c>
      <c r="AD5" s="16" t="inlineStr">
        <is>
          <t>Rank</t>
        </is>
      </c>
      <c r="AE5" s="16" t="inlineStr">
        <is>
          <t>Rank</t>
        </is>
      </c>
      <c r="AF5" s="15" t="n">
        <v>46178.54476851852</v>
      </c>
      <c r="AG5" s="15" t="n">
        <v>46178.6616087963</v>
      </c>
      <c r="AH5" s="16" t="inlineStr">
        <is>
          <t>https://data-servier.atlassian.net/browse/PPMG-1549</t>
        </is>
      </c>
    </row>
  </sheetData>
  <autoFilter ref="A1:A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31" customWidth="1" min="3" max="3"/>
    <col width="31" customWidth="1" min="4" max="4"/>
    <col width="18" customWidth="1" min="5" max="5"/>
    <col width="21" customWidth="1" min="6" max="6"/>
    <col width="24" customWidth="1" min="7" max="7"/>
    <col width="13" customWidth="1" min="8" max="8"/>
    <col width="20" customWidth="1" min="9" max="9"/>
    <col width="20" customWidth="1" min="10" max="10"/>
    <col width="31" customWidth="1" min="11" max="11"/>
    <col width="17" customWidth="1" min="12" max="12"/>
    <col width="18" customWidth="1" min="13" max="13"/>
  </cols>
  <sheetData>
    <row r="1">
      <c r="A1" s="17" t="inlineStr">
        <is>
          <t>Fenêtre début</t>
        </is>
      </c>
      <c r="B1" s="17" t="inlineStr">
        <is>
          <t>Fenêtre fin / détection</t>
        </is>
      </c>
      <c r="C1" s="17" t="inlineStr">
        <is>
          <t>Fichier précédent</t>
        </is>
      </c>
      <c r="D1" s="17" t="inlineStr">
        <is>
          <t>Fichier courant</t>
        </is>
      </c>
      <c r="E1" s="17" t="inlineStr">
        <is>
          <t>Tickets modifiés</t>
        </is>
      </c>
      <c r="F1" s="17" t="inlineStr">
        <is>
          <t>Total modifications</t>
        </is>
      </c>
      <c r="G1" s="17" t="inlineStr">
        <is>
          <t>Descriptions modifiées</t>
        </is>
      </c>
      <c r="H1" s="17" t="inlineStr">
        <is>
          <t>AC modifiés</t>
        </is>
      </c>
      <c r="I1" s="17" t="inlineStr">
        <is>
          <t>Changements statut</t>
        </is>
      </c>
      <c r="J1" s="17" t="inlineStr">
        <is>
          <t>Changements sprint</t>
        </is>
      </c>
      <c r="K1" s="17" t="inlineStr">
        <is>
          <t>Commentaires ajoutés/modifiés</t>
        </is>
      </c>
      <c r="L1" s="17" t="inlineStr">
        <is>
          <t>Tickets apparus</t>
        </is>
      </c>
      <c r="M1" s="17" t="inlineStr">
        <is>
          <t>Tickets disparus</t>
        </is>
      </c>
    </row>
    <row r="2">
      <c r="A2" s="15" t="n">
        <v>46178.64810185185</v>
      </c>
      <c r="B2" s="15" t="n">
        <v>46181.33821759259</v>
      </c>
      <c r="C2" s="16" t="inlineStr">
        <is>
          <t>ticket non clot (Jira)(2).xml</t>
        </is>
      </c>
      <c r="D2" s="16" t="inlineStr">
        <is>
          <t>ticket non clot (Jira)(3).xml</t>
        </is>
      </c>
      <c r="E2" s="16" t="n">
        <v>1</v>
      </c>
      <c r="F2" s="16" t="n">
        <v>4</v>
      </c>
      <c r="G2" s="16" t="n">
        <v>0</v>
      </c>
      <c r="H2" s="16" t="n">
        <v>0</v>
      </c>
      <c r="I2" s="16" t="n">
        <v>1</v>
      </c>
      <c r="J2" s="16" t="n">
        <v>0</v>
      </c>
      <c r="K2" s="16" t="n">
        <v>1</v>
      </c>
      <c r="L2" s="16" t="n">
        <v>0</v>
      </c>
      <c r="M2" s="16" t="n">
        <v>0</v>
      </c>
    </row>
  </sheetData>
  <autoFilter ref="A1:M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5" customWidth="1" min="5" max="5"/>
    <col width="19" customWidth="1" min="6" max="6"/>
  </cols>
  <sheetData>
    <row r="1">
      <c r="A1" s="17" t="inlineStr">
        <is>
          <t>Sprint</t>
        </is>
      </c>
      <c r="B1" s="17" t="inlineStr">
        <is>
          <t>Statut</t>
        </is>
      </c>
      <c r="C1" s="17" t="inlineStr">
        <is>
          <t>Type</t>
        </is>
      </c>
      <c r="D1" s="17" t="inlineStr">
        <is>
          <t>Champ modifié</t>
        </is>
      </c>
      <c r="E1" s="17" t="inlineStr">
        <is>
          <t>Modifications</t>
        </is>
      </c>
      <c r="F1" s="17" t="inlineStr">
        <is>
          <t>Tickets concernés</t>
        </is>
      </c>
    </row>
    <row r="2">
      <c r="A2" s="16" t="inlineStr">
        <is>
          <t>Sprint 17 2026</t>
        </is>
      </c>
      <c r="B2" s="16" t="inlineStr">
        <is>
          <t>In Refinement</t>
        </is>
      </c>
      <c r="C2" s="16" t="inlineStr">
        <is>
          <t>Story</t>
        </is>
      </c>
      <c r="D2" s="16" t="inlineStr">
        <is>
          <t>Assigné</t>
        </is>
      </c>
      <c r="E2" s="16" t="n">
        <v>1</v>
      </c>
      <c r="F2" s="16" t="n">
        <v>1</v>
      </c>
    </row>
    <row r="3">
      <c r="A3" s="16" t="inlineStr">
        <is>
          <t>Sprint 17 2026</t>
        </is>
      </c>
      <c r="B3" s="16" t="inlineStr">
        <is>
          <t>In Refinement</t>
        </is>
      </c>
      <c r="C3" s="16" t="inlineStr">
        <is>
          <t>Story</t>
        </is>
      </c>
      <c r="D3" s="16" t="inlineStr">
        <is>
          <t>Commentaires</t>
        </is>
      </c>
      <c r="E3" s="16" t="n">
        <v>1</v>
      </c>
      <c r="F3" s="16" t="n">
        <v>1</v>
      </c>
    </row>
    <row r="4">
      <c r="A4" s="16" t="inlineStr">
        <is>
          <t>Sprint 17 2026</t>
        </is>
      </c>
      <c r="B4" s="16" t="inlineStr">
        <is>
          <t>In Refinement</t>
        </is>
      </c>
      <c r="C4" s="16" t="inlineStr">
        <is>
          <t>Story</t>
        </is>
      </c>
      <c r="D4" s="16" t="inlineStr">
        <is>
          <t>Custom fields</t>
        </is>
      </c>
      <c r="E4" s="16" t="n">
        <v>1</v>
      </c>
      <c r="F4" s="16" t="n">
        <v>1</v>
      </c>
    </row>
    <row r="5">
      <c r="A5" s="16" t="inlineStr">
        <is>
          <t>Sprint 17 2026</t>
        </is>
      </c>
      <c r="B5" s="16" t="inlineStr">
        <is>
          <t>In Refinement</t>
        </is>
      </c>
      <c r="C5" s="16" t="inlineStr">
        <is>
          <t>Story</t>
        </is>
      </c>
      <c r="D5" s="16" t="inlineStr">
        <is>
          <t>Statut</t>
        </is>
      </c>
      <c r="E5" s="16" t="n">
        <v>1</v>
      </c>
      <c r="F5" s="16" t="n">
        <v>1</v>
      </c>
    </row>
  </sheetData>
  <autoFilter ref="A1:F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8" t="inlineStr">
        <is>
          <t>Aucune donnée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8" t="inlineStr">
        <is>
          <t>Aucune donnée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8" t="inlineStr">
        <is>
          <t>Aucune donnée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7" customWidth="1" min="5" max="5"/>
    <col width="15" customWidth="1" min="6" max="6"/>
    <col width="16" customWidth="1" min="7" max="7"/>
    <col width="15" customWidth="1" min="8" max="8"/>
    <col width="46" customWidth="1" min="9" max="9"/>
    <col width="21" customWidth="1" min="10" max="10"/>
    <col width="21" customWidth="1" min="11" max="11"/>
    <col width="46" customWidth="1" min="12" max="12"/>
  </cols>
  <sheetData>
    <row r="1">
      <c r="A1" s="17" t="inlineStr">
        <is>
          <t>Ticket ID</t>
        </is>
      </c>
      <c r="B1" s="17" t="inlineStr">
        <is>
          <t>Key</t>
        </is>
      </c>
      <c r="C1" s="17" t="inlineStr">
        <is>
          <t>Projet</t>
        </is>
      </c>
      <c r="D1" s="17" t="inlineStr">
        <is>
          <t>Sprint effectif</t>
        </is>
      </c>
      <c r="E1" s="17" t="inlineStr">
        <is>
          <t>Statut effectif</t>
        </is>
      </c>
      <c r="F1" s="17" t="inlineStr">
        <is>
          <t>Type effectif</t>
        </is>
      </c>
      <c r="G1" s="17" t="inlineStr">
        <is>
          <t>Assigné</t>
        </is>
      </c>
      <c r="H1" s="17" t="inlineStr">
        <is>
          <t>Modifications</t>
        </is>
      </c>
      <c r="I1" s="17" t="inlineStr">
        <is>
          <t>Champs modifiés</t>
        </is>
      </c>
      <c r="J1" s="17" t="inlineStr">
        <is>
          <t>Première détection</t>
        </is>
      </c>
      <c r="K1" s="17" t="inlineStr">
        <is>
          <t>Dernière détection</t>
        </is>
      </c>
      <c r="L1" s="17" t="inlineStr">
        <is>
          <t>Lien</t>
        </is>
      </c>
    </row>
    <row r="2">
      <c r="A2" s="16" t="inlineStr">
        <is>
          <t>392738</t>
        </is>
      </c>
      <c r="B2" s="16" t="inlineStr">
        <is>
          <t>PPMG-1549</t>
        </is>
      </c>
      <c r="C2" s="16" t="inlineStr">
        <is>
          <t>PPMG-1549</t>
        </is>
      </c>
      <c r="D2" s="16" t="inlineStr">
        <is>
          <t>Sprint 17 2026</t>
        </is>
      </c>
      <c r="E2" s="16" t="inlineStr">
        <is>
          <t>In Refinement</t>
        </is>
      </c>
      <c r="F2" s="16" t="inlineStr">
        <is>
          <t>Story</t>
        </is>
      </c>
      <c r="G2" s="16" t="inlineStr">
        <is>
          <t>Patrick PONCET</t>
        </is>
      </c>
      <c r="H2" s="16" t="n">
        <v>4</v>
      </c>
      <c r="I2" s="16" t="inlineStr">
        <is>
          <t>Assigné; Commentaires; Custom fields; Statut</t>
        </is>
      </c>
      <c r="J2" s="15" t="n">
        <v>46181.33821759259</v>
      </c>
      <c r="K2" s="15" t="n">
        <v>46181.33821759259</v>
      </c>
      <c r="L2" s="16" t="inlineStr">
        <is>
          <t>https://data-servier.atlassian.net/browse/PPMG-1549</t>
        </is>
      </c>
    </row>
  </sheetData>
  <autoFilter ref="A1:L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30" customWidth="1" min="3" max="3"/>
    <col width="31" customWidth="1" min="4" max="4"/>
    <col width="46" customWidth="1" min="5" max="5"/>
    <col width="11" customWidth="1" min="6" max="6"/>
    <col width="11" customWidth="1" min="7" max="7"/>
  </cols>
  <sheetData>
    <row r="1">
      <c r="A1" s="17" t="inlineStr">
        <is>
          <t>Ordre</t>
        </is>
      </c>
      <c r="B1" s="17" t="inlineStr">
        <is>
          <t>Date export</t>
        </is>
      </c>
      <c r="C1" s="17" t="inlineStr">
        <is>
          <t>Date source</t>
        </is>
      </c>
      <c r="D1" s="17" t="inlineStr">
        <is>
          <t>Fichier</t>
        </is>
      </c>
      <c r="E1" s="17" t="inlineStr">
        <is>
          <t>Chemin</t>
        </is>
      </c>
      <c r="F1" s="17" t="inlineStr">
        <is>
          <t>Tickets</t>
        </is>
      </c>
      <c r="G1" s="17" t="inlineStr">
        <is>
          <t>Warnings</t>
        </is>
      </c>
    </row>
    <row r="2">
      <c r="A2" s="16" t="n">
        <v>1</v>
      </c>
      <c r="B2" s="15" t="n">
        <v>46178.64810185185</v>
      </c>
      <c r="C2" s="16" t="inlineStr">
        <is>
          <t>Fri Jun 05 15:33:16 UTC 2026</t>
        </is>
      </c>
      <c r="D2" s="16" t="inlineStr">
        <is>
          <t>ticket non clot (Jira)(2).xml</t>
        </is>
      </c>
      <c r="E2" s="16" t="inlineStr">
        <is>
          <t>C:\Users\ciesl\Downloads\rss chrono\ticket non clot (Jira)(2).xml</t>
        </is>
      </c>
      <c r="F2" s="16" t="n">
        <v>176</v>
      </c>
      <c r="G2" s="16" t="inlineStr"/>
    </row>
    <row r="3">
      <c r="A3" s="16" t="n">
        <v>2</v>
      </c>
      <c r="B3" s="15" t="n">
        <v>46181.33821759259</v>
      </c>
      <c r="C3" s="16" t="inlineStr">
        <is>
          <t>Mon Jun 08 08:07:02 UTC 2026</t>
        </is>
      </c>
      <c r="D3" s="16" t="inlineStr">
        <is>
          <t>ticket non clot (Jira)(3).xml</t>
        </is>
      </c>
      <c r="E3" s="16" t="inlineStr">
        <is>
          <t>C:\Users\ciesl\Downloads\rss chrono\ticket non clot (Jira)(3).xml</t>
        </is>
      </c>
      <c r="F3" s="16" t="n">
        <v>176</v>
      </c>
      <c r="G3" s="16" t="inlineStr"/>
    </row>
  </sheetData>
  <autoFilter ref="A1:G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46" customWidth="1" min="4" max="4"/>
    <col width="23" customWidth="1" min="5" max="5"/>
    <col width="18" customWidth="1" min="6" max="6"/>
    <col width="18" customWidth="1" min="7" max="7"/>
    <col width="11" customWidth="1" min="8" max="8"/>
    <col width="24" customWidth="1" min="9" max="9"/>
    <col width="46" customWidth="1" min="10" max="10"/>
    <col width="21" customWidth="1" min="11" max="11"/>
    <col width="21" customWidth="1" min="12" max="12"/>
    <col width="11" customWidth="1" min="13" max="13"/>
    <col width="21" customWidth="1" min="14" max="14"/>
    <col width="12" customWidth="1" min="15" max="15"/>
    <col width="42" customWidth="1" min="16" max="16"/>
    <col width="14" customWidth="1" min="17" max="17"/>
    <col width="16" customWidth="1" min="18" max="18"/>
    <col width="28" customWidth="1" min="19" max="19"/>
    <col width="46" customWidth="1" min="20" max="20"/>
  </cols>
  <sheetData>
    <row r="1">
      <c r="A1" s="17" t="inlineStr">
        <is>
          <t>Ticket ID</t>
        </is>
      </c>
      <c r="B1" s="17" t="inlineStr">
        <is>
          <t>Key</t>
        </is>
      </c>
      <c r="C1" s="17" t="inlineStr">
        <is>
          <t>Projet</t>
        </is>
      </c>
      <c r="D1" s="17" t="inlineStr">
        <is>
          <t>Sprint</t>
        </is>
      </c>
      <c r="E1" s="17" t="inlineStr">
        <is>
          <t>Statut</t>
        </is>
      </c>
      <c r="F1" s="17" t="inlineStr">
        <is>
          <t>Catégorie statut</t>
        </is>
      </c>
      <c r="G1" s="17" t="inlineStr">
        <is>
          <t>Type</t>
        </is>
      </c>
      <c r="H1" s="17" t="inlineStr">
        <is>
          <t>Priorité</t>
        </is>
      </c>
      <c r="I1" s="17" t="inlineStr">
        <is>
          <t>Assigné</t>
        </is>
      </c>
      <c r="J1" s="17" t="inlineStr">
        <is>
          <t>Résumé</t>
        </is>
      </c>
      <c r="K1" s="17" t="inlineStr">
        <is>
          <t>Created</t>
        </is>
      </c>
      <c r="L1" s="17" t="inlineStr">
        <is>
          <t>Updated</t>
        </is>
      </c>
      <c r="M1" s="17" t="inlineStr">
        <is>
          <t>Âge jours</t>
        </is>
      </c>
      <c r="N1" s="17" t="inlineStr">
        <is>
          <t>Jours depuis update</t>
        </is>
      </c>
      <c r="O1" s="17" t="inlineStr">
        <is>
          <t>AC présent</t>
        </is>
      </c>
      <c r="P1" s="17" t="inlineStr">
        <is>
          <t>Source AC</t>
        </is>
      </c>
      <c r="Q1" s="17" t="inlineStr">
        <is>
          <t>Commentaires</t>
        </is>
      </c>
      <c r="R1" s="17" t="inlineStr">
        <is>
          <t>Pièces jointes</t>
        </is>
      </c>
      <c r="S1" s="17" t="inlineStr">
        <is>
          <t>Liens Jira</t>
        </is>
      </c>
      <c r="T1" s="17" t="inlineStr">
        <is>
          <t>Lien</t>
        </is>
      </c>
    </row>
    <row r="2">
      <c r="A2" s="16" t="inlineStr">
        <is>
          <t>169929</t>
        </is>
      </c>
      <c r="B2" s="16" t="inlineStr">
        <is>
          <t>PPMG-1027</t>
        </is>
      </c>
      <c r="C2" s="16" t="inlineStr">
        <is>
          <t>PPMG-1027</t>
        </is>
      </c>
      <c r="D2" s="16" t="inlineStr"/>
      <c r="E2" s="16" t="inlineStr">
        <is>
          <t>Candidate</t>
        </is>
      </c>
      <c r="F2" s="16" t="inlineStr">
        <is>
          <t>new</t>
        </is>
      </c>
      <c r="G2" s="16" t="inlineStr">
        <is>
          <t>Change</t>
        </is>
      </c>
      <c r="H2" s="16" t="inlineStr">
        <is>
          <t>Low</t>
        </is>
      </c>
      <c r="I2" s="16" t="inlineStr">
        <is>
          <t>Grégory RUGET</t>
        </is>
      </c>
      <c r="J2" s="16" t="inlineStr">
        <is>
          <t>[Gestion budgétaire V2-P1] Modification de l'option "View &gt; Grouping elements"</t>
        </is>
      </c>
      <c r="K2" s="15" t="n">
        <v>45573.37072916667</v>
      </c>
      <c r="L2" s="15" t="n">
        <v>45833.33728009259</v>
      </c>
      <c r="M2" s="19" t="n">
        <v>607.97</v>
      </c>
      <c r="N2" s="19" t="n">
        <v>348</v>
      </c>
      <c r="O2" s="16" t="b">
        <v>1</v>
      </c>
      <c r="P2" s="16" t="inlineStr">
        <is>
          <t>customfield: Acceptance Criteria</t>
        </is>
      </c>
      <c r="Q2" s="16" t="n">
        <v>5</v>
      </c>
      <c r="R2" s="16" t="n">
        <v>0</v>
      </c>
      <c r="S2" s="16" t="n">
        <v>2</v>
      </c>
      <c r="T2" s="16" t="inlineStr">
        <is>
          <t>https://data-servier.atlassian.net/browse/PPMG-1027</t>
        </is>
      </c>
    </row>
    <row r="3">
      <c r="A3" s="16" t="inlineStr">
        <is>
          <t>224092</t>
        </is>
      </c>
      <c r="B3" s="16" t="inlineStr">
        <is>
          <t>PPMG-1193</t>
        </is>
      </c>
      <c r="C3" s="16" t="inlineStr">
        <is>
          <t>PPMG-1193</t>
        </is>
      </c>
      <c r="D3" s="16" t="inlineStr">
        <is>
          <t>Sprint 17 2026</t>
        </is>
      </c>
      <c r="E3" s="16" t="inlineStr">
        <is>
          <t>En cours</t>
        </is>
      </c>
      <c r="F3" s="16" t="inlineStr">
        <is>
          <t>indeterminate</t>
        </is>
      </c>
      <c r="G3" s="16" t="inlineStr">
        <is>
          <t>Tâche</t>
        </is>
      </c>
      <c r="H3" s="16" t="inlineStr">
        <is>
          <t>Highest</t>
        </is>
      </c>
      <c r="I3" s="16" t="inlineStr">
        <is>
          <t>Pierre KAYA</t>
        </is>
      </c>
      <c r="J3" s="16" t="inlineStr">
        <is>
          <t>[A TESTER Servier] Test nouvelle version interface ACTIVITY-VYP</t>
        </is>
      </c>
      <c r="K3" s="15" t="n">
        <v>45754.4186574074</v>
      </c>
      <c r="L3" s="15" t="n">
        <v>46148.33292824074</v>
      </c>
      <c r="M3" s="19" t="n">
        <v>426.92</v>
      </c>
      <c r="N3" s="19" t="n">
        <v>33.01</v>
      </c>
      <c r="O3" s="16" t="b">
        <v>0</v>
      </c>
      <c r="P3" s="16" t="inlineStr">
        <is>
          <t>missing</t>
        </is>
      </c>
      <c r="Q3" s="16" t="n">
        <v>8</v>
      </c>
      <c r="R3" s="16" t="n">
        <v>0</v>
      </c>
      <c r="S3" s="16" t="n">
        <v>1</v>
      </c>
      <c r="T3" s="16" t="inlineStr">
        <is>
          <t>https://data-servier.atlassian.net/browse/PPMG-1193</t>
        </is>
      </c>
    </row>
    <row r="4">
      <c r="A4" s="16" t="inlineStr">
        <is>
          <t>225874</t>
        </is>
      </c>
      <c r="B4" s="16" t="inlineStr">
        <is>
          <t>PPMG-1197</t>
        </is>
      </c>
      <c r="C4" s="16" t="inlineStr">
        <is>
          <t>PPMG-1197</t>
        </is>
      </c>
      <c r="D4" s="16" t="inlineStr"/>
      <c r="E4" s="16" t="inlineStr">
        <is>
          <t>Backlog</t>
        </is>
      </c>
      <c r="F4" s="16" t="inlineStr">
        <is>
          <t>new</t>
        </is>
      </c>
      <c r="G4" s="16" t="inlineStr">
        <is>
          <t>Change</t>
        </is>
      </c>
      <c r="H4" s="16" t="inlineStr">
        <is>
          <t>Medium</t>
        </is>
      </c>
      <c r="I4" s="16" t="inlineStr">
        <is>
          <t>Yassine BOUARI</t>
        </is>
      </c>
      <c r="J4" s="16" t="inlineStr">
        <is>
          <t>[Tous les Champs texte enrichi] Taille de police par défaut (OTD 177189)</t>
        </is>
      </c>
      <c r="K4" s="15" t="n">
        <v>45756.82347222222</v>
      </c>
      <c r="L4" s="15" t="n">
        <v>45756.82577546296</v>
      </c>
      <c r="M4" s="19" t="n">
        <v>424.51</v>
      </c>
      <c r="N4" s="19" t="n">
        <v>424.51</v>
      </c>
      <c r="O4" s="16" t="b">
        <v>0</v>
      </c>
      <c r="P4" s="16" t="inlineStr">
        <is>
          <t>missing</t>
        </is>
      </c>
      <c r="Q4" s="16" t="n">
        <v>4</v>
      </c>
      <c r="R4" s="16" t="n">
        <v>1</v>
      </c>
      <c r="S4" s="16" t="n">
        <v>1</v>
      </c>
      <c r="T4" s="16" t="inlineStr">
        <is>
          <t>https://data-servier.atlassian.net/browse/PPMG-1197</t>
        </is>
      </c>
    </row>
    <row r="5">
      <c r="A5" s="16" t="inlineStr">
        <is>
          <t>230390</t>
        </is>
      </c>
      <c r="B5" s="16" t="inlineStr">
        <is>
          <t>PPMG-1205</t>
        </is>
      </c>
      <c r="C5" s="16" t="inlineStr">
        <is>
          <t>PPMG-1205</t>
        </is>
      </c>
      <c r="D5" s="16" t="inlineStr"/>
      <c r="E5" s="16" t="inlineStr">
        <is>
          <t>Backlog</t>
        </is>
      </c>
      <c r="F5" s="16" t="inlineStr">
        <is>
          <t>new</t>
        </is>
      </c>
      <c r="G5" s="16" t="inlineStr">
        <is>
          <t>Story</t>
        </is>
      </c>
      <c r="H5" s="16" t="inlineStr">
        <is>
          <t>Highest</t>
        </is>
      </c>
      <c r="I5" s="16" t="inlineStr">
        <is>
          <t>Patrick PONCET</t>
        </is>
      </c>
      <c r="J5" s="16" t="inlineStr">
        <is>
          <t>Analyse techniquo fonctionnel pour l'utilisation des budgets lines</t>
        </is>
      </c>
      <c r="K5" s="15" t="n">
        <v>45770.57422453703</v>
      </c>
      <c r="L5" s="15" t="n">
        <v>46078.39782407408</v>
      </c>
      <c r="M5" s="19" t="n">
        <v>410.76</v>
      </c>
      <c r="N5" s="19" t="n">
        <v>102.94</v>
      </c>
      <c r="O5" s="16" t="b">
        <v>1</v>
      </c>
      <c r="P5" s="16" t="inlineStr">
        <is>
          <t>customfield: Acceptance Criteria</t>
        </is>
      </c>
      <c r="Q5" s="16" t="n">
        <v>6</v>
      </c>
      <c r="R5" s="16" t="n">
        <v>0</v>
      </c>
      <c r="S5" s="16" t="n">
        <v>0</v>
      </c>
      <c r="T5" s="16" t="inlineStr">
        <is>
          <t>https://data-servier.atlassian.net/browse/PPMG-1205</t>
        </is>
      </c>
    </row>
    <row r="6">
      <c r="A6" s="16" t="inlineStr">
        <is>
          <t>250815</t>
        </is>
      </c>
      <c r="B6" s="16" t="inlineStr">
        <is>
          <t>PPMG-1222</t>
        </is>
      </c>
      <c r="C6" s="16" t="inlineStr">
        <is>
          <t>PPMG-1222</t>
        </is>
      </c>
      <c r="D6" s="16" t="inlineStr"/>
      <c r="E6" s="16" t="inlineStr">
        <is>
          <t>Backlog</t>
        </is>
      </c>
      <c r="F6" s="16" t="inlineStr">
        <is>
          <t>new</t>
        </is>
      </c>
      <c r="G6" s="16" t="inlineStr">
        <is>
          <t>Story</t>
        </is>
      </c>
      <c r="H6" s="16" t="inlineStr">
        <is>
          <t>High</t>
        </is>
      </c>
      <c r="I6" s="16" t="inlineStr">
        <is>
          <t>RACHEL CLOIX</t>
        </is>
      </c>
      <c r="J6" s="16" t="inlineStr">
        <is>
          <t>Définir un nombre maximum de caractères pour les champs texte riche.</t>
        </is>
      </c>
      <c r="K6" s="15" t="n">
        <v>45804.49854166667</v>
      </c>
      <c r="L6" s="15" t="n">
        <v>46129.35063657408</v>
      </c>
      <c r="M6" s="19" t="n">
        <v>376.84</v>
      </c>
      <c r="N6" s="19" t="n">
        <v>51.99</v>
      </c>
      <c r="O6" s="16" t="b">
        <v>1</v>
      </c>
      <c r="P6" s="16" t="inlineStr">
        <is>
          <t>customfield: Acceptance Criteria</t>
        </is>
      </c>
      <c r="Q6" s="16" t="n">
        <v>7</v>
      </c>
      <c r="R6" s="16" t="n">
        <v>0</v>
      </c>
      <c r="S6" s="16" t="n">
        <v>0</v>
      </c>
      <c r="T6" s="16" t="inlineStr">
        <is>
          <t>https://data-servier.atlassian.net/browse/PPMG-1222</t>
        </is>
      </c>
    </row>
    <row r="7">
      <c r="A7" s="16" t="inlineStr">
        <is>
          <t>250970</t>
        </is>
      </c>
      <c r="B7" s="16" t="inlineStr">
        <is>
          <t>PPMG-1227</t>
        </is>
      </c>
      <c r="C7" s="16" t="inlineStr">
        <is>
          <t>PPMG-1227</t>
        </is>
      </c>
      <c r="D7" s="16" t="inlineStr"/>
      <c r="E7" s="16" t="inlineStr">
        <is>
          <t>Backlog</t>
        </is>
      </c>
      <c r="F7" s="16" t="inlineStr">
        <is>
          <t>new</t>
        </is>
      </c>
      <c r="G7" s="16" t="inlineStr">
        <is>
          <t>Change</t>
        </is>
      </c>
      <c r="H7" s="16" t="inlineStr">
        <is>
          <t>Medium</t>
        </is>
      </c>
      <c r="I7" s="16" t="inlineStr">
        <is>
          <t>Grégory RUGET</t>
        </is>
      </c>
      <c r="J7" s="16" t="inlineStr">
        <is>
          <t>[Risques] gestion du Mitigation Plan</t>
        </is>
      </c>
      <c r="K7" s="15" t="n">
        <v>45805.28090277778</v>
      </c>
      <c r="L7" s="15" t="n">
        <v>46127.34792824074</v>
      </c>
      <c r="M7" s="19" t="n">
        <v>376.06</v>
      </c>
      <c r="N7" s="19" t="n">
        <v>53.99</v>
      </c>
      <c r="O7" s="16" t="b">
        <v>1</v>
      </c>
      <c r="P7" s="16" t="inlineStr">
        <is>
          <t>description: expected/acceptance markers</t>
        </is>
      </c>
      <c r="Q7" s="16" t="n">
        <v>3</v>
      </c>
      <c r="R7" s="16" t="n">
        <v>0</v>
      </c>
      <c r="S7" s="16" t="n">
        <v>0</v>
      </c>
      <c r="T7" s="16" t="inlineStr">
        <is>
          <t>https://data-servier.atlassian.net/browse/PPMG-1227</t>
        </is>
      </c>
    </row>
    <row r="8">
      <c r="A8" s="16" t="inlineStr">
        <is>
          <t>250974</t>
        </is>
      </c>
      <c r="B8" s="16" t="inlineStr">
        <is>
          <t>PPMG-1229</t>
        </is>
      </c>
      <c r="C8" s="16" t="inlineStr">
        <is>
          <t>PPMG-1229</t>
        </is>
      </c>
      <c r="D8" s="16" t="inlineStr"/>
      <c r="E8" s="16" t="inlineStr">
        <is>
          <t>Backlog</t>
        </is>
      </c>
      <c r="F8" s="16" t="inlineStr">
        <is>
          <t>new</t>
        </is>
      </c>
      <c r="G8" s="16" t="inlineStr">
        <is>
          <t>Change</t>
        </is>
      </c>
      <c r="H8" s="16" t="inlineStr">
        <is>
          <t>Medium</t>
        </is>
      </c>
      <c r="I8" s="16" t="inlineStr">
        <is>
          <t>Typhaine MICHEL</t>
        </is>
      </c>
      <c r="J8" s="16" t="inlineStr">
        <is>
          <t>[Issues] Plan d'action</t>
        </is>
      </c>
      <c r="K8" s="15" t="n">
        <v>45805.28583333334</v>
      </c>
      <c r="L8" s="15" t="n">
        <v>46127.34859953704</v>
      </c>
      <c r="M8" s="19" t="n">
        <v>376.05</v>
      </c>
      <c r="N8" s="19" t="n">
        <v>53.99</v>
      </c>
      <c r="O8" s="16" t="b">
        <v>0</v>
      </c>
      <c r="P8" s="16" t="inlineStr">
        <is>
          <t>missing</t>
        </is>
      </c>
      <c r="Q8" s="16" t="n">
        <v>2</v>
      </c>
      <c r="R8" s="16" t="n">
        <v>0</v>
      </c>
      <c r="S8" s="16" t="n">
        <v>0</v>
      </c>
      <c r="T8" s="16" t="inlineStr">
        <is>
          <t>https://data-servier.atlassian.net/browse/PPMG-1229</t>
        </is>
      </c>
    </row>
    <row r="9">
      <c r="A9" s="16" t="inlineStr">
        <is>
          <t>250977</t>
        </is>
      </c>
      <c r="B9" s="16" t="inlineStr">
        <is>
          <t>PPMG-1231</t>
        </is>
      </c>
      <c r="C9" s="16" t="inlineStr">
        <is>
          <t>PPMG-1231</t>
        </is>
      </c>
      <c r="D9" s="16" t="inlineStr"/>
      <c r="E9" s="16" t="inlineStr">
        <is>
          <t>Dev in Progress</t>
        </is>
      </c>
      <c r="F9" s="16" t="inlineStr">
        <is>
          <t>indeterminate</t>
        </is>
      </c>
      <c r="G9" s="16" t="inlineStr">
        <is>
          <t>Change</t>
        </is>
      </c>
      <c r="H9" s="16" t="inlineStr">
        <is>
          <t>Medium</t>
        </is>
      </c>
      <c r="I9" s="16" t="inlineStr">
        <is>
          <t>Patrick PONCET</t>
        </is>
      </c>
      <c r="J9" s="16" t="inlineStr">
        <is>
          <t>[Gantt][ON HOLD PLW] OTD - 201933 Affichage par défaut</t>
        </is>
      </c>
      <c r="K9" s="15" t="n">
        <v>45805.29076388889</v>
      </c>
      <c r="L9" s="15" t="n">
        <v>46092.38381944445</v>
      </c>
      <c r="M9" s="19" t="n">
        <v>376.05</v>
      </c>
      <c r="N9" s="19" t="n">
        <v>88.95</v>
      </c>
      <c r="O9" s="16" t="b">
        <v>0</v>
      </c>
      <c r="P9" s="16" t="inlineStr">
        <is>
          <t>missing</t>
        </is>
      </c>
      <c r="Q9" s="16" t="n">
        <v>4</v>
      </c>
      <c r="R9" s="16" t="n">
        <v>1</v>
      </c>
      <c r="S9" s="16" t="n">
        <v>0</v>
      </c>
      <c r="T9" s="16" t="inlineStr">
        <is>
          <t>https://data-servier.atlassian.net/browse/PPMG-1231</t>
        </is>
      </c>
    </row>
    <row r="10">
      <c r="A10" s="16" t="inlineStr">
        <is>
          <t>251034</t>
        </is>
      </c>
      <c r="B10" s="16" t="inlineStr">
        <is>
          <t>PPMG-1233</t>
        </is>
      </c>
      <c r="C10" s="16" t="inlineStr">
        <is>
          <t>PPMG-1233</t>
        </is>
      </c>
      <c r="D10" s="16" t="inlineStr"/>
      <c r="E10" s="16" t="inlineStr">
        <is>
          <t>Backlog</t>
        </is>
      </c>
      <c r="F10" s="16" t="inlineStr">
        <is>
          <t>new</t>
        </is>
      </c>
      <c r="G10" s="16" t="inlineStr">
        <is>
          <t>Change</t>
        </is>
      </c>
      <c r="H10" s="16" t="inlineStr">
        <is>
          <t>Medium</t>
        </is>
      </c>
      <c r="I10" s="16" t="inlineStr">
        <is>
          <t>Grégory RUGET</t>
        </is>
      </c>
      <c r="J10" s="16" t="inlineStr">
        <is>
          <t>[Risques] [Issues] Gestion des plan d'actions</t>
        </is>
      </c>
      <c r="K10" s="15" t="n">
        <v>45805.35369212963</v>
      </c>
      <c r="L10" s="15" t="n">
        <v>46127.3481712963</v>
      </c>
      <c r="M10" s="19" t="n">
        <v>375.98</v>
      </c>
      <c r="N10" s="19" t="n">
        <v>53.99</v>
      </c>
      <c r="O10" s="16" t="b">
        <v>0</v>
      </c>
      <c r="P10" s="16" t="inlineStr">
        <is>
          <t>missing</t>
        </is>
      </c>
      <c r="Q10" s="16" t="n">
        <v>0</v>
      </c>
      <c r="R10" s="16" t="n">
        <v>0</v>
      </c>
      <c r="S10" s="16" t="n">
        <v>0</v>
      </c>
      <c r="T10" s="16" t="inlineStr">
        <is>
          <t>https://data-servier.atlassian.net/browse/PPMG-1233</t>
        </is>
      </c>
    </row>
    <row r="11">
      <c r="A11" s="16" t="inlineStr">
        <is>
          <t>252701</t>
        </is>
      </c>
      <c r="B11" s="16" t="inlineStr">
        <is>
          <t>PPMG-1241</t>
        </is>
      </c>
      <c r="C11" s="16" t="inlineStr">
        <is>
          <t>PPMG-1241</t>
        </is>
      </c>
      <c r="D11" s="16" t="inlineStr">
        <is>
          <t>Sprint 15 2026</t>
        </is>
      </c>
      <c r="E11" s="16" t="inlineStr">
        <is>
          <t>Backlog</t>
        </is>
      </c>
      <c r="F11" s="16" t="inlineStr">
        <is>
          <t>new</t>
        </is>
      </c>
      <c r="G11" s="16" t="inlineStr">
        <is>
          <t>Tâche</t>
        </is>
      </c>
      <c r="H11" s="16" t="inlineStr">
        <is>
          <t>Highest</t>
        </is>
      </c>
      <c r="I11" s="16" t="inlineStr">
        <is>
          <t>RACHEL CLOIX</t>
        </is>
      </c>
      <c r="J11" s="16" t="inlineStr">
        <is>
          <t>Identifier les couts/payroll/budget erronés sur une initiative</t>
        </is>
      </c>
      <c r="K11" s="15" t="n">
        <v>45812.60342592592</v>
      </c>
      <c r="L11" s="15" t="n">
        <v>46113.50962962963</v>
      </c>
      <c r="M11" s="19" t="n">
        <v>368.73</v>
      </c>
      <c r="N11" s="19" t="n">
        <v>67.83</v>
      </c>
      <c r="O11" s="16" t="b">
        <v>1</v>
      </c>
      <c r="P11" s="16" t="inlineStr">
        <is>
          <t>customfield: Acceptance Criteria</t>
        </is>
      </c>
      <c r="Q11" s="16" t="n">
        <v>8</v>
      </c>
      <c r="R11" s="16" t="n">
        <v>0</v>
      </c>
      <c r="S11" s="16" t="n">
        <v>2</v>
      </c>
      <c r="T11" s="16" t="inlineStr">
        <is>
          <t>https://data-servier.atlassian.net/browse/PPMG-1241</t>
        </is>
      </c>
    </row>
    <row r="12">
      <c r="A12" s="16" t="inlineStr">
        <is>
          <t>258526</t>
        </is>
      </c>
      <c r="B12" s="16" t="inlineStr">
        <is>
          <t>PPMG-1257</t>
        </is>
      </c>
      <c r="C12" s="16" t="inlineStr">
        <is>
          <t>PPMG-1257</t>
        </is>
      </c>
      <c r="D12" s="16" t="inlineStr"/>
      <c r="E12" s="16" t="inlineStr">
        <is>
          <t>Backlog</t>
        </is>
      </c>
      <c r="F12" s="16" t="inlineStr">
        <is>
          <t>new</t>
        </is>
      </c>
      <c r="G12" s="16" t="inlineStr">
        <is>
          <t>Tâche</t>
        </is>
      </c>
      <c r="H12" s="16" t="inlineStr">
        <is>
          <t>Medium</t>
        </is>
      </c>
      <c r="I12" s="16" t="inlineStr">
        <is>
          <t>Hajar AIT MENDIL</t>
        </is>
      </c>
      <c r="J12" s="16" t="inlineStr">
        <is>
          <t>[INTERFACE LOG] - Intégrer la création de logs aux interfaces existantes</t>
        </is>
      </c>
      <c r="K12" s="15" t="n">
        <v>45833.50030092592</v>
      </c>
      <c r="L12" s="15" t="n">
        <v>45833.50033564815</v>
      </c>
      <c r="M12" s="19" t="n">
        <v>347.84</v>
      </c>
      <c r="N12" s="19" t="n">
        <v>347.84</v>
      </c>
      <c r="O12" s="16" t="b">
        <v>0</v>
      </c>
      <c r="P12" s="16" t="inlineStr">
        <is>
          <t>missing</t>
        </is>
      </c>
      <c r="Q12" s="16" t="n">
        <v>0</v>
      </c>
      <c r="R12" s="16" t="n">
        <v>0</v>
      </c>
      <c r="S12" s="16" t="n">
        <v>0</v>
      </c>
      <c r="T12" s="16" t="inlineStr">
        <is>
          <t>https://data-servier.atlassian.net/browse/PPMG-1257</t>
        </is>
      </c>
    </row>
    <row r="13">
      <c r="A13" s="16" t="inlineStr">
        <is>
          <t>264567</t>
        </is>
      </c>
      <c r="B13" s="16" t="inlineStr">
        <is>
          <t>PPMG-1268</t>
        </is>
      </c>
      <c r="C13" s="16" t="inlineStr">
        <is>
          <t>PPMG-1268</t>
        </is>
      </c>
      <c r="D13" s="16" t="inlineStr">
        <is>
          <t>Sprint 15 2026</t>
        </is>
      </c>
      <c r="E13" s="16" t="inlineStr">
        <is>
          <t>Ready for Development</t>
        </is>
      </c>
      <c r="F13" s="16" t="inlineStr">
        <is>
          <t>new</t>
        </is>
      </c>
      <c r="G13" s="16" t="inlineStr">
        <is>
          <t>Change</t>
        </is>
      </c>
      <c r="H13" s="16" t="inlineStr">
        <is>
          <t>High</t>
        </is>
      </c>
      <c r="I13" s="16" t="inlineStr">
        <is>
          <t>Patrick PONCET</t>
        </is>
      </c>
      <c r="J13" s="16" t="inlineStr">
        <is>
          <t>[MDM] [Attribut] Department Lead Domain à rendre monovalué</t>
        </is>
      </c>
      <c r="K13" s="15" t="n">
        <v>45848.63712962963</v>
      </c>
      <c r="L13" s="15" t="n">
        <v>46113.50759259259</v>
      </c>
      <c r="M13" s="19" t="n">
        <v>332.7</v>
      </c>
      <c r="N13" s="19" t="n">
        <v>67.83</v>
      </c>
      <c r="O13" s="16" t="b">
        <v>1</v>
      </c>
      <c r="P13" s="16" t="inlineStr">
        <is>
          <t>customfield: Acceptance Criteria</t>
        </is>
      </c>
      <c r="Q13" s="16" t="n">
        <v>4</v>
      </c>
      <c r="R13" s="16" t="n">
        <v>0</v>
      </c>
      <c r="S13" s="16" t="n">
        <v>0</v>
      </c>
      <c r="T13" s="16" t="inlineStr">
        <is>
          <t>https://data-servier.atlassian.net/browse/PPMG-1268</t>
        </is>
      </c>
    </row>
    <row r="14">
      <c r="A14" s="16" t="inlineStr">
        <is>
          <t>264788</t>
        </is>
      </c>
      <c r="B14" s="16" t="inlineStr">
        <is>
          <t>PPMG-1269</t>
        </is>
      </c>
      <c r="C14" s="16" t="inlineStr">
        <is>
          <t>PPMG-1269</t>
        </is>
      </c>
      <c r="D14" s="16" t="inlineStr">
        <is>
          <t>Sprint 10; Sprint 17 2026</t>
        </is>
      </c>
      <c r="E14" s="16" t="inlineStr">
        <is>
          <t>Analyse</t>
        </is>
      </c>
      <c r="F14" s="16" t="inlineStr">
        <is>
          <t>indeterminate</t>
        </is>
      </c>
      <c r="G14" s="16" t="inlineStr">
        <is>
          <t>Story</t>
        </is>
      </c>
      <c r="H14" s="16" t="inlineStr">
        <is>
          <t>Highest</t>
        </is>
      </c>
      <c r="I14" s="16" t="inlineStr">
        <is>
          <t>RACHEL CLOIX</t>
        </is>
      </c>
      <c r="J14" s="16" t="inlineStr">
        <is>
          <t>[Suite 2] - Interface DataPlatform - VYP : récupération des valeurs engagé, réalisé et temps passés de Pilot CT</t>
        </is>
      </c>
      <c r="K14" s="15" t="n">
        <v>45849.57006944445</v>
      </c>
      <c r="L14" s="15" t="n">
        <v>46148.3474537037</v>
      </c>
      <c r="M14" s="19" t="n">
        <v>331.77</v>
      </c>
      <c r="N14" s="19" t="n">
        <v>32.99</v>
      </c>
      <c r="O14" s="16" t="b">
        <v>0</v>
      </c>
      <c r="P14" s="16" t="inlineStr">
        <is>
          <t>missing</t>
        </is>
      </c>
      <c r="Q14" s="16" t="n">
        <v>4</v>
      </c>
      <c r="R14" s="16" t="n">
        <v>0</v>
      </c>
      <c r="S14" s="16" t="n">
        <v>1</v>
      </c>
      <c r="T14" s="16" t="inlineStr">
        <is>
          <t>https://data-servier.atlassian.net/browse/PPMG-1269</t>
        </is>
      </c>
    </row>
    <row r="15">
      <c r="A15" s="16" t="inlineStr">
        <is>
          <t>306680</t>
        </is>
      </c>
      <c r="B15" s="16" t="inlineStr">
        <is>
          <t>PPMG-1392</t>
        </is>
      </c>
      <c r="C15" s="16" t="inlineStr">
        <is>
          <t>PPMG-1392</t>
        </is>
      </c>
      <c r="D15" s="16" t="inlineStr">
        <is>
          <t>Sprint 15 2026</t>
        </is>
      </c>
      <c r="E15" s="16" t="inlineStr">
        <is>
          <t>Dev in Progress</t>
        </is>
      </c>
      <c r="F15" s="16" t="inlineStr">
        <is>
          <t>indeterminate</t>
        </is>
      </c>
      <c r="G15" s="16" t="inlineStr">
        <is>
          <t>Story</t>
        </is>
      </c>
      <c r="H15" s="16" t="inlineStr">
        <is>
          <t>Highest</t>
        </is>
      </c>
      <c r="I15" s="16" t="inlineStr">
        <is>
          <t>Herve ONNO</t>
        </is>
      </c>
      <c r="J15" s="16" t="inlineStr">
        <is>
          <t>OTD - 212664 [INTERFACE VYP -&gt; DP] - Mettre en place un nettoyage des fichiers SFTP</t>
        </is>
      </c>
      <c r="K15" s="15" t="n">
        <v>45933.63686342593</v>
      </c>
      <c r="L15" s="15" t="n">
        <v>46162.32153935185</v>
      </c>
      <c r="M15" s="19" t="n">
        <v>247.7</v>
      </c>
      <c r="N15" s="19" t="n">
        <v>19.02</v>
      </c>
      <c r="O15" s="16" t="b">
        <v>1</v>
      </c>
      <c r="P15" s="16" t="inlineStr">
        <is>
          <t>customfield: Acceptance Criteria</t>
        </is>
      </c>
      <c r="Q15" s="16" t="n">
        <v>7</v>
      </c>
      <c r="R15" s="16" t="n">
        <v>1</v>
      </c>
      <c r="S15" s="16" t="n">
        <v>0</v>
      </c>
      <c r="T15" s="16" t="inlineStr">
        <is>
          <t>https://data-servier.atlassian.net/browse/PPMG-1392</t>
        </is>
      </c>
    </row>
    <row r="16">
      <c r="A16" s="16" t="inlineStr">
        <is>
          <t>307578</t>
        </is>
      </c>
      <c r="B16" s="16" t="inlineStr">
        <is>
          <t>PPMG-1398</t>
        </is>
      </c>
      <c r="C16" s="16" t="inlineStr">
        <is>
          <t>PPMG-1398</t>
        </is>
      </c>
      <c r="D16" s="16" t="inlineStr"/>
      <c r="E16" s="16" t="inlineStr">
        <is>
          <t>Backlog</t>
        </is>
      </c>
      <c r="F16" s="16" t="inlineStr">
        <is>
          <t>new</t>
        </is>
      </c>
      <c r="G16" s="16" t="inlineStr">
        <is>
          <t>Story</t>
        </is>
      </c>
      <c r="H16" s="16" t="inlineStr">
        <is>
          <t>High</t>
        </is>
      </c>
      <c r="I16" s="16" t="inlineStr">
        <is>
          <t>Grégory RUGET</t>
        </is>
      </c>
      <c r="J16" s="16" t="inlineStr">
        <is>
          <t>BrainstormingACI Amélioration - Amelioration workbox + home projet</t>
        </is>
      </c>
      <c r="K16" s="15" t="n">
        <v>45937.49107638889</v>
      </c>
      <c r="L16" s="15" t="n">
        <v>45938.31921296296</v>
      </c>
      <c r="M16" s="19" t="n">
        <v>243.85</v>
      </c>
      <c r="N16" s="19" t="n">
        <v>243.02</v>
      </c>
      <c r="O16" s="16" t="b">
        <v>0</v>
      </c>
      <c r="P16" s="16" t="inlineStr">
        <is>
          <t>missing</t>
        </is>
      </c>
      <c r="Q16" s="16" t="n">
        <v>0</v>
      </c>
      <c r="R16" s="16" t="n">
        <v>0</v>
      </c>
      <c r="S16" s="16" t="n">
        <v>0</v>
      </c>
      <c r="T16" s="16" t="inlineStr">
        <is>
          <t>https://data-servier.atlassian.net/browse/PPMG-1398</t>
        </is>
      </c>
    </row>
    <row r="17">
      <c r="A17" s="16" t="inlineStr">
        <is>
          <t>307603</t>
        </is>
      </c>
      <c r="B17" s="16" t="inlineStr">
        <is>
          <t>PPMG-1399</t>
        </is>
      </c>
      <c r="C17" s="16" t="inlineStr">
        <is>
          <t>PPMG-1399</t>
        </is>
      </c>
      <c r="D17" s="16" t="inlineStr"/>
      <c r="E17" s="16" t="inlineStr">
        <is>
          <t>Backlog</t>
        </is>
      </c>
      <c r="F17" s="16" t="inlineStr">
        <is>
          <t>new</t>
        </is>
      </c>
      <c r="G17" s="16" t="inlineStr">
        <is>
          <t>Story</t>
        </is>
      </c>
      <c r="H17" s="16" t="inlineStr">
        <is>
          <t>High</t>
        </is>
      </c>
      <c r="I17" s="16" t="inlineStr">
        <is>
          <t>Grégory RUGET</t>
        </is>
      </c>
      <c r="J17" s="16" t="inlineStr">
        <is>
          <t>BrainstormingACI Amélioration - Indicateurs</t>
        </is>
      </c>
      <c r="K17" s="15" t="n">
        <v>45937.51663194445</v>
      </c>
      <c r="L17" s="15" t="n">
        <v>45938.3265625</v>
      </c>
      <c r="M17" s="19" t="n">
        <v>243.82</v>
      </c>
      <c r="N17" s="19" t="n">
        <v>243.01</v>
      </c>
      <c r="O17" s="16" t="b">
        <v>0</v>
      </c>
      <c r="P17" s="16" t="inlineStr">
        <is>
          <t>missing</t>
        </is>
      </c>
      <c r="Q17" s="16" t="n">
        <v>0</v>
      </c>
      <c r="R17" s="16" t="n">
        <v>0</v>
      </c>
      <c r="S17" s="16" t="n">
        <v>0</v>
      </c>
      <c r="T17" s="16" t="inlineStr">
        <is>
          <t>https://data-servier.atlassian.net/browse/PPMG-1399</t>
        </is>
      </c>
    </row>
    <row r="18">
      <c r="A18" s="16" t="inlineStr">
        <is>
          <t>307605</t>
        </is>
      </c>
      <c r="B18" s="16" t="inlineStr">
        <is>
          <t>PPMG-1400</t>
        </is>
      </c>
      <c r="C18" s="16" t="inlineStr">
        <is>
          <t>PPMG-1400</t>
        </is>
      </c>
      <c r="D18" s="16" t="inlineStr"/>
      <c r="E18" s="16" t="inlineStr">
        <is>
          <t>Backlog</t>
        </is>
      </c>
      <c r="F18" s="16" t="inlineStr">
        <is>
          <t>new</t>
        </is>
      </c>
      <c r="G18" s="16" t="inlineStr">
        <is>
          <t>Story</t>
        </is>
      </c>
      <c r="H18" s="16" t="inlineStr">
        <is>
          <t>High</t>
        </is>
      </c>
      <c r="I18" s="16" t="inlineStr">
        <is>
          <t>Grégory RUGET</t>
        </is>
      </c>
      <c r="J18" s="16" t="inlineStr">
        <is>
          <t>BrainstormingACI Amélioration - Interfaces et intégrations</t>
        </is>
      </c>
      <c r="K18" s="15" t="n">
        <v>45937.51789351852</v>
      </c>
      <c r="L18" s="15" t="n">
        <v>45938.32628472222</v>
      </c>
      <c r="M18" s="19" t="n">
        <v>243.82</v>
      </c>
      <c r="N18" s="19" t="n">
        <v>243.01</v>
      </c>
      <c r="O18" s="16" t="b">
        <v>0</v>
      </c>
      <c r="P18" s="16" t="inlineStr">
        <is>
          <t>missing</t>
        </is>
      </c>
      <c r="Q18" s="16" t="n">
        <v>0</v>
      </c>
      <c r="R18" s="16" t="n">
        <v>0</v>
      </c>
      <c r="S18" s="16" t="n">
        <v>0</v>
      </c>
      <c r="T18" s="16" t="inlineStr">
        <is>
          <t>https://data-servier.atlassian.net/browse/PPMG-1400</t>
        </is>
      </c>
    </row>
    <row r="19">
      <c r="A19" s="16" t="inlineStr">
        <is>
          <t>307606</t>
        </is>
      </c>
      <c r="B19" s="16" t="inlineStr">
        <is>
          <t>PPMG-1401</t>
        </is>
      </c>
      <c r="C19" s="16" t="inlineStr">
        <is>
          <t>PPMG-1401</t>
        </is>
      </c>
      <c r="D19" s="16" t="inlineStr"/>
      <c r="E19" s="16" t="inlineStr">
        <is>
          <t>Backlog</t>
        </is>
      </c>
      <c r="F19" s="16" t="inlineStr">
        <is>
          <t>new</t>
        </is>
      </c>
      <c r="G19" s="16" t="inlineStr">
        <is>
          <t>Story</t>
        </is>
      </c>
      <c r="H19" s="16" t="inlineStr">
        <is>
          <t>High</t>
        </is>
      </c>
      <c r="I19" s="16" t="inlineStr">
        <is>
          <t>Grégory RUGET</t>
        </is>
      </c>
      <c r="J19" s="16" t="inlineStr">
        <is>
          <t>BrainstormingACI Amélioration - ID card et des dashboards</t>
        </is>
      </c>
      <c r="K19" s="15" t="n">
        <v>45937.51875</v>
      </c>
      <c r="L19" s="15" t="n">
        <v>45938.32486111111</v>
      </c>
      <c r="M19" s="19" t="n">
        <v>243.82</v>
      </c>
      <c r="N19" s="19" t="n">
        <v>243.01</v>
      </c>
      <c r="O19" s="16" t="b">
        <v>0</v>
      </c>
      <c r="P19" s="16" t="inlineStr">
        <is>
          <t>missing</t>
        </is>
      </c>
      <c r="Q19" s="16" t="n">
        <v>0</v>
      </c>
      <c r="R19" s="16" t="n">
        <v>0</v>
      </c>
      <c r="S19" s="16" t="n">
        <v>0</v>
      </c>
      <c r="T19" s="16" t="inlineStr">
        <is>
          <t>https://data-servier.atlassian.net/browse/PPMG-1401</t>
        </is>
      </c>
    </row>
    <row r="20">
      <c r="A20" s="16" t="inlineStr">
        <is>
          <t>307607</t>
        </is>
      </c>
      <c r="B20" s="16" t="inlineStr">
        <is>
          <t>PPMG-1402</t>
        </is>
      </c>
      <c r="C20" s="16" t="inlineStr">
        <is>
          <t>PPMG-1402</t>
        </is>
      </c>
      <c r="D20" s="16" t="inlineStr"/>
      <c r="E20" s="16" t="inlineStr">
        <is>
          <t>Backlog</t>
        </is>
      </c>
      <c r="F20" s="16" t="inlineStr">
        <is>
          <t>new</t>
        </is>
      </c>
      <c r="G20" s="16" t="inlineStr">
        <is>
          <t>Story</t>
        </is>
      </c>
      <c r="H20" s="16" t="inlineStr">
        <is>
          <t>High</t>
        </is>
      </c>
      <c r="I20" s="16" t="inlineStr">
        <is>
          <t>Grégory RUGET</t>
        </is>
      </c>
      <c r="J20" s="16" t="inlineStr">
        <is>
          <t>BrainstormingACI Amélioration - Amelioration de l'organisation</t>
        </is>
      </c>
      <c r="K20" s="15" t="n">
        <v>45937.51934027778</v>
      </c>
      <c r="L20" s="15" t="n">
        <v>45938.31959490741</v>
      </c>
      <c r="M20" s="19" t="n">
        <v>243.82</v>
      </c>
      <c r="N20" s="19" t="n">
        <v>243.02</v>
      </c>
      <c r="O20" s="16" t="b">
        <v>0</v>
      </c>
      <c r="P20" s="16" t="inlineStr">
        <is>
          <t>missing</t>
        </is>
      </c>
      <c r="Q20" s="16" t="n">
        <v>0</v>
      </c>
      <c r="R20" s="16" t="n">
        <v>0</v>
      </c>
      <c r="S20" s="16" t="n">
        <v>0</v>
      </c>
      <c r="T20" s="16" t="inlineStr">
        <is>
          <t>https://data-servier.atlassian.net/browse/PPMG-1402</t>
        </is>
      </c>
    </row>
    <row r="21">
      <c r="A21" s="16" t="inlineStr">
        <is>
          <t>309547</t>
        </is>
      </c>
      <c r="B21" s="16" t="inlineStr">
        <is>
          <t>PPMG-1411</t>
        </is>
      </c>
      <c r="C21" s="16" t="inlineStr">
        <is>
          <t>PPMG-1411</t>
        </is>
      </c>
      <c r="D21" s="16" t="inlineStr">
        <is>
          <t>Sprint 17 2026</t>
        </is>
      </c>
      <c r="E21" s="16" t="inlineStr">
        <is>
          <t>Analyse</t>
        </is>
      </c>
      <c r="F21" s="16" t="inlineStr">
        <is>
          <t>indeterminate</t>
        </is>
      </c>
      <c r="G21" s="16" t="inlineStr">
        <is>
          <t>Story</t>
        </is>
      </c>
      <c r="H21" s="16" t="inlineStr">
        <is>
          <t>Highest</t>
        </is>
      </c>
      <c r="I21" s="16" t="inlineStr">
        <is>
          <t>RACHEL CLOIX</t>
        </is>
      </c>
      <c r="J21" s="16" t="inlineStr">
        <is>
          <t>[INTERFACE - VYP -&gt; DP R&amp;D ] Export de la monthly baseline</t>
        </is>
      </c>
      <c r="K21" s="15" t="n">
        <v>45943.52837962963</v>
      </c>
      <c r="L21" s="15" t="n">
        <v>46178.40342592593</v>
      </c>
      <c r="M21" s="19" t="n">
        <v>237.81</v>
      </c>
      <c r="N21" s="19" t="n">
        <v>2.93</v>
      </c>
      <c r="O21" s="16" t="b">
        <v>0</v>
      </c>
      <c r="P21" s="16" t="inlineStr">
        <is>
          <t>missing</t>
        </is>
      </c>
      <c r="Q21" s="16" t="n">
        <v>2</v>
      </c>
      <c r="R21" s="16" t="n">
        <v>0</v>
      </c>
      <c r="S21" s="16" t="n">
        <v>0</v>
      </c>
      <c r="T21" s="16" t="inlineStr">
        <is>
          <t>https://data-servier.atlassian.net/browse/PPMG-1411</t>
        </is>
      </c>
    </row>
    <row r="22">
      <c r="A22" s="16" t="inlineStr">
        <is>
          <t>316352</t>
        </is>
      </c>
      <c r="B22" s="16" t="inlineStr">
        <is>
          <t>PPMG-1419</t>
        </is>
      </c>
      <c r="C22" s="16" t="inlineStr">
        <is>
          <t>PPMG-1419</t>
        </is>
      </c>
      <c r="D22" s="16" t="inlineStr">
        <is>
          <t>Sprint 13 2026; Sprint 14 2026; Sprint 15 2026</t>
        </is>
      </c>
      <c r="E22" s="16" t="inlineStr">
        <is>
          <t>En cours</t>
        </is>
      </c>
      <c r="F22" s="16" t="inlineStr">
        <is>
          <t>indeterminate</t>
        </is>
      </c>
      <c r="G22" s="16" t="inlineStr">
        <is>
          <t>Tâche</t>
        </is>
      </c>
      <c r="H22" s="16" t="inlineStr">
        <is>
          <t>Medium</t>
        </is>
      </c>
      <c r="I22" s="16" t="inlineStr">
        <is>
          <t>RACHEL CLOIX</t>
        </is>
      </c>
      <c r="J22" s="16" t="inlineStr">
        <is>
          <t>Automatisation des notifications pour le nettoyage des licences inutilisées</t>
        </is>
      </c>
      <c r="K22" s="15" t="n">
        <v>45957.56658564815</v>
      </c>
      <c r="L22" s="15" t="n">
        <v>46126.62346064814</v>
      </c>
      <c r="M22" s="19" t="n">
        <v>223.77</v>
      </c>
      <c r="N22" s="19" t="n">
        <v>54.71</v>
      </c>
      <c r="O22" s="16" t="b">
        <v>1</v>
      </c>
      <c r="P22" s="16" t="inlineStr">
        <is>
          <t>customfield: Acceptance Criteria</t>
        </is>
      </c>
      <c r="Q22" s="16" t="n">
        <v>0</v>
      </c>
      <c r="R22" s="16" t="n">
        <v>0</v>
      </c>
      <c r="S22" s="16" t="n">
        <v>0</v>
      </c>
      <c r="T22" s="16" t="inlineStr">
        <is>
          <t>https://data-servier.atlassian.net/browse/PPMG-1419</t>
        </is>
      </c>
    </row>
    <row r="23">
      <c r="A23" s="16" t="inlineStr">
        <is>
          <t>317409</t>
        </is>
      </c>
      <c r="B23" s="16" t="inlineStr">
        <is>
          <t>PPMG-1425</t>
        </is>
      </c>
      <c r="C23" s="16" t="inlineStr">
        <is>
          <t>PPMG-1425</t>
        </is>
      </c>
      <c r="D23" s="16" t="inlineStr">
        <is>
          <t>Sprint 17 2026</t>
        </is>
      </c>
      <c r="E23" s="16" t="inlineStr">
        <is>
          <t>Backlog</t>
        </is>
      </c>
      <c r="F23" s="16" t="inlineStr">
        <is>
          <t>new</t>
        </is>
      </c>
      <c r="G23" s="16" t="inlineStr">
        <is>
          <t>Story</t>
        </is>
      </c>
      <c r="H23" s="16" t="inlineStr">
        <is>
          <t>Lowest</t>
        </is>
      </c>
      <c r="I23" s="16" t="inlineStr">
        <is>
          <t>Typhaine MICHEL</t>
        </is>
      </c>
      <c r="J23" s="16" t="inlineStr">
        <is>
          <t>[Attributs] Modifications 3/3</t>
        </is>
      </c>
      <c r="K23" s="15" t="n">
        <v>45959.56063657408</v>
      </c>
      <c r="L23" s="15" t="n">
        <v>46175.41372685185</v>
      </c>
      <c r="M23" s="19" t="n">
        <v>221.78</v>
      </c>
      <c r="N23" s="19" t="n">
        <v>5.92</v>
      </c>
      <c r="O23" s="16" t="b">
        <v>1</v>
      </c>
      <c r="P23" s="16" t="inlineStr">
        <is>
          <t>customfield: Acceptance Criteria</t>
        </is>
      </c>
      <c r="Q23" s="16" t="n">
        <v>5</v>
      </c>
      <c r="R23" s="16" t="n">
        <v>0</v>
      </c>
      <c r="S23" s="16" t="n">
        <v>2</v>
      </c>
      <c r="T23" s="16" t="inlineStr">
        <is>
          <t>https://data-servier.atlassian.net/browse/PPMG-1425</t>
        </is>
      </c>
    </row>
    <row r="24">
      <c r="A24" s="16" t="inlineStr">
        <is>
          <t>318635</t>
        </is>
      </c>
      <c r="B24" s="16" t="inlineStr">
        <is>
          <t>PPMG-1432</t>
        </is>
      </c>
      <c r="C24" s="16" t="inlineStr">
        <is>
          <t>PPMG-1432</t>
        </is>
      </c>
      <c r="D24" s="16" t="inlineStr">
        <is>
          <t>Sprint 14 2026; Sprint 15 2026</t>
        </is>
      </c>
      <c r="E24" s="16" t="inlineStr">
        <is>
          <t>Analyse</t>
        </is>
      </c>
      <c r="F24" s="16" t="inlineStr">
        <is>
          <t>indeterminate</t>
        </is>
      </c>
      <c r="G24" s="16" t="inlineStr">
        <is>
          <t>Change</t>
        </is>
      </c>
      <c r="H24" s="16" t="inlineStr">
        <is>
          <t>High</t>
        </is>
      </c>
      <c r="I24" s="16" t="inlineStr">
        <is>
          <t>Typhaine MICHEL</t>
        </is>
      </c>
      <c r="J24" s="16" t="inlineStr">
        <is>
          <t>[Attributs] [Module Project] Champs date</t>
        </is>
      </c>
      <c r="K24" s="15" t="n">
        <v>45960.6919212963</v>
      </c>
      <c r="L24" s="15" t="n">
        <v>46126.62344907408</v>
      </c>
      <c r="M24" s="19" t="n">
        <v>220.65</v>
      </c>
      <c r="N24" s="19" t="n">
        <v>54.71</v>
      </c>
      <c r="O24" s="16" t="b">
        <v>1</v>
      </c>
      <c r="P24" s="16" t="inlineStr">
        <is>
          <t>customfield: Acceptance Criteria</t>
        </is>
      </c>
      <c r="Q24" s="16" t="n">
        <v>1</v>
      </c>
      <c r="R24" s="16" t="n">
        <v>0</v>
      </c>
      <c r="S24" s="16" t="n">
        <v>1</v>
      </c>
      <c r="T24" s="16" t="inlineStr">
        <is>
          <t>https://data-servier.atlassian.net/browse/PPMG-1432</t>
        </is>
      </c>
    </row>
    <row r="25">
      <c r="A25" s="16" t="inlineStr">
        <is>
          <t>327987</t>
        </is>
      </c>
      <c r="B25" s="16" t="inlineStr">
        <is>
          <t>PPMG-1440</t>
        </is>
      </c>
      <c r="C25" s="16" t="inlineStr">
        <is>
          <t>PPMG-1440</t>
        </is>
      </c>
      <c r="D25" s="16" t="inlineStr">
        <is>
          <t>Sprint 14 2026; Sprint 15 2026</t>
        </is>
      </c>
      <c r="E25" s="16" t="inlineStr">
        <is>
          <t>Analyse</t>
        </is>
      </c>
      <c r="F25" s="16" t="inlineStr">
        <is>
          <t>indeterminate</t>
        </is>
      </c>
      <c r="G25" s="16" t="inlineStr">
        <is>
          <t>Story</t>
        </is>
      </c>
      <c r="H25" s="16" t="inlineStr">
        <is>
          <t>Medium</t>
        </is>
      </c>
      <c r="I25" s="16" t="inlineStr">
        <is>
          <t>Yosra MANAI</t>
        </is>
      </c>
      <c r="J25" s="16" t="inlineStr">
        <is>
          <t>[AMOA] [Gantt] Ajout de nouvelles librairies d'activité &amp; Modification template standard</t>
        </is>
      </c>
      <c r="K25" s="15" t="n">
        <v>45987.29302083333</v>
      </c>
      <c r="L25" s="15" t="n">
        <v>46153.43219907407</v>
      </c>
      <c r="M25" s="19" t="n">
        <v>194.05</v>
      </c>
      <c r="N25" s="19" t="n">
        <v>27.91</v>
      </c>
      <c r="O25" s="16" t="b">
        <v>0</v>
      </c>
      <c r="P25" s="16" t="inlineStr">
        <is>
          <t>missing</t>
        </is>
      </c>
      <c r="Q25" s="16" t="n">
        <v>3</v>
      </c>
      <c r="R25" s="16" t="n">
        <v>0</v>
      </c>
      <c r="S25" s="16" t="n">
        <v>0</v>
      </c>
      <c r="T25" s="16" t="inlineStr">
        <is>
          <t>https://data-servier.atlassian.net/browse/PPMG-1440</t>
        </is>
      </c>
    </row>
    <row r="26">
      <c r="A26" s="16" t="inlineStr">
        <is>
          <t>329131</t>
        </is>
      </c>
      <c r="B26" s="16" t="inlineStr">
        <is>
          <t>PPMG-1446</t>
        </is>
      </c>
      <c r="C26" s="16" t="inlineStr">
        <is>
          <t>PPMG-1446</t>
        </is>
      </c>
      <c r="D26" s="16" t="inlineStr"/>
      <c r="E26" s="16" t="inlineStr">
        <is>
          <t>Backlog</t>
        </is>
      </c>
      <c r="F26" s="16" t="inlineStr">
        <is>
          <t>new</t>
        </is>
      </c>
      <c r="G26" s="16" t="inlineStr">
        <is>
          <t>Story</t>
        </is>
      </c>
      <c r="H26" s="16" t="inlineStr">
        <is>
          <t>Medium</t>
        </is>
      </c>
      <c r="I26" s="16" t="inlineStr">
        <is>
          <t>Yassine BOUARI</t>
        </is>
      </c>
      <c r="J26" s="16" t="inlineStr">
        <is>
          <t>[R&amp;D] - Etude de faisabilité - Reporting pour visualiser les Baselines</t>
        </is>
      </c>
      <c r="K26" s="15" t="n">
        <v>45989.36987268519</v>
      </c>
      <c r="L26" s="15" t="n">
        <v>45992.4834837963</v>
      </c>
      <c r="M26" s="19" t="n">
        <v>191.97</v>
      </c>
      <c r="N26" s="19" t="n">
        <v>188.85</v>
      </c>
      <c r="O26" s="16" t="b">
        <v>0</v>
      </c>
      <c r="P26" s="16" t="inlineStr">
        <is>
          <t>missing</t>
        </is>
      </c>
      <c r="Q26" s="16" t="n">
        <v>0</v>
      </c>
      <c r="R26" s="16" t="n">
        <v>0</v>
      </c>
      <c r="S26" s="16" t="n">
        <v>0</v>
      </c>
      <c r="T26" s="16" t="inlineStr">
        <is>
          <t>https://data-servier.atlassian.net/browse/PPMG-1446</t>
        </is>
      </c>
    </row>
    <row r="27">
      <c r="A27" s="16" t="inlineStr">
        <is>
          <t>334862</t>
        </is>
      </c>
      <c r="B27" s="16" t="inlineStr">
        <is>
          <t>PPMG-1454</t>
        </is>
      </c>
      <c r="C27" s="16" t="inlineStr">
        <is>
          <t>PPMG-1454</t>
        </is>
      </c>
      <c r="D27" s="16" t="inlineStr"/>
      <c r="E27" s="16" t="inlineStr">
        <is>
          <t>Ready for Development</t>
        </is>
      </c>
      <c r="F27" s="16" t="inlineStr">
        <is>
          <t>new</t>
        </is>
      </c>
      <c r="G27" s="16" t="inlineStr">
        <is>
          <t>Change</t>
        </is>
      </c>
      <c r="H27" s="16" t="inlineStr">
        <is>
          <t>High</t>
        </is>
      </c>
      <c r="I27" s="16" t="inlineStr">
        <is>
          <t>Patrick PONCET</t>
        </is>
      </c>
      <c r="J27" s="16" t="inlineStr">
        <is>
          <t>[Value Business Case] VBC – Ajout d’un onglet de synthèse et évolutions associées</t>
        </is>
      </c>
      <c r="K27" s="15" t="n">
        <v>46002.44677083333</v>
      </c>
      <c r="L27" s="15" t="n">
        <v>46090.40290509259</v>
      </c>
      <c r="M27" s="19" t="n">
        <v>178.89</v>
      </c>
      <c r="N27" s="19" t="n">
        <v>90.94</v>
      </c>
      <c r="O27" s="16" t="b">
        <v>1</v>
      </c>
      <c r="P27" s="16" t="inlineStr">
        <is>
          <t>customfield: Acceptance Criteria</t>
        </is>
      </c>
      <c r="Q27" s="16" t="n">
        <v>4</v>
      </c>
      <c r="R27" s="16" t="n">
        <v>1</v>
      </c>
      <c r="S27" s="16" t="n">
        <v>0</v>
      </c>
      <c r="T27" s="16" t="inlineStr">
        <is>
          <t>https://data-servier.atlassian.net/browse/PPMG-1454</t>
        </is>
      </c>
    </row>
    <row r="28">
      <c r="A28" s="16" t="inlineStr">
        <is>
          <t>334886</t>
        </is>
      </c>
      <c r="B28" s="16" t="inlineStr">
        <is>
          <t>PPMG-1455</t>
        </is>
      </c>
      <c r="C28" s="16" t="inlineStr">
        <is>
          <t>PPMG-1455</t>
        </is>
      </c>
      <c r="D28" s="16" t="inlineStr"/>
      <c r="E28" s="16" t="inlineStr">
        <is>
          <t>Backlog</t>
        </is>
      </c>
      <c r="F28" s="16" t="inlineStr">
        <is>
          <t>new</t>
        </is>
      </c>
      <c r="G28" s="16" t="inlineStr">
        <is>
          <t>Story</t>
        </is>
      </c>
      <c r="H28" s="16" t="inlineStr">
        <is>
          <t>Medium</t>
        </is>
      </c>
      <c r="I28" s="16" t="inlineStr">
        <is>
          <t>Non assigné</t>
        </is>
      </c>
      <c r="J28" s="16" t="inlineStr">
        <is>
          <t>Ne pas laisser la possibilité de modifier les lignes interfacées dans le module financier</t>
        </is>
      </c>
      <c r="K28" s="15" t="n">
        <v>46002.45855324074</v>
      </c>
      <c r="L28" s="15" t="n">
        <v>46002.45857638889</v>
      </c>
      <c r="M28" s="19" t="n">
        <v>178.88</v>
      </c>
      <c r="N28" s="19" t="n">
        <v>178.88</v>
      </c>
      <c r="O28" s="16" t="b">
        <v>1</v>
      </c>
      <c r="P28" s="16" t="inlineStr">
        <is>
          <t>customfield: Acceptance Criteria</t>
        </is>
      </c>
      <c r="Q28" s="16" t="n">
        <v>0</v>
      </c>
      <c r="R28" s="16" t="n">
        <v>0</v>
      </c>
      <c r="S28" s="16" t="n">
        <v>0</v>
      </c>
      <c r="T28" s="16" t="inlineStr">
        <is>
          <t>https://data-servier.atlassian.net/browse/PPMG-1455</t>
        </is>
      </c>
    </row>
    <row r="29">
      <c r="A29" s="16" t="inlineStr">
        <is>
          <t>335765</t>
        </is>
      </c>
      <c r="B29" s="16" t="inlineStr">
        <is>
          <t>PPMG-1459</t>
        </is>
      </c>
      <c r="C29" s="16" t="inlineStr">
        <is>
          <t>PPMG-1459</t>
        </is>
      </c>
      <c r="D29" s="16" t="inlineStr">
        <is>
          <t>Sprint 14 2026</t>
        </is>
      </c>
      <c r="E29" s="16" t="inlineStr">
        <is>
          <t>Ouvert</t>
        </is>
      </c>
      <c r="F29" s="16" t="inlineStr">
        <is>
          <t>new</t>
        </is>
      </c>
      <c r="G29" s="16" t="inlineStr">
        <is>
          <t>Bug</t>
        </is>
      </c>
      <c r="H29" s="16" t="inlineStr">
        <is>
          <t>Highest</t>
        </is>
      </c>
      <c r="I29" s="16" t="inlineStr">
        <is>
          <t>Romain CIESLIK</t>
        </is>
      </c>
      <c r="J29" s="16" t="inlineStr">
        <is>
          <t>Règles de gestion sur le champ "Name" du projet</t>
        </is>
      </c>
      <c r="K29" s="15" t="n">
        <v>46006.42994212963</v>
      </c>
      <c r="L29" s="15" t="n">
        <v>46133.4108449074</v>
      </c>
      <c r="M29" s="19" t="n">
        <v>174.91</v>
      </c>
      <c r="N29" s="19" t="n">
        <v>47.93</v>
      </c>
      <c r="O29" s="16" t="b">
        <v>1</v>
      </c>
      <c r="P29" s="16" t="inlineStr">
        <is>
          <t>customfield: Acceptance Criteria</t>
        </is>
      </c>
      <c r="Q29" s="16" t="n">
        <v>10</v>
      </c>
      <c r="R29" s="16" t="n">
        <v>1</v>
      </c>
      <c r="S29" s="16" t="n">
        <v>1</v>
      </c>
      <c r="T29" s="16" t="inlineStr">
        <is>
          <t>https://data-servier.atlassian.net/browse/PPMG-1459</t>
        </is>
      </c>
    </row>
    <row r="30">
      <c r="A30" s="16" t="inlineStr">
        <is>
          <t>337641</t>
        </is>
      </c>
      <c r="B30" s="16" t="inlineStr">
        <is>
          <t>PPMG-1460</t>
        </is>
      </c>
      <c r="C30" s="16" t="inlineStr">
        <is>
          <t>PPMG-1460</t>
        </is>
      </c>
      <c r="D30" s="16" t="inlineStr"/>
      <c r="E30" s="16" t="inlineStr">
        <is>
          <t>Backlog</t>
        </is>
      </c>
      <c r="F30" s="16" t="inlineStr">
        <is>
          <t>new</t>
        </is>
      </c>
      <c r="G30" s="16" t="inlineStr">
        <is>
          <t>Story</t>
        </is>
      </c>
      <c r="H30" s="16" t="inlineStr">
        <is>
          <t>Low</t>
        </is>
      </c>
      <c r="I30" s="16" t="inlineStr">
        <is>
          <t>RACHEL CLOIX</t>
        </is>
      </c>
      <c r="J30" s="16" t="inlineStr">
        <is>
          <t>[COST &amp; LOAD] Afficher la vue consolidée (somme verticale) au niveau des regroupements</t>
        </is>
      </c>
      <c r="K30" s="15" t="n">
        <v>46007.68657407408</v>
      </c>
      <c r="L30" s="15" t="n">
        <v>46078.41243055555</v>
      </c>
      <c r="M30" s="19" t="n">
        <v>173.65</v>
      </c>
      <c r="N30" s="19" t="n">
        <v>102.93</v>
      </c>
      <c r="O30" s="16" t="b">
        <v>0</v>
      </c>
      <c r="P30" s="16" t="inlineStr">
        <is>
          <t>missing</t>
        </is>
      </c>
      <c r="Q30" s="16" t="n">
        <v>3</v>
      </c>
      <c r="R30" s="16" t="n">
        <v>1</v>
      </c>
      <c r="S30" s="16" t="n">
        <v>0</v>
      </c>
      <c r="T30" s="16" t="inlineStr">
        <is>
          <t>https://data-servier.atlassian.net/browse/PPMG-1460</t>
        </is>
      </c>
    </row>
    <row r="31">
      <c r="A31" s="16" t="inlineStr">
        <is>
          <t>337646</t>
        </is>
      </c>
      <c r="B31" s="16" t="inlineStr">
        <is>
          <t>PPMG-1461</t>
        </is>
      </c>
      <c r="C31" s="16" t="inlineStr">
        <is>
          <t>PPMG-1461</t>
        </is>
      </c>
      <c r="D31" s="16" t="inlineStr"/>
      <c r="E31" s="16" t="inlineStr">
        <is>
          <t>Backlog</t>
        </is>
      </c>
      <c r="F31" s="16" t="inlineStr">
        <is>
          <t>new</t>
        </is>
      </c>
      <c r="G31" s="16" t="inlineStr">
        <is>
          <t>Story</t>
        </is>
      </c>
      <c r="H31" s="16" t="inlineStr">
        <is>
          <t>Medium</t>
        </is>
      </c>
      <c r="I31" s="16" t="inlineStr">
        <is>
          <t>RACHEL CLOIX</t>
        </is>
      </c>
      <c r="J31" s="16" t="inlineStr">
        <is>
          <t>[STAGE &amp; GATE] Ajouter le commentaire obligatoire du passage de gate dans un reporting</t>
        </is>
      </c>
      <c r="K31" s="15" t="n">
        <v>46007.68891203704</v>
      </c>
      <c r="L31" s="15" t="n">
        <v>46106.39335648148</v>
      </c>
      <c r="M31" s="19" t="n">
        <v>173.65</v>
      </c>
      <c r="N31" s="19" t="n">
        <v>74.94</v>
      </c>
      <c r="O31" s="16" t="b">
        <v>0</v>
      </c>
      <c r="P31" s="16" t="inlineStr">
        <is>
          <t>missing</t>
        </is>
      </c>
      <c r="Q31" s="16" t="n">
        <v>1</v>
      </c>
      <c r="R31" s="16" t="n">
        <v>0</v>
      </c>
      <c r="S31" s="16" t="n">
        <v>0</v>
      </c>
      <c r="T31" s="16" t="inlineStr">
        <is>
          <t>https://data-servier.atlassian.net/browse/PPMG-1461</t>
        </is>
      </c>
    </row>
    <row r="32">
      <c r="A32" s="16" t="inlineStr">
        <is>
          <t>339819</t>
        </is>
      </c>
      <c r="B32" s="16" t="inlineStr">
        <is>
          <t>PPMG-1470</t>
        </is>
      </c>
      <c r="C32" s="16" t="inlineStr">
        <is>
          <t>PPMG-1470</t>
        </is>
      </c>
      <c r="D32" s="16" t="inlineStr"/>
      <c r="E32" s="16" t="inlineStr">
        <is>
          <t>Backlog</t>
        </is>
      </c>
      <c r="F32" s="16" t="inlineStr">
        <is>
          <t>new</t>
        </is>
      </c>
      <c r="G32" s="16" t="inlineStr">
        <is>
          <t>Tâche</t>
        </is>
      </c>
      <c r="H32" s="16" t="inlineStr">
        <is>
          <t>Medium</t>
        </is>
      </c>
      <c r="I32" s="16" t="inlineStr">
        <is>
          <t>Non assigné</t>
        </is>
      </c>
      <c r="J32" s="16" t="inlineStr">
        <is>
          <t>[SFTP] Accès aux fichiers sur le serveur SFTP OTD 205560</t>
        </is>
      </c>
      <c r="K32" s="15" t="n">
        <v>46014.62163194444</v>
      </c>
      <c r="L32" s="15" t="n">
        <v>46014.62165509259</v>
      </c>
      <c r="M32" s="19" t="n">
        <v>166.72</v>
      </c>
      <c r="N32" s="19" t="n">
        <v>166.72</v>
      </c>
      <c r="O32" s="16" t="b">
        <v>0</v>
      </c>
      <c r="P32" s="16" t="inlineStr">
        <is>
          <t>missing</t>
        </is>
      </c>
      <c r="Q32" s="16" t="n">
        <v>0</v>
      </c>
      <c r="R32" s="16" t="n">
        <v>0</v>
      </c>
      <c r="S32" s="16" t="n">
        <v>0</v>
      </c>
      <c r="T32" s="16" t="inlineStr">
        <is>
          <t>https://data-servier.atlassian.net/browse/PPMG-1470</t>
        </is>
      </c>
    </row>
    <row r="33">
      <c r="A33" s="16" t="inlineStr">
        <is>
          <t>342620</t>
        </is>
      </c>
      <c r="B33" s="16" t="inlineStr">
        <is>
          <t>PPMG-1474</t>
        </is>
      </c>
      <c r="C33" s="16" t="inlineStr">
        <is>
          <t>PPMG-1474</t>
        </is>
      </c>
      <c r="D33" s="16" t="inlineStr">
        <is>
          <t>Sprint 16 2026</t>
        </is>
      </c>
      <c r="E33" s="16" t="inlineStr">
        <is>
          <t>Validated</t>
        </is>
      </c>
      <c r="F33" s="16" t="inlineStr">
        <is>
          <t>indeterminate</t>
        </is>
      </c>
      <c r="G33" s="16" t="inlineStr">
        <is>
          <t>Bug</t>
        </is>
      </c>
      <c r="H33" s="16" t="inlineStr">
        <is>
          <t>Medium</t>
        </is>
      </c>
      <c r="I33" s="16" t="inlineStr">
        <is>
          <t>Yassine BOUARI</t>
        </is>
      </c>
      <c r="J33" s="16" t="inlineStr">
        <is>
          <t>[OTD 207474] Trouver la cause du changement du thème des environnements</t>
        </is>
      </c>
      <c r="K33" s="15" t="n">
        <v>46030.52887731481</v>
      </c>
      <c r="L33" s="15" t="n">
        <v>46178.57061342592</v>
      </c>
      <c r="M33" s="19" t="n">
        <v>150.81</v>
      </c>
      <c r="N33" s="19" t="n">
        <v>2.77</v>
      </c>
      <c r="O33" s="16" t="b">
        <v>0</v>
      </c>
      <c r="P33" s="16" t="inlineStr">
        <is>
          <t>missing</t>
        </is>
      </c>
      <c r="Q33" s="16" t="n">
        <v>3</v>
      </c>
      <c r="R33" s="16" t="n">
        <v>1</v>
      </c>
      <c r="S33" s="16" t="n">
        <v>0</v>
      </c>
      <c r="T33" s="16" t="inlineStr">
        <is>
          <t>https://data-servier.atlassian.net/browse/PPMG-1474</t>
        </is>
      </c>
    </row>
    <row r="34">
      <c r="A34" s="16" t="inlineStr">
        <is>
          <t>342847</t>
        </is>
      </c>
      <c r="B34" s="16" t="inlineStr">
        <is>
          <t>PPMG-1476</t>
        </is>
      </c>
      <c r="C34" s="16" t="inlineStr">
        <is>
          <t>PPMG-1476</t>
        </is>
      </c>
      <c r="D34" s="16" t="inlineStr"/>
      <c r="E34" s="16" t="inlineStr">
        <is>
          <t>Backlog</t>
        </is>
      </c>
      <c r="F34" s="16" t="inlineStr">
        <is>
          <t>new</t>
        </is>
      </c>
      <c r="G34" s="16" t="inlineStr">
        <is>
          <t>Story</t>
        </is>
      </c>
      <c r="H34" s="16" t="inlineStr">
        <is>
          <t>Low</t>
        </is>
      </c>
      <c r="I34" s="16" t="inlineStr">
        <is>
          <t>Yosra MANAI</t>
        </is>
      </c>
      <c r="J34" s="16" t="inlineStr">
        <is>
          <t>[GLOBAL] Champs attendus en Read-Only</t>
        </is>
      </c>
      <c r="K34" s="15" t="n">
        <v>46031.36983796296</v>
      </c>
      <c r="L34" s="15" t="n">
        <v>46031.36986111111</v>
      </c>
      <c r="M34" s="19" t="n">
        <v>149.97</v>
      </c>
      <c r="N34" s="19" t="n">
        <v>149.97</v>
      </c>
      <c r="O34" s="16" t="b">
        <v>0</v>
      </c>
      <c r="P34" s="16" t="inlineStr">
        <is>
          <t>missing</t>
        </is>
      </c>
      <c r="Q34" s="16" t="n">
        <v>0</v>
      </c>
      <c r="R34" s="16" t="n">
        <v>0</v>
      </c>
      <c r="S34" s="16" t="n">
        <v>0</v>
      </c>
      <c r="T34" s="16" t="inlineStr">
        <is>
          <t>https://data-servier.atlassian.net/browse/PPMG-1476</t>
        </is>
      </c>
    </row>
    <row r="35">
      <c r="A35" s="16" t="inlineStr">
        <is>
          <t>343177</t>
        </is>
      </c>
      <c r="B35" s="16" t="inlineStr">
        <is>
          <t>PPMG-1477</t>
        </is>
      </c>
      <c r="C35" s="16" t="inlineStr">
        <is>
          <t>PPMG-1477</t>
        </is>
      </c>
      <c r="D35" s="16" t="inlineStr">
        <is>
          <t>Sprint 15 2026</t>
        </is>
      </c>
      <c r="E35" s="16" t="inlineStr">
        <is>
          <t>Candidate</t>
        </is>
      </c>
      <c r="F35" s="16" t="inlineStr">
        <is>
          <t>new</t>
        </is>
      </c>
      <c r="G35" s="16" t="inlineStr">
        <is>
          <t>Change</t>
        </is>
      </c>
      <c r="H35" s="16" t="inlineStr">
        <is>
          <t>High</t>
        </is>
      </c>
      <c r="I35" s="16" t="inlineStr">
        <is>
          <t>RACHEL CLOIX</t>
        </is>
      </c>
      <c r="J35" s="16" t="inlineStr">
        <is>
          <t>VYP – Analyse des droits d’écriture pour les Gatekeepers des programmes SPOT</t>
        </is>
      </c>
      <c r="K35" s="15" t="n">
        <v>46031.65451388889</v>
      </c>
      <c r="L35" s="15" t="n">
        <v>46113.35037037037</v>
      </c>
      <c r="M35" s="19" t="n">
        <v>149.68</v>
      </c>
      <c r="N35" s="19" t="n">
        <v>67.98999999999999</v>
      </c>
      <c r="O35" s="16" t="b">
        <v>1</v>
      </c>
      <c r="P35" s="16" t="inlineStr">
        <is>
          <t>customfield: Acceptance Criteria</t>
        </is>
      </c>
      <c r="Q35" s="16" t="n">
        <v>2</v>
      </c>
      <c r="R35" s="16" t="n">
        <v>0</v>
      </c>
      <c r="S35" s="16" t="n">
        <v>0</v>
      </c>
      <c r="T35" s="16" t="inlineStr">
        <is>
          <t>https://data-servier.atlassian.net/browse/PPMG-1477</t>
        </is>
      </c>
    </row>
    <row r="36">
      <c r="A36" s="16" t="inlineStr">
        <is>
          <t>345010</t>
        </is>
      </c>
      <c r="B36" s="16" t="inlineStr">
        <is>
          <t>PPMG-1479</t>
        </is>
      </c>
      <c r="C36" s="16" t="inlineStr">
        <is>
          <t>PPMG-1479</t>
        </is>
      </c>
      <c r="D36" s="16" t="inlineStr"/>
      <c r="E36" s="16" t="inlineStr">
        <is>
          <t>Backlog</t>
        </is>
      </c>
      <c r="F36" s="16" t="inlineStr">
        <is>
          <t>new</t>
        </is>
      </c>
      <c r="G36" s="16" t="inlineStr">
        <is>
          <t>Feature</t>
        </is>
      </c>
      <c r="H36" s="16" t="inlineStr">
        <is>
          <t>Medium</t>
        </is>
      </c>
      <c r="I36" s="16" t="inlineStr">
        <is>
          <t>Non assigné</t>
        </is>
      </c>
      <c r="J36" s="16" t="inlineStr">
        <is>
          <t>MIGRATION</t>
        </is>
      </c>
      <c r="K36" s="15" t="n">
        <v>46036.53114583333</v>
      </c>
      <c r="L36" s="15" t="n">
        <v>46037.59730324074</v>
      </c>
      <c r="M36" s="19" t="n">
        <v>144.81</v>
      </c>
      <c r="N36" s="19" t="n">
        <v>143.74</v>
      </c>
      <c r="O36" s="16" t="b">
        <v>0</v>
      </c>
      <c r="P36" s="16" t="inlineStr">
        <is>
          <t>missing</t>
        </is>
      </c>
      <c r="Q36" s="16" t="n">
        <v>0</v>
      </c>
      <c r="R36" s="16" t="n">
        <v>0</v>
      </c>
      <c r="S36" s="16" t="n">
        <v>0</v>
      </c>
      <c r="T36" s="16" t="inlineStr">
        <is>
          <t>https://data-servier.atlassian.net/browse/PPMG-1479</t>
        </is>
      </c>
    </row>
    <row r="37">
      <c r="A37" s="16" t="inlineStr">
        <is>
          <t>345593</t>
        </is>
      </c>
      <c r="B37" s="16" t="inlineStr">
        <is>
          <t>PPMG-1482</t>
        </is>
      </c>
      <c r="C37" s="16" t="inlineStr">
        <is>
          <t>PPMG-1482</t>
        </is>
      </c>
      <c r="D37" s="16" t="inlineStr">
        <is>
          <t>Sprint 16 2026</t>
        </is>
      </c>
      <c r="E37" s="16" t="inlineStr">
        <is>
          <t>En cours</t>
        </is>
      </c>
      <c r="F37" s="16" t="inlineStr">
        <is>
          <t>indeterminate</t>
        </is>
      </c>
      <c r="G37" s="16" t="inlineStr">
        <is>
          <t>Bug</t>
        </is>
      </c>
      <c r="H37" s="16" t="inlineStr">
        <is>
          <t>Highest</t>
        </is>
      </c>
      <c r="I37" s="16" t="inlineStr">
        <is>
          <t>Yassine BOUARI</t>
        </is>
      </c>
      <c r="J37" s="16" t="inlineStr">
        <is>
          <t>[OTD 208287] Les Key Risks ne s’affichent pas dans l’export PDF de l’Initiative Dashboard (OK dans l’export PPT)</t>
        </is>
      </c>
      <c r="K37" s="15" t="n">
        <v>46037.46246527778</v>
      </c>
      <c r="L37" s="15" t="n">
        <v>46178.54074074074</v>
      </c>
      <c r="M37" s="19" t="n">
        <v>143.88</v>
      </c>
      <c r="N37" s="19" t="n">
        <v>2.8</v>
      </c>
      <c r="O37" s="16" t="b">
        <v>1</v>
      </c>
      <c r="P37" s="16" t="inlineStr">
        <is>
          <t>customfield: Acceptance Criteria</t>
        </is>
      </c>
      <c r="Q37" s="16" t="n">
        <v>6</v>
      </c>
      <c r="R37" s="16" t="n">
        <v>4</v>
      </c>
      <c r="S37" s="16" t="n">
        <v>0</v>
      </c>
      <c r="T37" s="16" t="inlineStr">
        <is>
          <t>https://data-servier.atlassian.net/browse/PPMG-1482</t>
        </is>
      </c>
    </row>
    <row r="38">
      <c r="A38" s="16" t="inlineStr">
        <is>
          <t>347980</t>
        </is>
      </c>
      <c r="B38" s="16" t="inlineStr">
        <is>
          <t>PPMG-1483</t>
        </is>
      </c>
      <c r="C38" s="16" t="inlineStr">
        <is>
          <t>PPMG-1483</t>
        </is>
      </c>
      <c r="D38" s="16" t="inlineStr">
        <is>
          <t>Sprint 17 2026</t>
        </is>
      </c>
      <c r="E38" s="16" t="inlineStr">
        <is>
          <t>Backlog</t>
        </is>
      </c>
      <c r="F38" s="16" t="inlineStr">
        <is>
          <t>new</t>
        </is>
      </c>
      <c r="G38" s="16" t="inlineStr">
        <is>
          <t>Tâche</t>
        </is>
      </c>
      <c r="H38" s="16" t="inlineStr">
        <is>
          <t>Medium</t>
        </is>
      </c>
      <c r="I38" s="16" t="inlineStr">
        <is>
          <t>Non assigné</t>
        </is>
      </c>
      <c r="J38" s="16" t="inlineStr">
        <is>
          <t>Interfaçage MDM</t>
        </is>
      </c>
      <c r="K38" s="15" t="n">
        <v>46043.53871527778</v>
      </c>
      <c r="L38" s="15" t="n">
        <v>46113.35563657407</v>
      </c>
      <c r="M38" s="19" t="n">
        <v>137.8</v>
      </c>
      <c r="N38" s="19" t="n">
        <v>67.98</v>
      </c>
      <c r="O38" s="16" t="b">
        <v>0</v>
      </c>
      <c r="P38" s="16" t="inlineStr">
        <is>
          <t>missing</t>
        </is>
      </c>
      <c r="Q38" s="16" t="n">
        <v>1</v>
      </c>
      <c r="R38" s="16" t="n">
        <v>1</v>
      </c>
      <c r="S38" s="16" t="n">
        <v>0</v>
      </c>
      <c r="T38" s="16" t="inlineStr">
        <is>
          <t>https://data-servier.atlassian.net/browse/PPMG-1483</t>
        </is>
      </c>
    </row>
    <row r="39">
      <c r="A39" s="16" t="inlineStr">
        <is>
          <t>351111</t>
        </is>
      </c>
      <c r="B39" s="16" t="inlineStr">
        <is>
          <t>PPMG-1486</t>
        </is>
      </c>
      <c r="C39" s="16" t="inlineStr">
        <is>
          <t>PPMG-1486</t>
        </is>
      </c>
      <c r="D39" s="16" t="inlineStr"/>
      <c r="E39" s="16" t="inlineStr">
        <is>
          <t>Ready for Development</t>
        </is>
      </c>
      <c r="F39" s="16" t="inlineStr">
        <is>
          <t>new</t>
        </is>
      </c>
      <c r="G39" s="16" t="inlineStr">
        <is>
          <t>Story</t>
        </is>
      </c>
      <c r="H39" s="16" t="inlineStr">
        <is>
          <t>Low</t>
        </is>
      </c>
      <c r="I39" s="16" t="inlineStr">
        <is>
          <t>Yassine BOUARI</t>
        </is>
      </c>
      <c r="J39" s="16" t="inlineStr">
        <is>
          <t>[SPM] [Cost&amp;Load] Refonte et harmonisation des notions ETC / EAC dans le module Strategic Portfolios</t>
        </is>
      </c>
      <c r="K39" s="15" t="n">
        <v>46050.36077546296</v>
      </c>
      <c r="L39" s="15" t="n">
        <v>46092.58278935185</v>
      </c>
      <c r="M39" s="19" t="n">
        <v>130.98</v>
      </c>
      <c r="N39" s="19" t="n">
        <v>88.76000000000001</v>
      </c>
      <c r="O39" s="16" t="b">
        <v>1</v>
      </c>
      <c r="P39" s="16" t="inlineStr">
        <is>
          <t>customfield: Acceptance Criteria</t>
        </is>
      </c>
      <c r="Q39" s="16" t="n">
        <v>0</v>
      </c>
      <c r="R39" s="16" t="n">
        <v>1</v>
      </c>
      <c r="S39" s="16" t="n">
        <v>1</v>
      </c>
      <c r="T39" s="16" t="inlineStr">
        <is>
          <t>https://data-servier.atlassian.net/browse/PPMG-1486</t>
        </is>
      </c>
    </row>
    <row r="40">
      <c r="A40" s="16" t="inlineStr">
        <is>
          <t>360128</t>
        </is>
      </c>
      <c r="B40" s="16" t="inlineStr">
        <is>
          <t>PPMG-1491</t>
        </is>
      </c>
      <c r="C40" s="16" t="inlineStr">
        <is>
          <t>PPMG-1491</t>
        </is>
      </c>
      <c r="D40" s="16" t="inlineStr">
        <is>
          <t>Sprint 14 2026; Sprint 15 2026</t>
        </is>
      </c>
      <c r="E40" s="16" t="inlineStr">
        <is>
          <t>Backlog</t>
        </is>
      </c>
      <c r="F40" s="16" t="inlineStr">
        <is>
          <t>new</t>
        </is>
      </c>
      <c r="G40" s="16" t="inlineStr">
        <is>
          <t>Story</t>
        </is>
      </c>
      <c r="H40" s="16" t="inlineStr">
        <is>
          <t>Medium</t>
        </is>
      </c>
      <c r="I40" s="16" t="inlineStr">
        <is>
          <t>RACHEL CLOIX</t>
        </is>
      </c>
      <c r="J40" s="16" t="inlineStr">
        <is>
          <t>[R&amp;D] - INTERFACE DP - VYP - Remontée du réel</t>
        </is>
      </c>
      <c r="K40" s="15" t="n">
        <v>46070.43891203704</v>
      </c>
      <c r="L40" s="15" t="n">
        <v>46126.6234375</v>
      </c>
      <c r="M40" s="19" t="n">
        <v>110.9</v>
      </c>
      <c r="N40" s="19" t="n">
        <v>54.71</v>
      </c>
      <c r="O40" s="16" t="b">
        <v>0</v>
      </c>
      <c r="P40" s="16" t="inlineStr">
        <is>
          <t>missing</t>
        </is>
      </c>
      <c r="Q40" s="16" t="n">
        <v>3</v>
      </c>
      <c r="R40" s="16" t="n">
        <v>0</v>
      </c>
      <c r="S40" s="16" t="n">
        <v>0</v>
      </c>
      <c r="T40" s="16" t="inlineStr">
        <is>
          <t>https://data-servier.atlassian.net/browse/PPMG-1491</t>
        </is>
      </c>
    </row>
    <row r="41">
      <c r="A41" s="16" t="inlineStr">
        <is>
          <t>360846</t>
        </is>
      </c>
      <c r="B41" s="16" t="inlineStr">
        <is>
          <t>PPMG-1495</t>
        </is>
      </c>
      <c r="C41" s="16" t="inlineStr">
        <is>
          <t>PPMG-1495</t>
        </is>
      </c>
      <c r="D41" s="16" t="inlineStr"/>
      <c r="E41" s="16" t="inlineStr">
        <is>
          <t>Ouvert</t>
        </is>
      </c>
      <c r="F41" s="16" t="inlineStr">
        <is>
          <t>new</t>
        </is>
      </c>
      <c r="G41" s="16" t="inlineStr">
        <is>
          <t>Bug</t>
        </is>
      </c>
      <c r="H41" s="16" t="inlineStr">
        <is>
          <t>Medium</t>
        </is>
      </c>
      <c r="I41" s="16" t="inlineStr">
        <is>
          <t>Patrick PONCET</t>
        </is>
      </c>
      <c r="J41" s="16" t="inlineStr">
        <is>
          <t>[OTD209092] [COST &amp; LOAD] Répartition mensuelle différente entre des Forecast &amp; Actuals identiques sur une saisie à l'année</t>
        </is>
      </c>
      <c r="K41" s="15" t="n">
        <v>46071.48171296297</v>
      </c>
      <c r="L41" s="15" t="n">
        <v>46140.41614583333</v>
      </c>
      <c r="M41" s="19" t="n">
        <v>109.86</v>
      </c>
      <c r="N41" s="19" t="n">
        <v>40.92</v>
      </c>
      <c r="O41" s="16" t="b">
        <v>0</v>
      </c>
      <c r="P41" s="16" t="inlineStr">
        <is>
          <t>missing</t>
        </is>
      </c>
      <c r="Q41" s="16" t="n">
        <v>0</v>
      </c>
      <c r="R41" s="16" t="n">
        <v>0</v>
      </c>
      <c r="S41" s="16" t="n">
        <v>0</v>
      </c>
      <c r="T41" s="16" t="inlineStr">
        <is>
          <t>https://data-servier.atlassian.net/browse/PPMG-1495</t>
        </is>
      </c>
    </row>
    <row r="42">
      <c r="A42" s="16" t="inlineStr">
        <is>
          <t>362615</t>
        </is>
      </c>
      <c r="B42" s="16" t="inlineStr">
        <is>
          <t>PPMG-1498</t>
        </is>
      </c>
      <c r="C42" s="16" t="inlineStr">
        <is>
          <t>PPMG-1498</t>
        </is>
      </c>
      <c r="D42" s="16" t="inlineStr">
        <is>
          <t>Sprint 17 2026</t>
        </is>
      </c>
      <c r="E42" s="16" t="inlineStr">
        <is>
          <t>Backlog</t>
        </is>
      </c>
      <c r="F42" s="16" t="inlineStr">
        <is>
          <t>new</t>
        </is>
      </c>
      <c r="G42" s="16" t="inlineStr">
        <is>
          <t>Story</t>
        </is>
      </c>
      <c r="H42" s="16" t="inlineStr">
        <is>
          <t>Medium</t>
        </is>
      </c>
      <c r="I42" s="16" t="inlineStr">
        <is>
          <t>RACHEL CLOIX</t>
        </is>
      </c>
      <c r="J42" s="16" t="inlineStr">
        <is>
          <t>[A compléter] Interface VYP - MDM Group Project</t>
        </is>
      </c>
      <c r="K42" s="15" t="n">
        <v>46076.56217592592</v>
      </c>
      <c r="L42" s="15" t="n">
        <v>46106.38292824074</v>
      </c>
      <c r="M42" s="19" t="n">
        <v>104.78</v>
      </c>
      <c r="N42" s="19" t="n">
        <v>74.95999999999999</v>
      </c>
      <c r="O42" s="16" t="b">
        <v>0</v>
      </c>
      <c r="P42" s="16" t="inlineStr">
        <is>
          <t>missing</t>
        </is>
      </c>
      <c r="Q42" s="16" t="n">
        <v>0</v>
      </c>
      <c r="R42" s="16" t="n">
        <v>0</v>
      </c>
      <c r="S42" s="16" t="n">
        <v>0</v>
      </c>
      <c r="T42" s="16" t="inlineStr">
        <is>
          <t>https://data-servier.atlassian.net/browse/PPMG-1498</t>
        </is>
      </c>
    </row>
    <row r="43">
      <c r="A43" s="16" t="inlineStr">
        <is>
          <t>362723</t>
        </is>
      </c>
      <c r="B43" s="16" t="inlineStr">
        <is>
          <t>PPMG-1500</t>
        </is>
      </c>
      <c r="C43" s="16" t="inlineStr">
        <is>
          <t>PPMG-1500</t>
        </is>
      </c>
      <c r="D43" s="16" t="inlineStr"/>
      <c r="E43" s="16" t="inlineStr">
        <is>
          <t>Ouvert</t>
        </is>
      </c>
      <c r="F43" s="16" t="inlineStr">
        <is>
          <t>new</t>
        </is>
      </c>
      <c r="G43" s="16" t="inlineStr">
        <is>
          <t>Bug</t>
        </is>
      </c>
      <c r="H43" s="16" t="inlineStr">
        <is>
          <t>Medium</t>
        </is>
      </c>
      <c r="I43" s="16" t="inlineStr">
        <is>
          <t>Romain CIESLIK</t>
        </is>
      </c>
      <c r="J43" s="16" t="inlineStr">
        <is>
          <t>[OTD XXX] [INC0853680] - La recherche globale via 'filter' ne retourne aucun résultat après sélection d’un portefeuille dans ALL PROJECTS</t>
        </is>
      </c>
      <c r="K43" s="15" t="n">
        <v>46076.64672453704</v>
      </c>
      <c r="L43" s="15" t="n">
        <v>46133.413125</v>
      </c>
      <c r="M43" s="19" t="n">
        <v>104.69</v>
      </c>
      <c r="N43" s="19" t="n">
        <v>47.93</v>
      </c>
      <c r="O43" s="16" t="b">
        <v>0</v>
      </c>
      <c r="P43" s="16" t="inlineStr">
        <is>
          <t>missing</t>
        </is>
      </c>
      <c r="Q43" s="16" t="n">
        <v>0</v>
      </c>
      <c r="R43" s="16" t="n">
        <v>0</v>
      </c>
      <c r="S43" s="16" t="n">
        <v>0</v>
      </c>
      <c r="T43" s="16" t="inlineStr">
        <is>
          <t>https://data-servier.atlassian.net/browse/PPMG-1500</t>
        </is>
      </c>
    </row>
    <row r="44">
      <c r="A44" s="16" t="inlineStr">
        <is>
          <t>363136</t>
        </is>
      </c>
      <c r="B44" s="16" t="inlineStr">
        <is>
          <t>PPMG-1501</t>
        </is>
      </c>
      <c r="C44" s="16" t="inlineStr">
        <is>
          <t>PPMG-1501</t>
        </is>
      </c>
      <c r="D44" s="16" t="inlineStr">
        <is>
          <t>Sprint 14 2026; Sprint 15 2026</t>
        </is>
      </c>
      <c r="E44" s="16" t="inlineStr">
        <is>
          <t>Backlog</t>
        </is>
      </c>
      <c r="F44" s="16" t="inlineStr">
        <is>
          <t>new</t>
        </is>
      </c>
      <c r="G44" s="16" t="inlineStr">
        <is>
          <t>Story</t>
        </is>
      </c>
      <c r="H44" s="16" t="inlineStr">
        <is>
          <t>Highest</t>
        </is>
      </c>
      <c r="I44" s="16" t="inlineStr">
        <is>
          <t>RACHEL CLOIX</t>
        </is>
      </c>
      <c r="J44" s="16" t="inlineStr">
        <is>
          <t>Double comptabilisation du forecast sur la page Cost &amp; Load ( au niveau Projet + WorkPackages)</t>
        </is>
      </c>
      <c r="K44" s="15" t="n">
        <v>46077.45188657408</v>
      </c>
      <c r="L44" s="15" t="n">
        <v>46126.6234375</v>
      </c>
      <c r="M44" s="19" t="n">
        <v>103.89</v>
      </c>
      <c r="N44" s="19" t="n">
        <v>54.71</v>
      </c>
      <c r="O44" s="16" t="b">
        <v>0</v>
      </c>
      <c r="P44" s="16" t="inlineStr">
        <is>
          <t>missing</t>
        </is>
      </c>
      <c r="Q44" s="16" t="n">
        <v>0</v>
      </c>
      <c r="R44" s="16" t="n">
        <v>3</v>
      </c>
      <c r="S44" s="16" t="n">
        <v>1</v>
      </c>
      <c r="T44" s="16" t="inlineStr">
        <is>
          <t>https://data-servier.atlassian.net/browse/PPMG-1501</t>
        </is>
      </c>
    </row>
    <row r="45">
      <c r="A45" s="16" t="inlineStr">
        <is>
          <t>363485</t>
        </is>
      </c>
      <c r="B45" s="16" t="inlineStr">
        <is>
          <t>PPMG-1502</t>
        </is>
      </c>
      <c r="C45" s="16" t="inlineStr">
        <is>
          <t>PPMG-1502</t>
        </is>
      </c>
      <c r="D45" s="16" t="inlineStr">
        <is>
          <t>Sprint 17 2026</t>
        </is>
      </c>
      <c r="E45" s="16" t="inlineStr">
        <is>
          <t>Ready for Development</t>
        </is>
      </c>
      <c r="F45" s="16" t="inlineStr">
        <is>
          <t>new</t>
        </is>
      </c>
      <c r="G45" s="16" t="inlineStr">
        <is>
          <t>Story</t>
        </is>
      </c>
      <c r="H45" s="16" t="inlineStr">
        <is>
          <t>Highest</t>
        </is>
      </c>
      <c r="I45" s="16" t="inlineStr">
        <is>
          <t>Patrick PONCET</t>
        </is>
      </c>
      <c r="J45" s="16" t="inlineStr">
        <is>
          <t>[Ergonomie] Page Properties - Initiative Summary</t>
        </is>
      </c>
      <c r="K45" s="15" t="n">
        <v>46077.66760416667</v>
      </c>
      <c r="L45" s="15" t="n">
        <v>46146.61972222223</v>
      </c>
      <c r="M45" s="19" t="n">
        <v>103.67</v>
      </c>
      <c r="N45" s="19" t="n">
        <v>34.72</v>
      </c>
      <c r="O45" s="16" t="b">
        <v>1</v>
      </c>
      <c r="P45" s="16" t="inlineStr">
        <is>
          <t>customfield: Acceptance Criteria</t>
        </is>
      </c>
      <c r="Q45" s="16" t="n">
        <v>0</v>
      </c>
      <c r="R45" s="16" t="n">
        <v>2</v>
      </c>
      <c r="S45" s="16" t="n">
        <v>0</v>
      </c>
      <c r="T45" s="16" t="inlineStr">
        <is>
          <t>https://data-servier.atlassian.net/browse/PPMG-1502</t>
        </is>
      </c>
    </row>
    <row r="46">
      <c r="A46" s="16" t="inlineStr">
        <is>
          <t>363513</t>
        </is>
      </c>
      <c r="B46" s="16" t="inlineStr">
        <is>
          <t>PPMG-1503</t>
        </is>
      </c>
      <c r="C46" s="16" t="inlineStr">
        <is>
          <t>PPMG-1503</t>
        </is>
      </c>
      <c r="D46" s="16" t="inlineStr">
        <is>
          <t>Sprint 17 2026</t>
        </is>
      </c>
      <c r="E46" s="16" t="inlineStr">
        <is>
          <t>Backlog</t>
        </is>
      </c>
      <c r="F46" s="16" t="inlineStr">
        <is>
          <t>new</t>
        </is>
      </c>
      <c r="G46" s="16" t="inlineStr">
        <is>
          <t>Story</t>
        </is>
      </c>
      <c r="H46" s="16" t="inlineStr">
        <is>
          <t>Medium</t>
        </is>
      </c>
      <c r="I46" s="16" t="inlineStr">
        <is>
          <t>Yosra MANAI</t>
        </is>
      </c>
      <c r="J46" s="16" t="inlineStr">
        <is>
          <t>[Ergonomie] Dashboard &gt; ID Card</t>
        </is>
      </c>
      <c r="K46" s="15" t="n">
        <v>46077.71552083334</v>
      </c>
      <c r="L46" s="15" t="n">
        <v>46141.50280092593</v>
      </c>
      <c r="M46" s="19" t="n">
        <v>103.62</v>
      </c>
      <c r="N46" s="19" t="n">
        <v>39.84</v>
      </c>
      <c r="O46" s="16" t="b">
        <v>1</v>
      </c>
      <c r="P46" s="16" t="inlineStr">
        <is>
          <t>description: expected/acceptance markers</t>
        </is>
      </c>
      <c r="Q46" s="16" t="n">
        <v>0</v>
      </c>
      <c r="R46" s="16" t="n">
        <v>0</v>
      </c>
      <c r="S46" s="16" t="n">
        <v>0</v>
      </c>
      <c r="T46" s="16" t="inlineStr">
        <is>
          <t>https://data-servier.atlassian.net/browse/PPMG-1503</t>
        </is>
      </c>
    </row>
    <row r="47">
      <c r="A47" s="16" t="inlineStr">
        <is>
          <t>363523</t>
        </is>
      </c>
      <c r="B47" s="16" t="inlineStr">
        <is>
          <t>PPMG-1504</t>
        </is>
      </c>
      <c r="C47" s="16" t="inlineStr">
        <is>
          <t>PPMG-1504</t>
        </is>
      </c>
      <c r="D47" s="16" t="inlineStr">
        <is>
          <t>Sprint 17 2026</t>
        </is>
      </c>
      <c r="E47" s="16" t="inlineStr">
        <is>
          <t>Backlog</t>
        </is>
      </c>
      <c r="F47" s="16" t="inlineStr">
        <is>
          <t>new</t>
        </is>
      </c>
      <c r="G47" s="16" t="inlineStr">
        <is>
          <t>Story</t>
        </is>
      </c>
      <c r="H47" s="16" t="inlineStr">
        <is>
          <t>Medium</t>
        </is>
      </c>
      <c r="I47" s="16" t="inlineStr">
        <is>
          <t>Yosra MANAI</t>
        </is>
      </c>
      <c r="J47" s="16" t="inlineStr">
        <is>
          <t>[Ergonomie] Dashboard &gt; Initiative Dashboard</t>
        </is>
      </c>
      <c r="K47" s="15" t="n">
        <v>46077.71946759259</v>
      </c>
      <c r="L47" s="15" t="n">
        <v>46141.5029050926</v>
      </c>
      <c r="M47" s="19" t="n">
        <v>103.62</v>
      </c>
      <c r="N47" s="19" t="n">
        <v>39.84</v>
      </c>
      <c r="O47" s="16" t="b">
        <v>1</v>
      </c>
      <c r="P47" s="16" t="inlineStr">
        <is>
          <t>description: expected/acceptance markers</t>
        </is>
      </c>
      <c r="Q47" s="16" t="n">
        <v>0</v>
      </c>
      <c r="R47" s="16" t="n">
        <v>0</v>
      </c>
      <c r="S47" s="16" t="n">
        <v>0</v>
      </c>
      <c r="T47" s="16" t="inlineStr">
        <is>
          <t>https://data-servier.atlassian.net/browse/PPMG-1504</t>
        </is>
      </c>
    </row>
    <row r="48">
      <c r="A48" s="16" t="inlineStr">
        <is>
          <t>363885</t>
        </is>
      </c>
      <c r="B48" s="16" t="inlineStr">
        <is>
          <t>PPMG-1505</t>
        </is>
      </c>
      <c r="C48" s="16" t="inlineStr">
        <is>
          <t>PPMG-1505</t>
        </is>
      </c>
      <c r="D48" s="16" t="inlineStr">
        <is>
          <t>Sprint 17 2026</t>
        </is>
      </c>
      <c r="E48" s="16" t="inlineStr">
        <is>
          <t>Backlog</t>
        </is>
      </c>
      <c r="F48" s="16" t="inlineStr">
        <is>
          <t>new</t>
        </is>
      </c>
      <c r="G48" s="16" t="inlineStr">
        <is>
          <t>Story</t>
        </is>
      </c>
      <c r="H48" s="16" t="inlineStr">
        <is>
          <t>Medium</t>
        </is>
      </c>
      <c r="I48" s="16" t="inlineStr">
        <is>
          <t>RACHEL CLOIX</t>
        </is>
      </c>
      <c r="J48" s="16" t="inlineStr">
        <is>
          <t>[MDM Référentiel Projet Groupe] Impacts VYP et Interface VYP-MDM ref Projet Groupe</t>
        </is>
      </c>
      <c r="K48" s="15" t="n">
        <v>46078.45978009259</v>
      </c>
      <c r="L48" s="15" t="n">
        <v>46106.38258101852</v>
      </c>
      <c r="M48" s="19" t="n">
        <v>102.88</v>
      </c>
      <c r="N48" s="19" t="n">
        <v>74.95999999999999</v>
      </c>
      <c r="O48" s="16" t="b">
        <v>0</v>
      </c>
      <c r="P48" s="16" t="inlineStr">
        <is>
          <t>missing</t>
        </is>
      </c>
      <c r="Q48" s="16" t="n">
        <v>1</v>
      </c>
      <c r="R48" s="16" t="n">
        <v>0</v>
      </c>
      <c r="S48" s="16" t="n">
        <v>0</v>
      </c>
      <c r="T48" s="16" t="inlineStr">
        <is>
          <t>https://data-servier.atlassian.net/browse/PPMG-1505</t>
        </is>
      </c>
    </row>
    <row r="49">
      <c r="A49" s="16" t="inlineStr">
        <is>
          <t>366711</t>
        </is>
      </c>
      <c r="B49" s="16" t="inlineStr">
        <is>
          <t>PPMG-1507</t>
        </is>
      </c>
      <c r="C49" s="16" t="inlineStr">
        <is>
          <t>PPMG-1507</t>
        </is>
      </c>
      <c r="D49" s="16" t="inlineStr"/>
      <c r="E49" s="16" t="inlineStr">
        <is>
          <t>Ouvert</t>
        </is>
      </c>
      <c r="F49" s="16" t="inlineStr">
        <is>
          <t>new</t>
        </is>
      </c>
      <c r="G49" s="16" t="inlineStr">
        <is>
          <t>Bug</t>
        </is>
      </c>
      <c r="H49" s="16" t="inlineStr">
        <is>
          <t>Low</t>
        </is>
      </c>
      <c r="I49" s="16" t="inlineStr">
        <is>
          <t>Yassine BOUARI</t>
        </is>
      </c>
      <c r="J49" s="16" t="inlineStr">
        <is>
          <t>"Forecast up to date" - dysfonctionnement</t>
        </is>
      </c>
      <c r="K49" s="15" t="n">
        <v>46083.71118055555</v>
      </c>
      <c r="L49" s="15" t="n">
        <v>46174.63803240741</v>
      </c>
      <c r="M49" s="19" t="n">
        <v>97.63</v>
      </c>
      <c r="N49" s="19" t="n">
        <v>6.7</v>
      </c>
      <c r="O49" s="16" t="b">
        <v>0</v>
      </c>
      <c r="P49" s="16" t="inlineStr">
        <is>
          <t>missing</t>
        </is>
      </c>
      <c r="Q49" s="16" t="n">
        <v>1</v>
      </c>
      <c r="R49" s="16" t="n">
        <v>4</v>
      </c>
      <c r="S49" s="16" t="n">
        <v>0</v>
      </c>
      <c r="T49" s="16" t="inlineStr">
        <is>
          <t>https://data-servier.atlassian.net/browse/PPMG-1507</t>
        </is>
      </c>
    </row>
    <row r="50">
      <c r="A50" s="16" t="inlineStr">
        <is>
          <t>367082</t>
        </is>
      </c>
      <c r="B50" s="16" t="inlineStr">
        <is>
          <t>PPMG-1508</t>
        </is>
      </c>
      <c r="C50" s="16" t="inlineStr">
        <is>
          <t>PPMG-1508</t>
        </is>
      </c>
      <c r="D50" s="16" t="inlineStr">
        <is>
          <t>Sprint 15 2026</t>
        </is>
      </c>
      <c r="E50" s="16" t="inlineStr">
        <is>
          <t>Analyse</t>
        </is>
      </c>
      <c r="F50" s="16" t="inlineStr">
        <is>
          <t>indeterminate</t>
        </is>
      </c>
      <c r="G50" s="16" t="inlineStr">
        <is>
          <t>Story</t>
        </is>
      </c>
      <c r="H50" s="16" t="inlineStr">
        <is>
          <t>Highest</t>
        </is>
      </c>
      <c r="I50" s="16" t="inlineStr">
        <is>
          <t>Non assigné</t>
        </is>
      </c>
      <c r="J50" s="16" t="inlineStr">
        <is>
          <t>[AMOA] [TEST] Création de profils utilisateurs IO et PFM en PROD pour testing</t>
        </is>
      </c>
      <c r="K50" s="15" t="n">
        <v>46084.44695601852</v>
      </c>
      <c r="L50" s="15" t="n">
        <v>46108.63663194444</v>
      </c>
      <c r="M50" s="19" t="n">
        <v>96.89</v>
      </c>
      <c r="N50" s="19" t="n">
        <v>72.7</v>
      </c>
      <c r="O50" s="16" t="b">
        <v>0</v>
      </c>
      <c r="P50" s="16" t="inlineStr">
        <is>
          <t>missing</t>
        </is>
      </c>
      <c r="Q50" s="16" t="n">
        <v>0</v>
      </c>
      <c r="R50" s="16" t="n">
        <v>0</v>
      </c>
      <c r="S50" s="16" t="n">
        <v>0</v>
      </c>
      <c r="T50" s="16" t="inlineStr">
        <is>
          <t>https://data-servier.atlassian.net/browse/PPMG-1508</t>
        </is>
      </c>
    </row>
    <row r="51">
      <c r="A51" s="16" t="inlineStr">
        <is>
          <t>371407</t>
        </is>
      </c>
      <c r="B51" s="16" t="inlineStr">
        <is>
          <t>PPMG-1512</t>
        </is>
      </c>
      <c r="C51" s="16" t="inlineStr">
        <is>
          <t>PPMG-1512</t>
        </is>
      </c>
      <c r="D51" s="16" t="inlineStr"/>
      <c r="E51" s="16" t="inlineStr">
        <is>
          <t>Backlog</t>
        </is>
      </c>
      <c r="F51" s="16" t="inlineStr">
        <is>
          <t>new</t>
        </is>
      </c>
      <c r="G51" s="16" t="inlineStr">
        <is>
          <t>Story</t>
        </is>
      </c>
      <c r="H51" s="16" t="inlineStr">
        <is>
          <t>Medium</t>
        </is>
      </c>
      <c r="I51" s="16" t="inlineStr">
        <is>
          <t>Typhaine MICHEL</t>
        </is>
      </c>
      <c r="J51" s="16" t="inlineStr">
        <is>
          <t>[COST&amp;LOAD] Saisie des coûts sur un workpackage</t>
        </is>
      </c>
      <c r="K51" s="15" t="n">
        <v>46091.19667824074</v>
      </c>
      <c r="L51" s="15" t="n">
        <v>46106.38217592592</v>
      </c>
      <c r="M51" s="19" t="n">
        <v>90.14</v>
      </c>
      <c r="N51" s="19" t="n">
        <v>74.95999999999999</v>
      </c>
      <c r="O51" s="16" t="b">
        <v>0</v>
      </c>
      <c r="P51" s="16" t="inlineStr">
        <is>
          <t>missing</t>
        </is>
      </c>
      <c r="Q51" s="16" t="n">
        <v>1</v>
      </c>
      <c r="R51" s="16" t="n">
        <v>0</v>
      </c>
      <c r="S51" s="16" t="n">
        <v>0</v>
      </c>
      <c r="T51" s="16" t="inlineStr">
        <is>
          <t>https://data-servier.atlassian.net/browse/PPMG-1512</t>
        </is>
      </c>
    </row>
    <row r="52">
      <c r="A52" s="16" t="inlineStr">
        <is>
          <t>372247</t>
        </is>
      </c>
      <c r="B52" s="16" t="inlineStr">
        <is>
          <t>PPMG-1516</t>
        </is>
      </c>
      <c r="C52" s="16" t="inlineStr">
        <is>
          <t>PPMG-1516</t>
        </is>
      </c>
      <c r="D52" s="16" t="inlineStr">
        <is>
          <t>Sprint 17 2026</t>
        </is>
      </c>
      <c r="E52" s="16" t="inlineStr">
        <is>
          <t>Ready for Development</t>
        </is>
      </c>
      <c r="F52" s="16" t="inlineStr">
        <is>
          <t>new</t>
        </is>
      </c>
      <c r="G52" s="16" t="inlineStr">
        <is>
          <t>Story</t>
        </is>
      </c>
      <c r="H52" s="16" t="inlineStr">
        <is>
          <t>Highest</t>
        </is>
      </c>
      <c r="I52" s="16" t="inlineStr">
        <is>
          <t>Yassine BOUARI</t>
        </is>
      </c>
      <c r="J52" s="16" t="inlineStr">
        <is>
          <t>[Ergonomie] Page Gantt - Mode Fold</t>
        </is>
      </c>
      <c r="K52" s="15" t="n">
        <v>46092.58722222222</v>
      </c>
      <c r="L52" s="15" t="n">
        <v>46141.50145833333</v>
      </c>
      <c r="M52" s="19" t="n">
        <v>88.75</v>
      </c>
      <c r="N52" s="19" t="n">
        <v>39.84</v>
      </c>
      <c r="O52" s="16" t="b">
        <v>1</v>
      </c>
      <c r="P52" s="16" t="inlineStr">
        <is>
          <t>customfield: Acceptance Criteria</t>
        </is>
      </c>
      <c r="Q52" s="16" t="n">
        <v>3</v>
      </c>
      <c r="R52" s="16" t="n">
        <v>1</v>
      </c>
      <c r="S52" s="16" t="n">
        <v>1</v>
      </c>
      <c r="T52" s="16" t="inlineStr">
        <is>
          <t>https://data-servier.atlassian.net/browse/PPMG-1516</t>
        </is>
      </c>
    </row>
    <row r="53">
      <c r="A53" s="16" t="inlineStr">
        <is>
          <t>372342</t>
        </is>
      </c>
      <c r="B53" s="16" t="inlineStr">
        <is>
          <t>PPMG-1517</t>
        </is>
      </c>
      <c r="C53" s="16" t="inlineStr">
        <is>
          <t>PPMG-1517</t>
        </is>
      </c>
      <c r="D53" s="16" t="inlineStr">
        <is>
          <t>Sprint 15 2026</t>
        </is>
      </c>
      <c r="E53" s="16" t="inlineStr">
        <is>
          <t>Backlog</t>
        </is>
      </c>
      <c r="F53" s="16" t="inlineStr">
        <is>
          <t>new</t>
        </is>
      </c>
      <c r="G53" s="16" t="inlineStr">
        <is>
          <t>Story</t>
        </is>
      </c>
      <c r="H53" s="16" t="inlineStr">
        <is>
          <t>Medium</t>
        </is>
      </c>
      <c r="I53" s="16" t="inlineStr">
        <is>
          <t>Typhaine MICHEL</t>
        </is>
      </c>
      <c r="J53" s="16" t="inlineStr">
        <is>
          <t>[Risques] Risk amelioration/Evolutions - 3 (Export/Import)</t>
        </is>
      </c>
      <c r="K53" s="15" t="n">
        <v>46092.66225694444</v>
      </c>
      <c r="L53" s="15" t="n">
        <v>46155.42408564815</v>
      </c>
      <c r="M53" s="19" t="n">
        <v>88.68000000000001</v>
      </c>
      <c r="N53" s="19" t="n">
        <v>25.91</v>
      </c>
      <c r="O53" s="16" t="b">
        <v>1</v>
      </c>
      <c r="P53" s="16" t="inlineStr">
        <is>
          <t>customfield: Acceptance Criteria</t>
        </is>
      </c>
      <c r="Q53" s="16" t="n">
        <v>8</v>
      </c>
      <c r="R53" s="16" t="n">
        <v>1</v>
      </c>
      <c r="S53" s="16" t="n">
        <v>0</v>
      </c>
      <c r="T53" s="16" t="inlineStr">
        <is>
          <t>https://data-servier.atlassian.net/browse/PPMG-1517</t>
        </is>
      </c>
    </row>
    <row r="54">
      <c r="A54" s="16" t="inlineStr">
        <is>
          <t>375988</t>
        </is>
      </c>
      <c r="B54" s="16" t="inlineStr">
        <is>
          <t>PPMG-1521</t>
        </is>
      </c>
      <c r="C54" s="16" t="inlineStr">
        <is>
          <t>PPMG-1521</t>
        </is>
      </c>
      <c r="D54" s="16" t="inlineStr"/>
      <c r="E54" s="16" t="inlineStr">
        <is>
          <t>Ouvert</t>
        </is>
      </c>
      <c r="F54" s="16" t="inlineStr">
        <is>
          <t>new</t>
        </is>
      </c>
      <c r="G54" s="16" t="inlineStr">
        <is>
          <t>Bug</t>
        </is>
      </c>
      <c r="H54" s="16" t="inlineStr">
        <is>
          <t>Medium</t>
        </is>
      </c>
      <c r="I54" s="16" t="inlineStr">
        <is>
          <t>Romain CIESLIK</t>
        </is>
      </c>
      <c r="J54" s="16" t="inlineStr">
        <is>
          <t>Ligne dans Planned hours avec un cost account vide</t>
        </is>
      </c>
      <c r="K54" s="15" t="n">
        <v>46100.38328703704</v>
      </c>
      <c r="L54" s="15" t="n">
        <v>46133.41092592593</v>
      </c>
      <c r="M54" s="19" t="n">
        <v>80.95</v>
      </c>
      <c r="N54" s="19" t="n">
        <v>47.93</v>
      </c>
      <c r="O54" s="16" t="b">
        <v>1</v>
      </c>
      <c r="P54" s="16" t="inlineStr">
        <is>
          <t>customfield: Acceptance Criteria</t>
        </is>
      </c>
      <c r="Q54" s="16" t="n">
        <v>0</v>
      </c>
      <c r="R54" s="16" t="n">
        <v>1</v>
      </c>
      <c r="S54" s="16" t="n">
        <v>0</v>
      </c>
      <c r="T54" s="16" t="inlineStr">
        <is>
          <t>https://data-servier.atlassian.net/browse/PPMG-1521</t>
        </is>
      </c>
    </row>
    <row r="55">
      <c r="A55" s="16" t="inlineStr">
        <is>
          <t>380552</t>
        </is>
      </c>
      <c r="B55" s="16" t="inlineStr">
        <is>
          <t>PPMG-1525</t>
        </is>
      </c>
      <c r="C55" s="16" t="inlineStr">
        <is>
          <t>PPMG-1525</t>
        </is>
      </c>
      <c r="D55" s="16" t="inlineStr">
        <is>
          <t>Sprint 15 2026</t>
        </is>
      </c>
      <c r="E55" s="16" t="inlineStr">
        <is>
          <t>Go Prod</t>
        </is>
      </c>
      <c r="F55" s="16" t="inlineStr">
        <is>
          <t>indeterminate</t>
        </is>
      </c>
      <c r="G55" s="16" t="inlineStr">
        <is>
          <t>Story</t>
        </is>
      </c>
      <c r="H55" s="16" t="inlineStr">
        <is>
          <t>Highest</t>
        </is>
      </c>
      <c r="I55" s="16" t="inlineStr">
        <is>
          <t>Yassine BOUARI</t>
        </is>
      </c>
      <c r="J55" s="16" t="inlineStr">
        <is>
          <t>[AMOA] Mise à jour OBS -&gt; Department Lead &amp; Department Involved</t>
        </is>
      </c>
      <c r="K55" s="15" t="n">
        <v>46108.61894675926</v>
      </c>
      <c r="L55" s="15" t="n">
        <v>46178.4174537037</v>
      </c>
      <c r="M55" s="19" t="n">
        <v>72.72</v>
      </c>
      <c r="N55" s="19" t="n">
        <v>2.92</v>
      </c>
      <c r="O55" s="16" t="b">
        <v>0</v>
      </c>
      <c r="P55" s="16" t="inlineStr">
        <is>
          <t>missing</t>
        </is>
      </c>
      <c r="Q55" s="16" t="n">
        <v>22</v>
      </c>
      <c r="R55" s="16" t="n">
        <v>19</v>
      </c>
      <c r="S55" s="16" t="n">
        <v>0</v>
      </c>
      <c r="T55" s="16" t="inlineStr">
        <is>
          <t>https://data-servier.atlassian.net/browse/PPMG-1525</t>
        </is>
      </c>
    </row>
    <row r="56">
      <c r="A56" s="16" t="inlineStr">
        <is>
          <t>382354</t>
        </is>
      </c>
      <c r="B56" s="16" t="inlineStr">
        <is>
          <t>PPMG-1527</t>
        </is>
      </c>
      <c r="C56" s="16" t="inlineStr">
        <is>
          <t>PPMG-1527</t>
        </is>
      </c>
      <c r="D56" s="16" t="inlineStr">
        <is>
          <t>Sprint 15 2026</t>
        </is>
      </c>
      <c r="E56" s="16" t="inlineStr">
        <is>
          <t>Ouvert</t>
        </is>
      </c>
      <c r="F56" s="16" t="inlineStr">
        <is>
          <t>new</t>
        </is>
      </c>
      <c r="G56" s="16" t="inlineStr">
        <is>
          <t>Bug</t>
        </is>
      </c>
      <c r="H56" s="16" t="inlineStr">
        <is>
          <t>High</t>
        </is>
      </c>
      <c r="I56" s="16" t="inlineStr">
        <is>
          <t>Romain CIESLIK</t>
        </is>
      </c>
      <c r="J56" s="16" t="inlineStr">
        <is>
          <t>[INC0874083] - Changement de catégorie non pris en compte Value Business Case</t>
        </is>
      </c>
      <c r="K56" s="15" t="n">
        <v>46113.44503472222</v>
      </c>
      <c r="L56" s="15" t="n">
        <v>46140.41571759259</v>
      </c>
      <c r="M56" s="19" t="n">
        <v>67.89</v>
      </c>
      <c r="N56" s="19" t="n">
        <v>40.92</v>
      </c>
      <c r="O56" s="16" t="b">
        <v>0</v>
      </c>
      <c r="P56" s="16" t="inlineStr">
        <is>
          <t>missing</t>
        </is>
      </c>
      <c r="Q56" s="16" t="n">
        <v>0</v>
      </c>
      <c r="R56" s="16" t="n">
        <v>1</v>
      </c>
      <c r="S56" s="16" t="n">
        <v>0</v>
      </c>
      <c r="T56" s="16" t="inlineStr">
        <is>
          <t>https://data-servier.atlassian.net/browse/PPMG-1527</t>
        </is>
      </c>
    </row>
    <row r="57">
      <c r="A57" s="16" t="inlineStr">
        <is>
          <t>382401</t>
        </is>
      </c>
      <c r="B57" s="16" t="inlineStr">
        <is>
          <t>PPMG-1528</t>
        </is>
      </c>
      <c r="C57" s="16" t="inlineStr">
        <is>
          <t>PPMG-1528</t>
        </is>
      </c>
      <c r="D57" s="16" t="inlineStr">
        <is>
          <t>Sprint 15 2026</t>
        </is>
      </c>
      <c r="E57" s="16" t="inlineStr">
        <is>
          <t>Backlog</t>
        </is>
      </c>
      <c r="F57" s="16" t="inlineStr">
        <is>
          <t>new</t>
        </is>
      </c>
      <c r="G57" s="16" t="inlineStr">
        <is>
          <t>Story</t>
        </is>
      </c>
      <c r="H57" s="16" t="inlineStr">
        <is>
          <t>Highest</t>
        </is>
      </c>
      <c r="I57" s="16" t="inlineStr">
        <is>
          <t>RACHEL CLOIX</t>
        </is>
      </c>
      <c r="J57" s="16" t="inlineStr">
        <is>
          <t>[R&amp;D] Remontée du réel - Evolution du dev suite à reprise du besoin</t>
        </is>
      </c>
      <c r="K57" s="15" t="n">
        <v>46113.5147337963</v>
      </c>
      <c r="L57" s="15" t="n">
        <v>46113.51561342592</v>
      </c>
      <c r="M57" s="19" t="n">
        <v>67.81999999999999</v>
      </c>
      <c r="N57" s="19" t="n">
        <v>67.81999999999999</v>
      </c>
      <c r="O57" s="16" t="b">
        <v>0</v>
      </c>
      <c r="P57" s="16" t="inlineStr">
        <is>
          <t>missing</t>
        </is>
      </c>
      <c r="Q57" s="16" t="n">
        <v>0</v>
      </c>
      <c r="R57" s="16" t="n">
        <v>0</v>
      </c>
      <c r="S57" s="16" t="n">
        <v>0</v>
      </c>
      <c r="T57" s="16" t="inlineStr">
        <is>
          <t>https://data-servier.atlassian.net/browse/PPMG-1528</t>
        </is>
      </c>
    </row>
    <row r="58">
      <c r="A58" s="16" t="inlineStr">
        <is>
          <t>384372</t>
        </is>
      </c>
      <c r="B58" s="16" t="inlineStr">
        <is>
          <t>PPMG-1530</t>
        </is>
      </c>
      <c r="C58" s="16" t="inlineStr">
        <is>
          <t>PPMG-1530</t>
        </is>
      </c>
      <c r="D58" s="16" t="inlineStr"/>
      <c r="E58" s="16" t="inlineStr">
        <is>
          <t>Backlog</t>
        </is>
      </c>
      <c r="F58" s="16" t="inlineStr">
        <is>
          <t>new</t>
        </is>
      </c>
      <c r="G58" s="16" t="inlineStr">
        <is>
          <t>Story</t>
        </is>
      </c>
      <c r="H58" s="16" t="inlineStr">
        <is>
          <t>Medium</t>
        </is>
      </c>
      <c r="I58" s="16" t="inlineStr">
        <is>
          <t>Non assigné</t>
        </is>
      </c>
      <c r="J58" s="16" t="inlineStr">
        <is>
          <t>[STAGE &amp; GATE] Empêcher la validation d'une gate si la date de la gate est dans le futur</t>
        </is>
      </c>
      <c r="K58" s="15" t="n">
        <v>46119.42655092593</v>
      </c>
      <c r="L58" s="15" t="n">
        <v>46119.42657407407</v>
      </c>
      <c r="M58" s="19" t="n">
        <v>61.91</v>
      </c>
      <c r="N58" s="19" t="n">
        <v>61.91</v>
      </c>
      <c r="O58" s="16" t="b">
        <v>0</v>
      </c>
      <c r="P58" s="16" t="inlineStr">
        <is>
          <t>missing</t>
        </is>
      </c>
      <c r="Q58" s="16" t="n">
        <v>0</v>
      </c>
      <c r="R58" s="16" t="n">
        <v>0</v>
      </c>
      <c r="S58" s="16" t="n">
        <v>0</v>
      </c>
      <c r="T58" s="16" t="inlineStr">
        <is>
          <t>https://data-servier.atlassian.net/browse/PPMG-1530</t>
        </is>
      </c>
    </row>
    <row r="59">
      <c r="A59" s="16" t="inlineStr">
        <is>
          <t>385510</t>
        </is>
      </c>
      <c r="B59" s="16" t="inlineStr">
        <is>
          <t>PPMG-1533</t>
        </is>
      </c>
      <c r="C59" s="16" t="inlineStr">
        <is>
          <t>PPMG-1533</t>
        </is>
      </c>
      <c r="D59" s="16" t="inlineStr">
        <is>
          <t>Sprint 15 2026</t>
        </is>
      </c>
      <c r="E59" s="16" t="inlineStr">
        <is>
          <t>Ouvert</t>
        </is>
      </c>
      <c r="F59" s="16" t="inlineStr">
        <is>
          <t>new</t>
        </is>
      </c>
      <c r="G59" s="16" t="inlineStr">
        <is>
          <t>Bug</t>
        </is>
      </c>
      <c r="H59" s="16" t="inlineStr">
        <is>
          <t>Highest</t>
        </is>
      </c>
      <c r="I59" s="16" t="inlineStr">
        <is>
          <t>Romain CIESLIK</t>
        </is>
      </c>
      <c r="J59" s="16" t="inlineStr">
        <is>
          <t>Error message displayed when portfolio applied_Test Environment</t>
        </is>
      </c>
      <c r="K59" s="15" t="n">
        <v>46121.43480324074</v>
      </c>
      <c r="L59" s="15" t="n">
        <v>46149.61521990741</v>
      </c>
      <c r="M59" s="19" t="n">
        <v>59.9</v>
      </c>
      <c r="N59" s="19" t="n">
        <v>31.72</v>
      </c>
      <c r="O59" s="16" t="b">
        <v>0</v>
      </c>
      <c r="P59" s="16" t="inlineStr">
        <is>
          <t>missing</t>
        </is>
      </c>
      <c r="Q59" s="16" t="n">
        <v>1</v>
      </c>
      <c r="R59" s="16" t="n">
        <v>2</v>
      </c>
      <c r="S59" s="16" t="n">
        <v>0</v>
      </c>
      <c r="T59" s="16" t="inlineStr">
        <is>
          <t>https://data-servier.atlassian.net/browse/PPMG-1533</t>
        </is>
      </c>
    </row>
    <row r="60">
      <c r="A60" s="16" t="inlineStr">
        <is>
          <t>387351</t>
        </is>
      </c>
      <c r="B60" s="16" t="inlineStr">
        <is>
          <t>PPMG-1534</t>
        </is>
      </c>
      <c r="C60" s="16" t="inlineStr">
        <is>
          <t>PPMG-1534</t>
        </is>
      </c>
      <c r="D60" s="16" t="inlineStr">
        <is>
          <t>Sprint 17 2026</t>
        </is>
      </c>
      <c r="E60" s="16" t="inlineStr">
        <is>
          <t>Ready for Development</t>
        </is>
      </c>
      <c r="F60" s="16" t="inlineStr">
        <is>
          <t>new</t>
        </is>
      </c>
      <c r="G60" s="16" t="inlineStr">
        <is>
          <t>Story</t>
        </is>
      </c>
      <c r="H60" s="16" t="inlineStr">
        <is>
          <t>Highest</t>
        </is>
      </c>
      <c r="I60" s="16" t="inlineStr">
        <is>
          <t>Yassine BOUARI</t>
        </is>
      </c>
      <c r="J60" s="16" t="inlineStr">
        <is>
          <t>[Ergonomie] Module Home - Categories/Workboxes​</t>
        </is>
      </c>
      <c r="K60" s="15" t="n">
        <v>46125.31712962963</v>
      </c>
      <c r="L60" s="15" t="n">
        <v>46141.50157407407</v>
      </c>
      <c r="M60" s="19" t="n">
        <v>56.02</v>
      </c>
      <c r="N60" s="19" t="n">
        <v>39.84</v>
      </c>
      <c r="O60" s="16" t="b">
        <v>1</v>
      </c>
      <c r="P60" s="16" t="inlineStr">
        <is>
          <t>customfield: Acceptance Criteria</t>
        </is>
      </c>
      <c r="Q60" s="16" t="n">
        <v>0</v>
      </c>
      <c r="R60" s="16" t="n">
        <v>1</v>
      </c>
      <c r="S60" s="16" t="n">
        <v>0</v>
      </c>
      <c r="T60" s="16" t="inlineStr">
        <is>
          <t>https://data-servier.atlassian.net/browse/PPMG-1534</t>
        </is>
      </c>
    </row>
    <row r="61">
      <c r="A61" s="16" t="inlineStr">
        <is>
          <t>387457</t>
        </is>
      </c>
      <c r="B61" s="16" t="inlineStr">
        <is>
          <t>PPMG-1535</t>
        </is>
      </c>
      <c r="C61" s="16" t="inlineStr">
        <is>
          <t>PPMG-1535</t>
        </is>
      </c>
      <c r="D61" s="16" t="inlineStr">
        <is>
          <t>Sprint 17 2026</t>
        </is>
      </c>
      <c r="E61" s="16" t="inlineStr">
        <is>
          <t>Ready for Development</t>
        </is>
      </c>
      <c r="F61" s="16" t="inlineStr">
        <is>
          <t>new</t>
        </is>
      </c>
      <c r="G61" s="16" t="inlineStr">
        <is>
          <t>Story</t>
        </is>
      </c>
      <c r="H61" s="16" t="inlineStr">
        <is>
          <t>Highest</t>
        </is>
      </c>
      <c r="I61" s="16" t="inlineStr">
        <is>
          <t>Yassine BOUARI</t>
        </is>
      </c>
      <c r="J61" s="16" t="inlineStr">
        <is>
          <t>[Ergonomie] Barre de menu principale</t>
        </is>
      </c>
      <c r="K61" s="15" t="n">
        <v>46125.35505787037</v>
      </c>
      <c r="L61" s="15" t="n">
        <v>46141.50167824074</v>
      </c>
      <c r="M61" s="19" t="n">
        <v>55.98</v>
      </c>
      <c r="N61" s="19" t="n">
        <v>39.84</v>
      </c>
      <c r="O61" s="16" t="b">
        <v>1</v>
      </c>
      <c r="P61" s="16" t="inlineStr">
        <is>
          <t>customfield: Acceptance Criteria</t>
        </is>
      </c>
      <c r="Q61" s="16" t="n">
        <v>3</v>
      </c>
      <c r="R61" s="16" t="n">
        <v>1</v>
      </c>
      <c r="S61" s="16" t="n">
        <v>1</v>
      </c>
      <c r="T61" s="16" t="inlineStr">
        <is>
          <t>https://data-servier.atlassian.net/browse/PPMG-1535</t>
        </is>
      </c>
    </row>
    <row r="62">
      <c r="A62" s="16" t="inlineStr">
        <is>
          <t>387523</t>
        </is>
      </c>
      <c r="B62" s="16" t="inlineStr">
        <is>
          <t>PPMG-1537</t>
        </is>
      </c>
      <c r="C62" s="16" t="inlineStr">
        <is>
          <t>PPMG-1537</t>
        </is>
      </c>
      <c r="D62" s="16" t="inlineStr">
        <is>
          <t>Sprint 17 2026</t>
        </is>
      </c>
      <c r="E62" s="16" t="inlineStr">
        <is>
          <t>Ready for Development</t>
        </is>
      </c>
      <c r="F62" s="16" t="inlineStr">
        <is>
          <t>new</t>
        </is>
      </c>
      <c r="G62" s="16" t="inlineStr">
        <is>
          <t>Story</t>
        </is>
      </c>
      <c r="H62" s="16" t="inlineStr">
        <is>
          <t>Highest</t>
        </is>
      </c>
      <c r="I62" s="16" t="inlineStr">
        <is>
          <t>Yassine BOUARI</t>
        </is>
      </c>
      <c r="J62" s="16" t="inlineStr">
        <is>
          <t>[Ergonomie] Module Projects - Configuration des pages par profil</t>
        </is>
      </c>
      <c r="K62" s="15" t="n">
        <v>46125.38637731481</v>
      </c>
      <c r="L62" s="15" t="n">
        <v>46141.50178240741</v>
      </c>
      <c r="M62" s="19" t="n">
        <v>55.95</v>
      </c>
      <c r="N62" s="19" t="n">
        <v>39.84</v>
      </c>
      <c r="O62" s="16" t="b">
        <v>1</v>
      </c>
      <c r="P62" s="16" t="inlineStr">
        <is>
          <t>customfield: Acceptance Criteria</t>
        </is>
      </c>
      <c r="Q62" s="16" t="n">
        <v>2</v>
      </c>
      <c r="R62" s="16" t="n">
        <v>0</v>
      </c>
      <c r="S62" s="16" t="n">
        <v>0</v>
      </c>
      <c r="T62" s="16" t="inlineStr">
        <is>
          <t>https://data-servier.atlassian.net/browse/PPMG-1537</t>
        </is>
      </c>
    </row>
    <row r="63">
      <c r="A63" s="16" t="inlineStr">
        <is>
          <t>388732</t>
        </is>
      </c>
      <c r="B63" s="16" t="inlineStr">
        <is>
          <t>PPMG-1539</t>
        </is>
      </c>
      <c r="C63" s="16" t="inlineStr">
        <is>
          <t>PPMG-1539</t>
        </is>
      </c>
      <c r="D63" s="16" t="inlineStr">
        <is>
          <t>Sprint 15 2026</t>
        </is>
      </c>
      <c r="E63" s="16" t="inlineStr">
        <is>
          <t>En cours</t>
        </is>
      </c>
      <c r="F63" s="16" t="inlineStr">
        <is>
          <t>indeterminate</t>
        </is>
      </c>
      <c r="G63" s="16" t="inlineStr">
        <is>
          <t>Bug</t>
        </is>
      </c>
      <c r="H63" s="16" t="inlineStr">
        <is>
          <t>Highest</t>
        </is>
      </c>
      <c r="I63" s="16" t="inlineStr">
        <is>
          <t>Romain CIESLIK</t>
        </is>
      </c>
      <c r="J63" s="16" t="inlineStr">
        <is>
          <t>[INC0879976] Analyse des points d’appel du User Attribute SER_UA_PRJ_TEMPLATE_FILTER</t>
        </is>
      </c>
      <c r="K63" s="15" t="n">
        <v>46126.63112268518</v>
      </c>
      <c r="L63" s="15" t="n">
        <v>46155.31664351852</v>
      </c>
      <c r="M63" s="19" t="n">
        <v>54.71</v>
      </c>
      <c r="N63" s="19" t="n">
        <v>26.02</v>
      </c>
      <c r="O63" s="16" t="b">
        <v>0</v>
      </c>
      <c r="P63" s="16" t="inlineStr">
        <is>
          <t>missing</t>
        </is>
      </c>
      <c r="Q63" s="16" t="n">
        <v>1</v>
      </c>
      <c r="R63" s="16" t="n">
        <v>0</v>
      </c>
      <c r="S63" s="16" t="n">
        <v>0</v>
      </c>
      <c r="T63" s="16" t="inlineStr">
        <is>
          <t>https://data-servier.atlassian.net/browse/PPMG-1539</t>
        </is>
      </c>
    </row>
    <row r="64">
      <c r="A64" s="16" t="inlineStr">
        <is>
          <t>389042</t>
        </is>
      </c>
      <c r="B64" s="16" t="inlineStr">
        <is>
          <t>PPMG-1540</t>
        </is>
      </c>
      <c r="C64" s="16" t="inlineStr">
        <is>
          <t>PPMG-1540</t>
        </is>
      </c>
      <c r="D64" s="16" t="inlineStr">
        <is>
          <t>Sprint 16 2026</t>
        </is>
      </c>
      <c r="E64" s="16" t="inlineStr">
        <is>
          <t>En cours</t>
        </is>
      </c>
      <c r="F64" s="16" t="inlineStr">
        <is>
          <t>indeterminate</t>
        </is>
      </c>
      <c r="G64" s="16" t="inlineStr">
        <is>
          <t>Tâche</t>
        </is>
      </c>
      <c r="H64" s="16" t="inlineStr">
        <is>
          <t>Medium</t>
        </is>
      </c>
      <c r="I64" s="16" t="inlineStr">
        <is>
          <t>Yassine BOUARI</t>
        </is>
      </c>
      <c r="J64" s="16" t="inlineStr">
        <is>
          <t>[MOE] UPGRADE v7.1.6 - Créer la liste des fonctionnalités</t>
        </is>
      </c>
      <c r="K64" s="15" t="n">
        <v>46127.37138888889</v>
      </c>
      <c r="L64" s="15" t="n">
        <v>46175.30710648148</v>
      </c>
      <c r="M64" s="19" t="n">
        <v>53.97</v>
      </c>
      <c r="N64" s="19" t="n">
        <v>6.03</v>
      </c>
      <c r="O64" s="16" t="b">
        <v>1</v>
      </c>
      <c r="P64" s="16" t="inlineStr">
        <is>
          <t>customfield: Acceptance Criteria</t>
        </is>
      </c>
      <c r="Q64" s="16" t="n">
        <v>1</v>
      </c>
      <c r="R64" s="16" t="n">
        <v>1</v>
      </c>
      <c r="S64" s="16" t="n">
        <v>0</v>
      </c>
      <c r="T64" s="16" t="inlineStr">
        <is>
          <t>https://data-servier.atlassian.net/browse/PPMG-1540</t>
        </is>
      </c>
    </row>
    <row r="65">
      <c r="A65" s="16" t="inlineStr">
        <is>
          <t>390477</t>
        </is>
      </c>
      <c r="B65" s="16" t="inlineStr">
        <is>
          <t>PPMG-1541</t>
        </is>
      </c>
      <c r="C65" s="16" t="inlineStr">
        <is>
          <t>PPMG-1541</t>
        </is>
      </c>
      <c r="D65" s="16" t="inlineStr"/>
      <c r="E65" s="16" t="inlineStr">
        <is>
          <t>Backlog</t>
        </is>
      </c>
      <c r="F65" s="16" t="inlineStr">
        <is>
          <t>new</t>
        </is>
      </c>
      <c r="G65" s="16" t="inlineStr">
        <is>
          <t>Story</t>
        </is>
      </c>
      <c r="H65" s="16" t="inlineStr">
        <is>
          <t>Medium</t>
        </is>
      </c>
      <c r="I65" s="16" t="inlineStr">
        <is>
          <t>Non assigné</t>
        </is>
      </c>
      <c r="J65" s="16" t="inlineStr">
        <is>
          <t>Comment Gate Log</t>
        </is>
      </c>
      <c r="K65" s="15" t="n">
        <v>46128.61461805556</v>
      </c>
      <c r="L65" s="15" t="n">
        <v>46128.61461805556</v>
      </c>
      <c r="M65" s="19" t="n">
        <v>52.72</v>
      </c>
      <c r="N65" s="19" t="n">
        <v>52.72</v>
      </c>
      <c r="O65" s="16" t="b">
        <v>0</v>
      </c>
      <c r="P65" s="16" t="inlineStr">
        <is>
          <t>missing</t>
        </is>
      </c>
      <c r="Q65" s="16" t="n">
        <v>0</v>
      </c>
      <c r="R65" s="16" t="n">
        <v>0</v>
      </c>
      <c r="S65" s="16" t="n">
        <v>0</v>
      </c>
      <c r="T65" s="16" t="inlineStr">
        <is>
          <t>https://data-servier.atlassian.net/browse/PPMG-1541</t>
        </is>
      </c>
    </row>
    <row r="66">
      <c r="A66" s="16" t="inlineStr">
        <is>
          <t>391357</t>
        </is>
      </c>
      <c r="B66" s="16" t="inlineStr">
        <is>
          <t>PPMG-1542</t>
        </is>
      </c>
      <c r="C66" s="16" t="inlineStr">
        <is>
          <t>PPMG-1542</t>
        </is>
      </c>
      <c r="D66" s="16" t="inlineStr"/>
      <c r="E66" s="16" t="inlineStr">
        <is>
          <t>Backlog</t>
        </is>
      </c>
      <c r="F66" s="16" t="inlineStr">
        <is>
          <t>new</t>
        </is>
      </c>
      <c r="G66" s="16" t="inlineStr">
        <is>
          <t>Story</t>
        </is>
      </c>
      <c r="H66" s="16" t="inlineStr">
        <is>
          <t>Medium</t>
        </is>
      </c>
      <c r="I66" s="16" t="inlineStr">
        <is>
          <t>Non assigné</t>
        </is>
      </c>
      <c r="J66" s="16" t="inlineStr">
        <is>
          <t>Write access sur les projets enfants</t>
        </is>
      </c>
      <c r="K66" s="15" t="n">
        <v>46129.33288194444</v>
      </c>
      <c r="L66" s="15" t="n">
        <v>46129.33289351852</v>
      </c>
      <c r="M66" s="19" t="n">
        <v>52.01</v>
      </c>
      <c r="N66" s="19" t="n">
        <v>52.01</v>
      </c>
      <c r="O66" s="16" t="b">
        <v>1</v>
      </c>
      <c r="P66" s="16" t="inlineStr">
        <is>
          <t>description: expected/acceptance markers</t>
        </is>
      </c>
      <c r="Q66" s="16" t="n">
        <v>0</v>
      </c>
      <c r="R66" s="16" t="n">
        <v>0</v>
      </c>
      <c r="S66" s="16" t="n">
        <v>0</v>
      </c>
      <c r="T66" s="16" t="inlineStr">
        <is>
          <t>https://data-servier.atlassian.net/browse/PPMG-1542</t>
        </is>
      </c>
    </row>
    <row r="67">
      <c r="A67" s="16" t="inlineStr">
        <is>
          <t>391358</t>
        </is>
      </c>
      <c r="B67" s="16" t="inlineStr">
        <is>
          <t>PPMG-1543</t>
        </is>
      </c>
      <c r="C67" s="16" t="inlineStr">
        <is>
          <t>PPMG-1543</t>
        </is>
      </c>
      <c r="D67" s="16" t="inlineStr"/>
      <c r="E67" s="16" t="inlineStr">
        <is>
          <t>Backlog</t>
        </is>
      </c>
      <c r="F67" s="16" t="inlineStr">
        <is>
          <t>new</t>
        </is>
      </c>
      <c r="G67" s="16" t="inlineStr">
        <is>
          <t>Story</t>
        </is>
      </c>
      <c r="H67" s="16" t="inlineStr">
        <is>
          <t>Medium</t>
        </is>
      </c>
      <c r="I67" s="16" t="inlineStr">
        <is>
          <t>Non assigné</t>
        </is>
      </c>
      <c r="J67" s="16" t="inlineStr">
        <is>
          <t>Column to add un the Cost data reporting</t>
        </is>
      </c>
      <c r="K67" s="15" t="n">
        <v>46129.33321759259</v>
      </c>
      <c r="L67" s="15" t="n">
        <v>46129.33321759259</v>
      </c>
      <c r="M67" s="19" t="n">
        <v>52.01</v>
      </c>
      <c r="N67" s="19" t="n">
        <v>52.01</v>
      </c>
      <c r="O67" s="16" t="b">
        <v>0</v>
      </c>
      <c r="P67" s="16" t="inlineStr">
        <is>
          <t>missing</t>
        </is>
      </c>
      <c r="Q67" s="16" t="n">
        <v>0</v>
      </c>
      <c r="R67" s="16" t="n">
        <v>0</v>
      </c>
      <c r="S67" s="16" t="n">
        <v>0</v>
      </c>
      <c r="T67" s="16" t="inlineStr">
        <is>
          <t>https://data-servier.atlassian.net/browse/PPMG-1543</t>
        </is>
      </c>
    </row>
    <row r="68">
      <c r="A68" s="16" t="inlineStr">
        <is>
          <t>391359</t>
        </is>
      </c>
      <c r="B68" s="16" t="inlineStr">
        <is>
          <t>PPMG-1544</t>
        </is>
      </c>
      <c r="C68" s="16" t="inlineStr">
        <is>
          <t>PPMG-1544</t>
        </is>
      </c>
      <c r="D68" s="16" t="inlineStr"/>
      <c r="E68" s="16" t="inlineStr">
        <is>
          <t>Backlog</t>
        </is>
      </c>
      <c r="F68" s="16" t="inlineStr">
        <is>
          <t>new</t>
        </is>
      </c>
      <c r="G68" s="16" t="inlineStr">
        <is>
          <t>Story</t>
        </is>
      </c>
      <c r="H68" s="16" t="inlineStr">
        <is>
          <t>Medium</t>
        </is>
      </c>
      <c r="I68" s="16" t="inlineStr">
        <is>
          <t>Non assigné</t>
        </is>
      </c>
      <c r="J68" s="16" t="inlineStr">
        <is>
          <t>Cost data reporting evolution</t>
        </is>
      </c>
      <c r="K68" s="15" t="n">
        <v>46129.33383101852</v>
      </c>
      <c r="L68" s="15" t="n">
        <v>46129.33383101852</v>
      </c>
      <c r="M68" s="19" t="n">
        <v>52</v>
      </c>
      <c r="N68" s="19" t="n">
        <v>52</v>
      </c>
      <c r="O68" s="16" t="b">
        <v>0</v>
      </c>
      <c r="P68" s="16" t="inlineStr">
        <is>
          <t>missing</t>
        </is>
      </c>
      <c r="Q68" s="16" t="n">
        <v>0</v>
      </c>
      <c r="R68" s="16" t="n">
        <v>0</v>
      </c>
      <c r="S68" s="16" t="n">
        <v>0</v>
      </c>
      <c r="T68" s="16" t="inlineStr">
        <is>
          <t>https://data-servier.atlassian.net/browse/PPMG-1544</t>
        </is>
      </c>
    </row>
    <row r="69">
      <c r="A69" s="16" t="inlineStr">
        <is>
          <t>391360</t>
        </is>
      </c>
      <c r="B69" s="16" t="inlineStr">
        <is>
          <t>PPMG-1545</t>
        </is>
      </c>
      <c r="C69" s="16" t="inlineStr">
        <is>
          <t>PPMG-1545</t>
        </is>
      </c>
      <c r="D69" s="16" t="inlineStr"/>
      <c r="E69" s="16" t="inlineStr">
        <is>
          <t>Backlog</t>
        </is>
      </c>
      <c r="F69" s="16" t="inlineStr">
        <is>
          <t>new</t>
        </is>
      </c>
      <c r="G69" s="16" t="inlineStr">
        <is>
          <t>Story</t>
        </is>
      </c>
      <c r="H69" s="16" t="inlineStr">
        <is>
          <t>Medium</t>
        </is>
      </c>
      <c r="I69" s="16" t="inlineStr">
        <is>
          <t>Non assigné</t>
        </is>
      </c>
      <c r="J69" s="16" t="inlineStr">
        <is>
          <t>Budget Allocation - Filtre External/full costs</t>
        </is>
      </c>
      <c r="K69" s="15" t="n">
        <v>46129.33408564814</v>
      </c>
      <c r="L69" s="15" t="n">
        <v>46129.33408564814</v>
      </c>
      <c r="M69" s="19" t="n">
        <v>52</v>
      </c>
      <c r="N69" s="19" t="n">
        <v>52</v>
      </c>
      <c r="O69" s="16" t="b">
        <v>0</v>
      </c>
      <c r="P69" s="16" t="inlineStr">
        <is>
          <t>missing</t>
        </is>
      </c>
      <c r="Q69" s="16" t="n">
        <v>0</v>
      </c>
      <c r="R69" s="16" t="n">
        <v>0</v>
      </c>
      <c r="S69" s="16" t="n">
        <v>0</v>
      </c>
      <c r="T69" s="16" t="inlineStr">
        <is>
          <t>https://data-servier.atlassian.net/browse/PPMG-1545</t>
        </is>
      </c>
    </row>
    <row r="70">
      <c r="A70" s="16" t="inlineStr">
        <is>
          <t>391361</t>
        </is>
      </c>
      <c r="B70" s="16" t="inlineStr">
        <is>
          <t>PPMG-1546</t>
        </is>
      </c>
      <c r="C70" s="16" t="inlineStr">
        <is>
          <t>PPMG-1546</t>
        </is>
      </c>
      <c r="D70" s="16" t="inlineStr"/>
      <c r="E70" s="16" t="inlineStr">
        <is>
          <t>Backlog</t>
        </is>
      </c>
      <c r="F70" s="16" t="inlineStr">
        <is>
          <t>new</t>
        </is>
      </c>
      <c r="G70" s="16" t="inlineStr">
        <is>
          <t>Story</t>
        </is>
      </c>
      <c r="H70" s="16" t="inlineStr">
        <is>
          <t>Medium</t>
        </is>
      </c>
      <c r="I70" s="16" t="inlineStr">
        <is>
          <t>Non assigné</t>
        </is>
      </c>
      <c r="J70" s="16" t="inlineStr">
        <is>
          <t>Rapport Portfolio Timeline - ajout de filtres</t>
        </is>
      </c>
      <c r="K70" s="15" t="n">
        <v>46129.33439814814</v>
      </c>
      <c r="L70" s="15" t="n">
        <v>46129.33439814814</v>
      </c>
      <c r="M70" s="19" t="n">
        <v>52</v>
      </c>
      <c r="N70" s="19" t="n">
        <v>52</v>
      </c>
      <c r="O70" s="16" t="b">
        <v>0</v>
      </c>
      <c r="P70" s="16" t="inlineStr">
        <is>
          <t>missing</t>
        </is>
      </c>
      <c r="Q70" s="16" t="n">
        <v>0</v>
      </c>
      <c r="R70" s="16" t="n">
        <v>0</v>
      </c>
      <c r="S70" s="16" t="n">
        <v>0</v>
      </c>
      <c r="T70" s="16" t="inlineStr">
        <is>
          <t>https://data-servier.atlassian.net/browse/PPMG-1546</t>
        </is>
      </c>
    </row>
    <row r="71">
      <c r="A71" s="16" t="inlineStr">
        <is>
          <t>392012</t>
        </is>
      </c>
      <c r="B71" s="16" t="inlineStr">
        <is>
          <t>PPMG-1548</t>
        </is>
      </c>
      <c r="C71" s="16" t="inlineStr">
        <is>
          <t>PPMG-1548</t>
        </is>
      </c>
      <c r="D71" s="16" t="inlineStr"/>
      <c r="E71" s="16" t="inlineStr">
        <is>
          <t>Backlog</t>
        </is>
      </c>
      <c r="F71" s="16" t="inlineStr">
        <is>
          <t>new</t>
        </is>
      </c>
      <c r="G71" s="16" t="inlineStr">
        <is>
          <t>Story</t>
        </is>
      </c>
      <c r="H71" s="16" t="inlineStr">
        <is>
          <t>Low</t>
        </is>
      </c>
      <c r="I71" s="16" t="inlineStr">
        <is>
          <t>Non assigné</t>
        </is>
      </c>
      <c r="J71" s="16" t="inlineStr">
        <is>
          <t>[AMOA] Suppression des utilisateurs BIOGARAN</t>
        </is>
      </c>
      <c r="K71" s="15" t="n">
        <v>46129.76725694445</v>
      </c>
      <c r="L71" s="15" t="n">
        <v>46129.76747685186</v>
      </c>
      <c r="M71" s="19" t="n">
        <v>51.57</v>
      </c>
      <c r="N71" s="19" t="n">
        <v>51.57</v>
      </c>
      <c r="O71" s="16" t="b">
        <v>0</v>
      </c>
      <c r="P71" s="16" t="inlineStr">
        <is>
          <t>missing</t>
        </is>
      </c>
      <c r="Q71" s="16" t="n">
        <v>0</v>
      </c>
      <c r="R71" s="16" t="n">
        <v>0</v>
      </c>
      <c r="S71" s="16" t="n">
        <v>0</v>
      </c>
      <c r="T71" s="16" t="inlineStr">
        <is>
          <t>https://data-servier.atlassian.net/browse/PPMG-1548</t>
        </is>
      </c>
    </row>
    <row r="72">
      <c r="A72" s="16" t="inlineStr">
        <is>
          <t>392738</t>
        </is>
      </c>
      <c r="B72" s="16" t="inlineStr">
        <is>
          <t>PPMG-1549</t>
        </is>
      </c>
      <c r="C72" s="16" t="inlineStr">
        <is>
          <t>PPMG-1549</t>
        </is>
      </c>
      <c r="D72" s="16" t="inlineStr">
        <is>
          <t>Sprint 17 2026</t>
        </is>
      </c>
      <c r="E72" s="16" t="inlineStr">
        <is>
          <t>In Refinement</t>
        </is>
      </c>
      <c r="F72" s="16" t="inlineStr">
        <is>
          <t>indeterminate</t>
        </is>
      </c>
      <c r="G72" s="16" t="inlineStr">
        <is>
          <t>Story</t>
        </is>
      </c>
      <c r="H72" s="16" t="inlineStr">
        <is>
          <t>High</t>
        </is>
      </c>
      <c r="I72" s="16" t="inlineStr">
        <is>
          <t>Patrick PONCET</t>
        </is>
      </c>
      <c r="J72" s="16" t="inlineStr">
        <is>
          <t>Gantt - Règles de gestion et contrôles d'intégrité – Librairie "DDIS-MVP"</t>
        </is>
      </c>
      <c r="K72" s="15" t="n">
        <v>46133.33739583333</v>
      </c>
      <c r="L72" s="15" t="n">
        <v>46178.6616087963</v>
      </c>
      <c r="M72" s="19" t="n">
        <v>48</v>
      </c>
      <c r="N72" s="19" t="n">
        <v>2.68</v>
      </c>
      <c r="O72" s="16" t="b">
        <v>1</v>
      </c>
      <c r="P72" s="16" t="inlineStr">
        <is>
          <t>customfield: Acceptance Criteria</t>
        </is>
      </c>
      <c r="Q72" s="16" t="n">
        <v>4</v>
      </c>
      <c r="R72" s="16" t="n">
        <v>0</v>
      </c>
      <c r="S72" s="16" t="n">
        <v>1</v>
      </c>
      <c r="T72" s="16" t="inlineStr">
        <is>
          <t>https://data-servier.atlassian.net/browse/PPMG-1549</t>
        </is>
      </c>
    </row>
    <row r="73">
      <c r="A73" s="16" t="inlineStr">
        <is>
          <t>392839</t>
        </is>
      </c>
      <c r="B73" s="16" t="inlineStr">
        <is>
          <t>PPMG-1550</t>
        </is>
      </c>
      <c r="C73" s="16" t="inlineStr">
        <is>
          <t>PPMG-1550</t>
        </is>
      </c>
      <c r="D73" s="16" t="inlineStr">
        <is>
          <t>Sprint 17 2026</t>
        </is>
      </c>
      <c r="E73" s="16" t="inlineStr">
        <is>
          <t>Candidate</t>
        </is>
      </c>
      <c r="F73" s="16" t="inlineStr">
        <is>
          <t>new</t>
        </is>
      </c>
      <c r="G73" s="16" t="inlineStr">
        <is>
          <t>Story</t>
        </is>
      </c>
      <c r="H73" s="16" t="inlineStr">
        <is>
          <t>High</t>
        </is>
      </c>
      <c r="I73" s="16" t="inlineStr">
        <is>
          <t>RACHEL CLOIX</t>
        </is>
      </c>
      <c r="J73" s="16" t="inlineStr">
        <is>
          <t>Intégration Data Platform – Librairie "DDIS-MVP"</t>
        </is>
      </c>
      <c r="K73" s="15" t="n">
        <v>46133.39591435185</v>
      </c>
      <c r="L73" s="15" t="n">
        <v>46148.37353009259</v>
      </c>
      <c r="M73" s="19" t="n">
        <v>47.94</v>
      </c>
      <c r="N73" s="19" t="n">
        <v>32.96</v>
      </c>
      <c r="O73" s="16" t="b">
        <v>1</v>
      </c>
      <c r="P73" s="16" t="inlineStr">
        <is>
          <t>customfield: Acceptance Criteria</t>
        </is>
      </c>
      <c r="Q73" s="16" t="n">
        <v>2</v>
      </c>
      <c r="R73" s="16" t="n">
        <v>2</v>
      </c>
      <c r="S73" s="16" t="n">
        <v>0</v>
      </c>
      <c r="T73" s="16" t="inlineStr">
        <is>
          <t>https://data-servier.atlassian.net/browse/PPMG-1550</t>
        </is>
      </c>
    </row>
    <row r="74">
      <c r="A74" s="16" t="inlineStr">
        <is>
          <t>393117</t>
        </is>
      </c>
      <c r="B74" s="16" t="inlineStr">
        <is>
          <t>PPMG-1551</t>
        </is>
      </c>
      <c r="C74" s="16" t="inlineStr">
        <is>
          <t>PPMG-1551</t>
        </is>
      </c>
      <c r="D74" s="16" t="inlineStr">
        <is>
          <t>Sprint 17 2026</t>
        </is>
      </c>
      <c r="E74" s="16" t="inlineStr">
        <is>
          <t>Ready for Development</t>
        </is>
      </c>
      <c r="F74" s="16" t="inlineStr">
        <is>
          <t>new</t>
        </is>
      </c>
      <c r="G74" s="16" t="inlineStr">
        <is>
          <t>Story</t>
        </is>
      </c>
      <c r="H74" s="16" t="inlineStr">
        <is>
          <t>Highest</t>
        </is>
      </c>
      <c r="I74" s="16" t="inlineStr">
        <is>
          <t>Patrick PONCET</t>
        </is>
      </c>
      <c r="J74" s="16" t="inlineStr">
        <is>
          <t>[Ergonomie] Module Portfolio Reporting - Reports</t>
        </is>
      </c>
      <c r="K74" s="15" t="n">
        <v>46133.63368055555</v>
      </c>
      <c r="L74" s="15" t="n">
        <v>46141.50190972222</v>
      </c>
      <c r="M74" s="19" t="n">
        <v>47.7</v>
      </c>
      <c r="N74" s="19" t="n">
        <v>39.84</v>
      </c>
      <c r="O74" s="16" t="b">
        <v>1</v>
      </c>
      <c r="P74" s="16" t="inlineStr">
        <is>
          <t>customfield: Acceptance Criteria</t>
        </is>
      </c>
      <c r="Q74" s="16" t="n">
        <v>3</v>
      </c>
      <c r="R74" s="16" t="n">
        <v>1</v>
      </c>
      <c r="S74" s="16" t="n">
        <v>0</v>
      </c>
      <c r="T74" s="16" t="inlineStr">
        <is>
          <t>https://data-servier.atlassian.net/browse/PPMG-1551</t>
        </is>
      </c>
    </row>
    <row r="75">
      <c r="A75" s="16" t="inlineStr">
        <is>
          <t>393585</t>
        </is>
      </c>
      <c r="B75" s="16" t="inlineStr">
        <is>
          <t>PPMG-1552</t>
        </is>
      </c>
      <c r="C75" s="16" t="inlineStr">
        <is>
          <t>PPMG-1552</t>
        </is>
      </c>
      <c r="D75" s="16" t="inlineStr"/>
      <c r="E75" s="16" t="inlineStr">
        <is>
          <t>Backlog</t>
        </is>
      </c>
      <c r="F75" s="16" t="inlineStr">
        <is>
          <t>new</t>
        </is>
      </c>
      <c r="G75" s="16" t="inlineStr">
        <is>
          <t>Story</t>
        </is>
      </c>
      <c r="H75" s="16" t="inlineStr">
        <is>
          <t>Medium</t>
        </is>
      </c>
      <c r="I75" s="16" t="inlineStr">
        <is>
          <t>Yosra MANAI</t>
        </is>
      </c>
      <c r="J75" s="16" t="inlineStr">
        <is>
          <t>[PILOT] Règles de gestion et contrôles pour les champs d'interface PILOT</t>
        </is>
      </c>
      <c r="K75" s="15" t="n">
        <v>46134.50137731482</v>
      </c>
      <c r="L75" s="15" t="n">
        <v>46134.51954861111</v>
      </c>
      <c r="M75" s="19" t="n">
        <v>46.84</v>
      </c>
      <c r="N75" s="19" t="n">
        <v>46.82</v>
      </c>
      <c r="O75" s="16" t="b">
        <v>1</v>
      </c>
      <c r="P75" s="16" t="inlineStr">
        <is>
          <t>description: expected/acceptance markers</t>
        </is>
      </c>
      <c r="Q75" s="16" t="n">
        <v>0</v>
      </c>
      <c r="R75" s="16" t="n">
        <v>0</v>
      </c>
      <c r="S75" s="16" t="n">
        <v>0</v>
      </c>
      <c r="T75" s="16" t="inlineStr">
        <is>
          <t>https://data-servier.atlassian.net/browse/PPMG-1552</t>
        </is>
      </c>
    </row>
    <row r="76">
      <c r="A76" s="16" t="inlineStr">
        <is>
          <t>393730</t>
        </is>
      </c>
      <c r="B76" s="16" t="inlineStr">
        <is>
          <t>PPMG-1553</t>
        </is>
      </c>
      <c r="C76" s="16" t="inlineStr">
        <is>
          <t>PPMG-1553</t>
        </is>
      </c>
      <c r="D76" s="16" t="inlineStr">
        <is>
          <t>Sprint 17 2026</t>
        </is>
      </c>
      <c r="E76" s="16" t="inlineStr">
        <is>
          <t>Ready for Development</t>
        </is>
      </c>
      <c r="F76" s="16" t="inlineStr">
        <is>
          <t>new</t>
        </is>
      </c>
      <c r="G76" s="16" t="inlineStr">
        <is>
          <t>Story</t>
        </is>
      </c>
      <c r="H76" s="16" t="inlineStr">
        <is>
          <t>Highest</t>
        </is>
      </c>
      <c r="I76" s="16" t="inlineStr">
        <is>
          <t>Patrick PONCET</t>
        </is>
      </c>
      <c r="J76" s="16" t="inlineStr">
        <is>
          <t>[Ergonomie] Page Properties - Initiative Health Status</t>
        </is>
      </c>
      <c r="K76" s="15" t="n">
        <v>46134.62179398148</v>
      </c>
      <c r="L76" s="15" t="n">
        <v>46142.34605324074</v>
      </c>
      <c r="M76" s="19" t="n">
        <v>46.72</v>
      </c>
      <c r="N76" s="19" t="n">
        <v>38.99</v>
      </c>
      <c r="O76" s="16" t="b">
        <v>1</v>
      </c>
      <c r="P76" s="16" t="inlineStr">
        <is>
          <t>customfield: Acceptance Criteria</t>
        </is>
      </c>
      <c r="Q76" s="16" t="n">
        <v>0</v>
      </c>
      <c r="R76" s="16" t="n">
        <v>1</v>
      </c>
      <c r="S76" s="16" t="n">
        <v>0</v>
      </c>
      <c r="T76" s="16" t="inlineStr">
        <is>
          <t>https://data-servier.atlassian.net/browse/PPMG-1553</t>
        </is>
      </c>
    </row>
    <row r="77">
      <c r="A77" s="16" t="inlineStr">
        <is>
          <t>394245</t>
        </is>
      </c>
      <c r="B77" s="16" t="inlineStr">
        <is>
          <t>PPMG-1556</t>
        </is>
      </c>
      <c r="C77" s="16" t="inlineStr">
        <is>
          <t>PPMG-1556</t>
        </is>
      </c>
      <c r="D77" s="16" t="inlineStr"/>
      <c r="E77" s="16" t="inlineStr">
        <is>
          <t>Ouvert</t>
        </is>
      </c>
      <c r="F77" s="16" t="inlineStr">
        <is>
          <t>new</t>
        </is>
      </c>
      <c r="G77" s="16" t="inlineStr">
        <is>
          <t>Xray Test</t>
        </is>
      </c>
      <c r="H77" s="16" t="inlineStr">
        <is>
          <t>Medium</t>
        </is>
      </c>
      <c r="I77" s="16" t="inlineStr">
        <is>
          <t>Non assigné</t>
        </is>
      </c>
      <c r="J77" s="16" t="inlineStr">
        <is>
          <t>Test 1</t>
        </is>
      </c>
      <c r="K77" s="15" t="n">
        <v>46135.54216435185</v>
      </c>
      <c r="L77" s="15" t="n">
        <v>46135.5421875</v>
      </c>
      <c r="M77" s="19" t="n">
        <v>45.8</v>
      </c>
      <c r="N77" s="19" t="n">
        <v>45.8</v>
      </c>
      <c r="O77" s="16" t="b">
        <v>0</v>
      </c>
      <c r="P77" s="16" t="inlineStr">
        <is>
          <t>missing</t>
        </is>
      </c>
      <c r="Q77" s="16" t="n">
        <v>0</v>
      </c>
      <c r="R77" s="16" t="n">
        <v>0</v>
      </c>
      <c r="S77" s="16" t="n">
        <v>0</v>
      </c>
      <c r="T77" s="16" t="inlineStr">
        <is>
          <t>https://data-servier.atlassian.net/browse/PPMG-1556</t>
        </is>
      </c>
    </row>
    <row r="78">
      <c r="A78" s="16" t="inlineStr">
        <is>
          <t>394246</t>
        </is>
      </c>
      <c r="B78" s="16" t="inlineStr">
        <is>
          <t>PPMG-1557</t>
        </is>
      </c>
      <c r="C78" s="16" t="inlineStr">
        <is>
          <t>PPMG-1557</t>
        </is>
      </c>
      <c r="D78" s="16" t="inlineStr"/>
      <c r="E78" s="16" t="inlineStr">
        <is>
          <t>Backlog</t>
        </is>
      </c>
      <c r="F78" s="16" t="inlineStr">
        <is>
          <t>new</t>
        </is>
      </c>
      <c r="G78" s="16" t="inlineStr">
        <is>
          <t>Test Execution</t>
        </is>
      </c>
      <c r="H78" s="16" t="inlineStr">
        <is>
          <t>Medium</t>
        </is>
      </c>
      <c r="I78" s="16" t="inlineStr">
        <is>
          <t>Herve ONNO</t>
        </is>
      </c>
      <c r="J78" s="16" t="inlineStr">
        <is>
          <t>Exécution Ad-hoc de PPMG-1556</t>
        </is>
      </c>
      <c r="K78" s="15" t="n">
        <v>46135.54479166667</v>
      </c>
      <c r="L78" s="15" t="n">
        <v>46135.54481481481</v>
      </c>
      <c r="M78" s="19" t="n">
        <v>45.79</v>
      </c>
      <c r="N78" s="19" t="n">
        <v>45.79</v>
      </c>
      <c r="O78" s="16" t="b">
        <v>0</v>
      </c>
      <c r="P78" s="16" t="inlineStr">
        <is>
          <t>missing</t>
        </is>
      </c>
      <c r="Q78" s="16" t="n">
        <v>0</v>
      </c>
      <c r="R78" s="16" t="n">
        <v>0</v>
      </c>
      <c r="S78" s="16" t="n">
        <v>0</v>
      </c>
      <c r="T78" s="16" t="inlineStr">
        <is>
          <t>https://data-servier.atlassian.net/browse/PPMG-1557</t>
        </is>
      </c>
    </row>
    <row r="79">
      <c r="A79" s="16" t="inlineStr">
        <is>
          <t>395612</t>
        </is>
      </c>
      <c r="B79" s="16" t="inlineStr">
        <is>
          <t>PPMG-1558</t>
        </is>
      </c>
      <c r="C79" s="16" t="inlineStr">
        <is>
          <t>PPMG-1558</t>
        </is>
      </c>
      <c r="D79" s="16" t="inlineStr">
        <is>
          <t>Sprint 17 2026</t>
        </is>
      </c>
      <c r="E79" s="16" t="inlineStr">
        <is>
          <t>Selected</t>
        </is>
      </c>
      <c r="F79" s="16" t="inlineStr">
        <is>
          <t>indeterminate</t>
        </is>
      </c>
      <c r="G79" s="16" t="inlineStr">
        <is>
          <t>Feature</t>
        </is>
      </c>
      <c r="H79" s="16" t="inlineStr">
        <is>
          <t>Medium</t>
        </is>
      </c>
      <c r="I79" s="16" t="inlineStr">
        <is>
          <t>Non assigné</t>
        </is>
      </c>
      <c r="J79" s="16" t="inlineStr">
        <is>
          <t>ERGONOMIE</t>
        </is>
      </c>
      <c r="K79" s="15" t="n">
        <v>46139.66819444444</v>
      </c>
      <c r="L79" s="15" t="n">
        <v>46141.50126157407</v>
      </c>
      <c r="M79" s="19" t="n">
        <v>41.67</v>
      </c>
      <c r="N79" s="19" t="n">
        <v>39.84</v>
      </c>
      <c r="O79" s="16" t="b">
        <v>0</v>
      </c>
      <c r="P79" s="16" t="inlineStr">
        <is>
          <t>missing</t>
        </is>
      </c>
      <c r="Q79" s="16" t="n">
        <v>0</v>
      </c>
      <c r="R79" s="16" t="n">
        <v>0</v>
      </c>
      <c r="S79" s="16" t="n">
        <v>0</v>
      </c>
      <c r="T79" s="16" t="inlineStr">
        <is>
          <t>https://data-servier.atlassian.net/browse/PPMG-1558</t>
        </is>
      </c>
    </row>
    <row r="80">
      <c r="A80" s="16" t="inlineStr">
        <is>
          <t>395624</t>
        </is>
      </c>
      <c r="B80" s="16" t="inlineStr">
        <is>
          <t>PPMG-1559</t>
        </is>
      </c>
      <c r="C80" s="16" t="inlineStr">
        <is>
          <t>PPMG-1559</t>
        </is>
      </c>
      <c r="D80" s="16" t="inlineStr">
        <is>
          <t>Sprint 17 2026</t>
        </is>
      </c>
      <c r="E80" s="16" t="inlineStr">
        <is>
          <t>Ready for Development</t>
        </is>
      </c>
      <c r="F80" s="16" t="inlineStr">
        <is>
          <t>new</t>
        </is>
      </c>
      <c r="G80" s="16" t="inlineStr">
        <is>
          <t>Story</t>
        </is>
      </c>
      <c r="H80" s="16" t="inlineStr">
        <is>
          <t>Highest</t>
        </is>
      </c>
      <c r="I80" s="16" t="inlineStr">
        <is>
          <t>Patrick PONCET</t>
        </is>
      </c>
      <c r="J80" s="16" t="inlineStr">
        <is>
          <t>[Ergonomie] New Project Popup</t>
        </is>
      </c>
      <c r="K80" s="15" t="n">
        <v>46139.68774305555</v>
      </c>
      <c r="L80" s="15" t="n">
        <v>46142.34528935186</v>
      </c>
      <c r="M80" s="19" t="n">
        <v>41.65</v>
      </c>
      <c r="N80" s="19" t="n">
        <v>38.99</v>
      </c>
      <c r="O80" s="16" t="b">
        <v>1</v>
      </c>
      <c r="P80" s="16" t="inlineStr">
        <is>
          <t>customfield: Acceptance Criteria</t>
        </is>
      </c>
      <c r="Q80" s="16" t="n">
        <v>7</v>
      </c>
      <c r="R80" s="16" t="n">
        <v>1</v>
      </c>
      <c r="S80" s="16" t="n">
        <v>0</v>
      </c>
      <c r="T80" s="16" t="inlineStr">
        <is>
          <t>https://data-servier.atlassian.net/browse/PPMG-1559</t>
        </is>
      </c>
    </row>
    <row r="81">
      <c r="A81" s="16" t="inlineStr">
        <is>
          <t>395628</t>
        </is>
      </c>
      <c r="B81" s="16" t="inlineStr">
        <is>
          <t>PPMG-1560</t>
        </is>
      </c>
      <c r="C81" s="16" t="inlineStr">
        <is>
          <t>PPMG-1560</t>
        </is>
      </c>
      <c r="D81" s="16" t="inlineStr">
        <is>
          <t>Sprint 17 2026</t>
        </is>
      </c>
      <c r="E81" s="16" t="inlineStr">
        <is>
          <t>Ready for Development</t>
        </is>
      </c>
      <c r="F81" s="16" t="inlineStr">
        <is>
          <t>new</t>
        </is>
      </c>
      <c r="G81" s="16" t="inlineStr">
        <is>
          <t>Story</t>
        </is>
      </c>
      <c r="H81" s="16" t="inlineStr">
        <is>
          <t>Highest</t>
        </is>
      </c>
      <c r="I81" s="16" t="inlineStr">
        <is>
          <t>Patrick PONCET</t>
        </is>
      </c>
      <c r="J81" s="16" t="inlineStr">
        <is>
          <t>[Ergonomie] Liste des onglets - Task Popup</t>
        </is>
      </c>
      <c r="K81" s="15" t="n">
        <v>46139.7065625</v>
      </c>
      <c r="L81" s="15" t="n">
        <v>46141.50219907407</v>
      </c>
      <c r="M81" s="19" t="n">
        <v>41.63</v>
      </c>
      <c r="N81" s="19" t="n">
        <v>39.84</v>
      </c>
      <c r="O81" s="16" t="b">
        <v>1</v>
      </c>
      <c r="P81" s="16" t="inlineStr">
        <is>
          <t>customfield: Acceptance Criteria</t>
        </is>
      </c>
      <c r="Q81" s="16" t="n">
        <v>0</v>
      </c>
      <c r="R81" s="16" t="n">
        <v>1</v>
      </c>
      <c r="S81" s="16" t="n">
        <v>0</v>
      </c>
      <c r="T81" s="16" t="inlineStr">
        <is>
          <t>https://data-servier.atlassian.net/browse/PPMG-1560</t>
        </is>
      </c>
    </row>
    <row r="82">
      <c r="A82" s="16" t="inlineStr">
        <is>
          <t>395641</t>
        </is>
      </c>
      <c r="B82" s="16" t="inlineStr">
        <is>
          <t>PPMG-1561</t>
        </is>
      </c>
      <c r="C82" s="16" t="inlineStr">
        <is>
          <t>PPMG-1561</t>
        </is>
      </c>
      <c r="D82" s="16" t="inlineStr">
        <is>
          <t>Sprint 17 2026</t>
        </is>
      </c>
      <c r="E82" s="16" t="inlineStr">
        <is>
          <t>Ready for Development</t>
        </is>
      </c>
      <c r="F82" s="16" t="inlineStr">
        <is>
          <t>new</t>
        </is>
      </c>
      <c r="G82" s="16" t="inlineStr">
        <is>
          <t>Story</t>
        </is>
      </c>
      <c r="H82" s="16" t="inlineStr">
        <is>
          <t>Highest</t>
        </is>
      </c>
      <c r="I82" s="16" t="inlineStr">
        <is>
          <t>Patrick PONCET</t>
        </is>
      </c>
      <c r="J82" s="16" t="inlineStr">
        <is>
          <t>[Ergonomie] New Task/ WBS Element Popup</t>
        </is>
      </c>
      <c r="K82" s="15" t="n">
        <v>46139.73939814815</v>
      </c>
      <c r="L82" s="15" t="n">
        <v>46142.34266203704</v>
      </c>
      <c r="M82" s="19" t="n">
        <v>41.6</v>
      </c>
      <c r="N82" s="19" t="n">
        <v>39</v>
      </c>
      <c r="O82" s="16" t="b">
        <v>1</v>
      </c>
      <c r="P82" s="16" t="inlineStr">
        <is>
          <t>customfield: Acceptance Criteria</t>
        </is>
      </c>
      <c r="Q82" s="16" t="n">
        <v>2</v>
      </c>
      <c r="R82" s="16" t="n">
        <v>1</v>
      </c>
      <c r="S82" s="16" t="n">
        <v>0</v>
      </c>
      <c r="T82" s="16" t="inlineStr">
        <is>
          <t>https://data-servier.atlassian.net/browse/PPMG-1561</t>
        </is>
      </c>
    </row>
    <row r="83">
      <c r="A83" s="16" t="inlineStr">
        <is>
          <t>395646</t>
        </is>
      </c>
      <c r="B83" s="16" t="inlineStr">
        <is>
          <t>PPMG-1562</t>
        </is>
      </c>
      <c r="C83" s="16" t="inlineStr">
        <is>
          <t>PPMG-1562</t>
        </is>
      </c>
      <c r="D83" s="16" t="inlineStr">
        <is>
          <t>Sprint 17 2026</t>
        </is>
      </c>
      <c r="E83" s="16" t="inlineStr">
        <is>
          <t>Ready for Development</t>
        </is>
      </c>
      <c r="F83" s="16" t="inlineStr">
        <is>
          <t>new</t>
        </is>
      </c>
      <c r="G83" s="16" t="inlineStr">
        <is>
          <t>Story</t>
        </is>
      </c>
      <c r="H83" s="16" t="inlineStr">
        <is>
          <t>Highest</t>
        </is>
      </c>
      <c r="I83" s="16" t="inlineStr">
        <is>
          <t>Patrick PONCET</t>
        </is>
      </c>
      <c r="J83" s="16" t="inlineStr">
        <is>
          <t>[Ergonomie] New Forecast Popup</t>
        </is>
      </c>
      <c r="K83" s="15" t="n">
        <v>46139.75483796297</v>
      </c>
      <c r="L83" s="15" t="n">
        <v>46142.34431712963</v>
      </c>
      <c r="M83" s="19" t="n">
        <v>41.58</v>
      </c>
      <c r="N83" s="19" t="n">
        <v>38.99</v>
      </c>
      <c r="O83" s="16" t="b">
        <v>1</v>
      </c>
      <c r="P83" s="16" t="inlineStr">
        <is>
          <t>customfield: Acceptance Criteria</t>
        </is>
      </c>
      <c r="Q83" s="16" t="n">
        <v>3</v>
      </c>
      <c r="R83" s="16" t="n">
        <v>1</v>
      </c>
      <c r="S83" s="16" t="n">
        <v>0</v>
      </c>
      <c r="T83" s="16" t="inlineStr">
        <is>
          <t>https://data-servier.atlassian.net/browse/PPMG-1562</t>
        </is>
      </c>
    </row>
    <row r="84">
      <c r="A84" s="16" t="inlineStr">
        <is>
          <t>395656</t>
        </is>
      </c>
      <c r="B84" s="16" t="inlineStr">
        <is>
          <t>PPMG-1563</t>
        </is>
      </c>
      <c r="C84" s="16" t="inlineStr">
        <is>
          <t>PPMG-1563</t>
        </is>
      </c>
      <c r="D84" s="16" t="inlineStr">
        <is>
          <t>Sprint 17 2026</t>
        </is>
      </c>
      <c r="E84" s="16" t="inlineStr">
        <is>
          <t>Ready for Development</t>
        </is>
      </c>
      <c r="F84" s="16" t="inlineStr">
        <is>
          <t>new</t>
        </is>
      </c>
      <c r="G84" s="16" t="inlineStr">
        <is>
          <t>Story</t>
        </is>
      </c>
      <c r="H84" s="16" t="inlineStr">
        <is>
          <t>Highest</t>
        </is>
      </c>
      <c r="I84" s="16" t="inlineStr">
        <is>
          <t>Patrick PONCET</t>
        </is>
      </c>
      <c r="J84" s="16" t="inlineStr">
        <is>
          <t>[Ergonomie] Page Properties - ID Card</t>
        </is>
      </c>
      <c r="K84" s="15" t="n">
        <v>46139.81851851852</v>
      </c>
      <c r="L84" s="15" t="n">
        <v>46141.50252314815</v>
      </c>
      <c r="M84" s="19" t="n">
        <v>41.52</v>
      </c>
      <c r="N84" s="19" t="n">
        <v>39.84</v>
      </c>
      <c r="O84" s="16" t="b">
        <v>1</v>
      </c>
      <c r="P84" s="16" t="inlineStr">
        <is>
          <t>customfield: Acceptance Criteria</t>
        </is>
      </c>
      <c r="Q84" s="16" t="n">
        <v>2</v>
      </c>
      <c r="R84" s="16" t="n">
        <v>0</v>
      </c>
      <c r="S84" s="16" t="n">
        <v>0</v>
      </c>
      <c r="T84" s="16" t="inlineStr">
        <is>
          <t>https://data-servier.atlassian.net/browse/PPMG-1563</t>
        </is>
      </c>
    </row>
    <row r="85">
      <c r="A85" s="16" t="inlineStr">
        <is>
          <t>395847</t>
        </is>
      </c>
      <c r="B85" s="16" t="inlineStr">
        <is>
          <t>PPMG-1565</t>
        </is>
      </c>
      <c r="C85" s="16" t="inlineStr">
        <is>
          <t>PPMG-1565</t>
        </is>
      </c>
      <c r="D85" s="16" t="inlineStr">
        <is>
          <t>Sprint 16 2026</t>
        </is>
      </c>
      <c r="E85" s="16" t="inlineStr">
        <is>
          <t>En cours</t>
        </is>
      </c>
      <c r="F85" s="16" t="inlineStr">
        <is>
          <t>indeterminate</t>
        </is>
      </c>
      <c r="G85" s="16" t="inlineStr">
        <is>
          <t>Tâche</t>
        </is>
      </c>
      <c r="H85" s="16" t="inlineStr">
        <is>
          <t>Medium</t>
        </is>
      </c>
      <c r="I85" s="16" t="inlineStr">
        <is>
          <t>Yassine BOUARI</t>
        </is>
      </c>
      <c r="J85" s="16" t="inlineStr">
        <is>
          <t>[MOE] - Comparaison des fonctionnalités 7.0.6 VS 7.1.6</t>
        </is>
      </c>
      <c r="K85" s="15" t="n">
        <v>46140.35947916667</v>
      </c>
      <c r="L85" s="15" t="n">
        <v>46175.30944444444</v>
      </c>
      <c r="M85" s="19" t="n">
        <v>40.98</v>
      </c>
      <c r="N85" s="19" t="n">
        <v>6.03</v>
      </c>
      <c r="O85" s="16" t="b">
        <v>1</v>
      </c>
      <c r="P85" s="16" t="inlineStr">
        <is>
          <t>customfield: Acceptance Criteria</t>
        </is>
      </c>
      <c r="Q85" s="16" t="n">
        <v>1</v>
      </c>
      <c r="R85" s="16" t="n">
        <v>1</v>
      </c>
      <c r="S85" s="16" t="n">
        <v>0</v>
      </c>
      <c r="T85" s="16" t="inlineStr">
        <is>
          <t>https://data-servier.atlassian.net/browse/PPMG-1565</t>
        </is>
      </c>
    </row>
    <row r="86">
      <c r="A86" s="16" t="inlineStr">
        <is>
          <t>395879</t>
        </is>
      </c>
      <c r="B86" s="16" t="inlineStr">
        <is>
          <t>PPMG-1566</t>
        </is>
      </c>
      <c r="C86" s="16" t="inlineStr">
        <is>
          <t>PPMG-1566</t>
        </is>
      </c>
      <c r="D86" s="16" t="inlineStr">
        <is>
          <t>Sprint 16 2026</t>
        </is>
      </c>
      <c r="E86" s="16" t="inlineStr">
        <is>
          <t>En cours</t>
        </is>
      </c>
      <c r="F86" s="16" t="inlineStr">
        <is>
          <t>indeterminate</t>
        </is>
      </c>
      <c r="G86" s="16" t="inlineStr">
        <is>
          <t>Tâche</t>
        </is>
      </c>
      <c r="H86" s="16" t="inlineStr">
        <is>
          <t>Medium</t>
        </is>
      </c>
      <c r="I86" s="16" t="inlineStr">
        <is>
          <t>Yassine BOUARI</t>
        </is>
      </c>
      <c r="J86" s="16" t="inlineStr">
        <is>
          <t>[MOE] - Lister les répertoires des diverses interfaces pour partage à PLW</t>
        </is>
      </c>
      <c r="K86" s="15" t="n">
        <v>46140.38543981482</v>
      </c>
      <c r="L86" s="15" t="n">
        <v>46154.3497337963</v>
      </c>
      <c r="M86" s="19" t="n">
        <v>40.95</v>
      </c>
      <c r="N86" s="19" t="n">
        <v>26.99</v>
      </c>
      <c r="O86" s="16" t="b">
        <v>0</v>
      </c>
      <c r="P86" s="16" t="inlineStr">
        <is>
          <t>missing</t>
        </is>
      </c>
      <c r="Q86" s="16" t="n">
        <v>0</v>
      </c>
      <c r="R86" s="16" t="n">
        <v>0</v>
      </c>
      <c r="S86" s="16" t="n">
        <v>0</v>
      </c>
      <c r="T86" s="16" t="inlineStr">
        <is>
          <t>https://data-servier.atlassian.net/browse/PPMG-1566</t>
        </is>
      </c>
    </row>
    <row r="87">
      <c r="A87" s="16" t="inlineStr">
        <is>
          <t>395880</t>
        </is>
      </c>
      <c r="B87" s="16" t="inlineStr">
        <is>
          <t>PPMG-1567</t>
        </is>
      </c>
      <c r="C87" s="16" t="inlineStr">
        <is>
          <t>PPMG-1567</t>
        </is>
      </c>
      <c r="D87" s="16" t="inlineStr">
        <is>
          <t>Sprint 16 2026</t>
        </is>
      </c>
      <c r="E87" s="16" t="inlineStr">
        <is>
          <t>En cours</t>
        </is>
      </c>
      <c r="F87" s="16" t="inlineStr">
        <is>
          <t>indeterminate</t>
        </is>
      </c>
      <c r="G87" s="16" t="inlineStr">
        <is>
          <t>Tâche</t>
        </is>
      </c>
      <c r="H87" s="16" t="inlineStr">
        <is>
          <t>Medium</t>
        </is>
      </c>
      <c r="I87" s="16" t="inlineStr">
        <is>
          <t>Yassine BOUARI</t>
        </is>
      </c>
      <c r="J87" s="16" t="inlineStr">
        <is>
          <t>[MOE] - Lister tables Admin fonctionnel pour faciliter l'administration des données avec version 7.1.6</t>
        </is>
      </c>
      <c r="K87" s="15" t="n">
        <v>46140.38636574074</v>
      </c>
      <c r="L87" s="15" t="n">
        <v>46155.45240740741</v>
      </c>
      <c r="M87" s="19" t="n">
        <v>40.95</v>
      </c>
      <c r="N87" s="19" t="n">
        <v>25.89</v>
      </c>
      <c r="O87" s="16" t="b">
        <v>0</v>
      </c>
      <c r="P87" s="16" t="inlineStr">
        <is>
          <t>missing</t>
        </is>
      </c>
      <c r="Q87" s="16" t="n">
        <v>1</v>
      </c>
      <c r="R87" s="16" t="n">
        <v>1</v>
      </c>
      <c r="S87" s="16" t="n">
        <v>0</v>
      </c>
      <c r="T87" s="16" t="inlineStr">
        <is>
          <t>https://data-servier.atlassian.net/browse/PPMG-1567</t>
        </is>
      </c>
    </row>
    <row r="88">
      <c r="A88" s="16" t="inlineStr">
        <is>
          <t>396904</t>
        </is>
      </c>
      <c r="B88" s="16" t="inlineStr">
        <is>
          <t>PPMG-1568</t>
        </is>
      </c>
      <c r="C88" s="16" t="inlineStr">
        <is>
          <t>PPMG-1568</t>
        </is>
      </c>
      <c r="D88" s="16" t="inlineStr"/>
      <c r="E88" s="16" t="inlineStr">
        <is>
          <t>Backlog</t>
        </is>
      </c>
      <c r="F88" s="16" t="inlineStr">
        <is>
          <t>new</t>
        </is>
      </c>
      <c r="G88" s="16" t="inlineStr">
        <is>
          <t>Story</t>
        </is>
      </c>
      <c r="H88" s="16" t="inlineStr">
        <is>
          <t>High</t>
        </is>
      </c>
      <c r="I88" s="16" t="inlineStr">
        <is>
          <t>Yassine BOUARI</t>
        </is>
      </c>
      <c r="J88" s="16" t="inlineStr">
        <is>
          <t>[INTERFACE VYP-DP] - Ajout du champ "Level" dans l'export des activités</t>
        </is>
      </c>
      <c r="K88" s="15" t="n">
        <v>46142.34179398148</v>
      </c>
      <c r="L88" s="15" t="n">
        <v>46142.34181712963</v>
      </c>
      <c r="M88" s="19" t="n">
        <v>39</v>
      </c>
      <c r="N88" s="19" t="n">
        <v>39</v>
      </c>
      <c r="O88" s="16" t="b">
        <v>1</v>
      </c>
      <c r="P88" s="16" t="inlineStr">
        <is>
          <t>customfield: Acceptance Criteria</t>
        </is>
      </c>
      <c r="Q88" s="16" t="n">
        <v>0</v>
      </c>
      <c r="R88" s="16" t="n">
        <v>0</v>
      </c>
      <c r="S88" s="16" t="n">
        <v>0</v>
      </c>
      <c r="T88" s="16" t="inlineStr">
        <is>
          <t>https://data-servier.atlassian.net/browse/PPMG-1568</t>
        </is>
      </c>
    </row>
    <row r="89">
      <c r="A89" s="16" t="inlineStr">
        <is>
          <t>399924</t>
        </is>
      </c>
      <c r="B89" s="16" t="inlineStr">
        <is>
          <t>PPMG-1570</t>
        </is>
      </c>
      <c r="C89" s="16" t="inlineStr">
        <is>
          <t>PPMG-1570</t>
        </is>
      </c>
      <c r="D89" s="16" t="inlineStr">
        <is>
          <t>Sprint 15 2026</t>
        </is>
      </c>
      <c r="E89" s="16" t="inlineStr">
        <is>
          <t>Ouvert</t>
        </is>
      </c>
      <c r="F89" s="16" t="inlineStr">
        <is>
          <t>new</t>
        </is>
      </c>
      <c r="G89" s="16" t="inlineStr">
        <is>
          <t>Bug</t>
        </is>
      </c>
      <c r="H89" s="16" t="inlineStr">
        <is>
          <t>Medium</t>
        </is>
      </c>
      <c r="I89" s="16" t="inlineStr">
        <is>
          <t>RACHEL CLOIX</t>
        </is>
      </c>
      <c r="J89" s="16" t="inlineStr">
        <is>
          <t>Restituer l’intégralité des données de référence dans Cost &amp; Load, y compris lorsque des coûts courants ont été supprimés</t>
        </is>
      </c>
      <c r="K89" s="15" t="n">
        <v>46153.42421296296</v>
      </c>
      <c r="L89" s="15" t="n">
        <v>46177.60989583333</v>
      </c>
      <c r="M89" s="19" t="n">
        <v>27.91</v>
      </c>
      <c r="N89" s="19" t="n">
        <v>3.73</v>
      </c>
      <c r="O89" s="16" t="b">
        <v>1</v>
      </c>
      <c r="P89" s="16" t="inlineStr">
        <is>
          <t>customfield: Acceptance Criteria</t>
        </is>
      </c>
      <c r="Q89" s="16" t="n">
        <v>1</v>
      </c>
      <c r="R89" s="16" t="n">
        <v>2</v>
      </c>
      <c r="S89" s="16" t="n">
        <v>0</v>
      </c>
      <c r="T89" s="16" t="inlineStr">
        <is>
          <t>https://data-servier.atlassian.net/browse/PPMG-1570</t>
        </is>
      </c>
    </row>
    <row r="90">
      <c r="A90" s="16" t="inlineStr">
        <is>
          <t>400599</t>
        </is>
      </c>
      <c r="B90" s="16" t="inlineStr">
        <is>
          <t>PPMG-1571</t>
        </is>
      </c>
      <c r="C90" s="16" t="inlineStr">
        <is>
          <t>PPMG-1571</t>
        </is>
      </c>
      <c r="D90" s="16" t="inlineStr"/>
      <c r="E90" s="16" t="inlineStr">
        <is>
          <t>Ouvert</t>
        </is>
      </c>
      <c r="F90" s="16" t="inlineStr">
        <is>
          <t>new</t>
        </is>
      </c>
      <c r="G90" s="16" t="inlineStr">
        <is>
          <t>Xray Test</t>
        </is>
      </c>
      <c r="H90" s="16" t="inlineStr">
        <is>
          <t>Medium</t>
        </is>
      </c>
      <c r="I90" s="16" t="inlineStr">
        <is>
          <t>Non assigné</t>
        </is>
      </c>
      <c r="J90" s="16" t="inlineStr">
        <is>
          <t>Affichage du menu Planisware Enterprise</t>
        </is>
      </c>
      <c r="K90" s="15" t="n">
        <v>46154.58091435185</v>
      </c>
      <c r="L90" s="15" t="n">
        <v>46154.58094907407</v>
      </c>
      <c r="M90" s="19" t="n">
        <v>26.76</v>
      </c>
      <c r="N90" s="19" t="n">
        <v>26.76</v>
      </c>
      <c r="O90" s="16" t="b">
        <v>0</v>
      </c>
      <c r="P90" s="16" t="inlineStr">
        <is>
          <t>missing</t>
        </is>
      </c>
      <c r="Q90" s="16" t="n">
        <v>0</v>
      </c>
      <c r="R90" s="16" t="n">
        <v>0</v>
      </c>
      <c r="S90" s="16" t="n">
        <v>0</v>
      </c>
      <c r="T90" s="16" t="inlineStr">
        <is>
          <t>https://data-servier.atlassian.net/browse/PPMG-1571</t>
        </is>
      </c>
    </row>
    <row r="91">
      <c r="A91" s="16" t="inlineStr">
        <is>
          <t>400600</t>
        </is>
      </c>
      <c r="B91" s="16" t="inlineStr">
        <is>
          <t>PPMG-1572</t>
        </is>
      </c>
      <c r="C91" s="16" t="inlineStr">
        <is>
          <t>PPMG-1572</t>
        </is>
      </c>
      <c r="D91" s="16" t="inlineStr"/>
      <c r="E91" s="16" t="inlineStr">
        <is>
          <t>Ouvert</t>
        </is>
      </c>
      <c r="F91" s="16" t="inlineStr">
        <is>
          <t>new</t>
        </is>
      </c>
      <c r="G91" s="16" t="inlineStr">
        <is>
          <t>Xray Test</t>
        </is>
      </c>
      <c r="H91" s="16" t="inlineStr">
        <is>
          <t>Medium</t>
        </is>
      </c>
      <c r="I91" s="16" t="inlineStr">
        <is>
          <t>Non assigné</t>
        </is>
      </c>
      <c r="J91" s="16" t="inlineStr">
        <is>
          <t>Présence des sous-menus standards</t>
        </is>
      </c>
      <c r="K91" s="15" t="n">
        <v>46154.58092592593</v>
      </c>
      <c r="L91" s="15" t="n">
        <v>46154.58094907407</v>
      </c>
      <c r="M91" s="19" t="n">
        <v>26.76</v>
      </c>
      <c r="N91" s="19" t="n">
        <v>26.76</v>
      </c>
      <c r="O91" s="16" t="b">
        <v>0</v>
      </c>
      <c r="P91" s="16" t="inlineStr">
        <is>
          <t>missing</t>
        </is>
      </c>
      <c r="Q91" s="16" t="n">
        <v>0</v>
      </c>
      <c r="R91" s="16" t="n">
        <v>0</v>
      </c>
      <c r="S91" s="16" t="n">
        <v>0</v>
      </c>
      <c r="T91" s="16" t="inlineStr">
        <is>
          <t>https://data-servier.atlassian.net/browse/PPMG-1572</t>
        </is>
      </c>
    </row>
    <row r="92">
      <c r="A92" s="16" t="inlineStr">
        <is>
          <t>400607</t>
        </is>
      </c>
      <c r="B92" s="16" t="inlineStr">
        <is>
          <t>PPMG-1574</t>
        </is>
      </c>
      <c r="C92" s="16" t="inlineStr">
        <is>
          <t>PPMG-1574</t>
        </is>
      </c>
      <c r="D92" s="16" t="inlineStr"/>
      <c r="E92" s="16" t="inlineStr">
        <is>
          <t>Ouvert</t>
        </is>
      </c>
      <c r="F92" s="16" t="inlineStr">
        <is>
          <t>new</t>
        </is>
      </c>
      <c r="G92" s="16" t="inlineStr">
        <is>
          <t>Xray Test</t>
        </is>
      </c>
      <c r="H92" s="16" t="inlineStr">
        <is>
          <t>Medium</t>
        </is>
      </c>
      <c r="I92" s="16" t="inlineStr">
        <is>
          <t>Non assigné</t>
        </is>
      </c>
      <c r="J92" s="16" t="inlineStr">
        <is>
          <t>Affichage du menu Planisware Enterprise</t>
        </is>
      </c>
      <c r="K92" s="15" t="n">
        <v>46154.60091435185</v>
      </c>
      <c r="L92" s="15" t="n">
        <v>46154.6009375</v>
      </c>
      <c r="M92" s="19" t="n">
        <v>26.74</v>
      </c>
      <c r="N92" s="19" t="n">
        <v>26.74</v>
      </c>
      <c r="O92" s="16" t="b">
        <v>0</v>
      </c>
      <c r="P92" s="16" t="inlineStr">
        <is>
          <t>missing</t>
        </is>
      </c>
      <c r="Q92" s="16" t="n">
        <v>0</v>
      </c>
      <c r="R92" s="16" t="n">
        <v>0</v>
      </c>
      <c r="S92" s="16" t="n">
        <v>0</v>
      </c>
      <c r="T92" s="16" t="inlineStr">
        <is>
          <t>https://data-servier.atlassian.net/browse/PPMG-1574</t>
        </is>
      </c>
    </row>
    <row r="93">
      <c r="A93" s="16" t="inlineStr">
        <is>
          <t>400608</t>
        </is>
      </c>
      <c r="B93" s="16" t="inlineStr">
        <is>
          <t>PPMG-1575</t>
        </is>
      </c>
      <c r="C93" s="16" t="inlineStr">
        <is>
          <t>PPMG-1575</t>
        </is>
      </c>
      <c r="D93" s="16" t="inlineStr"/>
      <c r="E93" s="16" t="inlineStr">
        <is>
          <t>Ouvert</t>
        </is>
      </c>
      <c r="F93" s="16" t="inlineStr">
        <is>
          <t>new</t>
        </is>
      </c>
      <c r="G93" s="16" t="inlineStr">
        <is>
          <t>Xray Test</t>
        </is>
      </c>
      <c r="H93" s="16" t="inlineStr">
        <is>
          <t>Medium</t>
        </is>
      </c>
      <c r="I93" s="16" t="inlineStr">
        <is>
          <t>Non assigné</t>
        </is>
      </c>
      <c r="J93" s="16" t="inlineStr">
        <is>
          <t>Présence des sous-menus standards</t>
        </is>
      </c>
      <c r="K93" s="15" t="n">
        <v>46154.60091435185</v>
      </c>
      <c r="L93" s="15" t="n">
        <v>46154.60094907408</v>
      </c>
      <c r="M93" s="19" t="n">
        <v>26.74</v>
      </c>
      <c r="N93" s="19" t="n">
        <v>26.74</v>
      </c>
      <c r="O93" s="16" t="b">
        <v>0</v>
      </c>
      <c r="P93" s="16" t="inlineStr">
        <is>
          <t>missing</t>
        </is>
      </c>
      <c r="Q93" s="16" t="n">
        <v>0</v>
      </c>
      <c r="R93" s="16" t="n">
        <v>0</v>
      </c>
      <c r="S93" s="16" t="n">
        <v>0</v>
      </c>
      <c r="T93" s="16" t="inlineStr">
        <is>
          <t>https://data-servier.atlassian.net/browse/PPMG-1575</t>
        </is>
      </c>
    </row>
    <row r="94">
      <c r="A94" s="16" t="inlineStr">
        <is>
          <t>403089</t>
        </is>
      </c>
      <c r="B94" s="16" t="inlineStr">
        <is>
          <t>PPMG-1577</t>
        </is>
      </c>
      <c r="C94" s="16" t="inlineStr">
        <is>
          <t>PPMG-1577</t>
        </is>
      </c>
      <c r="D94" s="16" t="inlineStr"/>
      <c r="E94" s="16" t="inlineStr">
        <is>
          <t>Backlog</t>
        </is>
      </c>
      <c r="F94" s="16" t="inlineStr">
        <is>
          <t>new</t>
        </is>
      </c>
      <c r="G94" s="16" t="inlineStr">
        <is>
          <t>Test Execution</t>
        </is>
      </c>
      <c r="H94" s="16" t="inlineStr">
        <is>
          <t>Medium</t>
        </is>
      </c>
      <c r="I94" s="16" t="inlineStr">
        <is>
          <t>Pierre KAYA</t>
        </is>
      </c>
      <c r="J94" s="16" t="inlineStr">
        <is>
          <t>Exécution Ad-hoc de PPMG-1574</t>
        </is>
      </c>
      <c r="K94" s="15" t="n">
        <v>46161.38626157407</v>
      </c>
      <c r="L94" s="15" t="n">
        <v>46161.38628472222</v>
      </c>
      <c r="M94" s="19" t="n">
        <v>19.95</v>
      </c>
      <c r="N94" s="19" t="n">
        <v>19.95</v>
      </c>
      <c r="O94" s="16" t="b">
        <v>0</v>
      </c>
      <c r="P94" s="16" t="inlineStr">
        <is>
          <t>missing</t>
        </is>
      </c>
      <c r="Q94" s="16" t="n">
        <v>0</v>
      </c>
      <c r="R94" s="16" t="n">
        <v>0</v>
      </c>
      <c r="S94" s="16" t="n">
        <v>0</v>
      </c>
      <c r="T94" s="16" t="inlineStr">
        <is>
          <t>https://data-servier.atlassian.net/browse/PPMG-1577</t>
        </is>
      </c>
    </row>
    <row r="95">
      <c r="A95" s="16" t="inlineStr">
        <is>
          <t>403230</t>
        </is>
      </c>
      <c r="B95" s="16" t="inlineStr">
        <is>
          <t>PPMG-1578</t>
        </is>
      </c>
      <c r="C95" s="16" t="inlineStr">
        <is>
          <t>PPMG-1578</t>
        </is>
      </c>
      <c r="D95" s="16" t="inlineStr"/>
      <c r="E95" s="16" t="inlineStr">
        <is>
          <t>Ouvert</t>
        </is>
      </c>
      <c r="F95" s="16" t="inlineStr">
        <is>
          <t>new</t>
        </is>
      </c>
      <c r="G95" s="16" t="inlineStr">
        <is>
          <t>Xray Test</t>
        </is>
      </c>
      <c r="H95" s="16" t="inlineStr">
        <is>
          <t>Medium</t>
        </is>
      </c>
      <c r="I95" s="16" t="inlineStr">
        <is>
          <t>Non assigné</t>
        </is>
      </c>
      <c r="J95" s="16" t="inlineStr">
        <is>
          <t>Affichage du menu Planisware Enterprise</t>
        </is>
      </c>
      <c r="K95" s="15" t="n">
        <v>46161.39380787037</v>
      </c>
      <c r="L95" s="15" t="n">
        <v>46161.39383101852</v>
      </c>
      <c r="M95" s="19" t="n">
        <v>19.94</v>
      </c>
      <c r="N95" s="19" t="n">
        <v>19.94</v>
      </c>
      <c r="O95" s="16" t="b">
        <v>0</v>
      </c>
      <c r="P95" s="16" t="inlineStr">
        <is>
          <t>missing</t>
        </is>
      </c>
      <c r="Q95" s="16" t="n">
        <v>0</v>
      </c>
      <c r="R95" s="16" t="n">
        <v>0</v>
      </c>
      <c r="S95" s="16" t="n">
        <v>0</v>
      </c>
      <c r="T95" s="16" t="inlineStr">
        <is>
          <t>https://data-servier.atlassian.net/browse/PPMG-1578</t>
        </is>
      </c>
    </row>
    <row r="96">
      <c r="A96" s="16" t="inlineStr">
        <is>
          <t>403232</t>
        </is>
      </c>
      <c r="B96" s="16" t="inlineStr">
        <is>
          <t>PPMG-1579</t>
        </is>
      </c>
      <c r="C96" s="16" t="inlineStr">
        <is>
          <t>PPMG-1579</t>
        </is>
      </c>
      <c r="D96" s="16" t="inlineStr"/>
      <c r="E96" s="16" t="inlineStr">
        <is>
          <t>Ouvert</t>
        </is>
      </c>
      <c r="F96" s="16" t="inlineStr">
        <is>
          <t>new</t>
        </is>
      </c>
      <c r="G96" s="16" t="inlineStr">
        <is>
          <t>Xray Test</t>
        </is>
      </c>
      <c r="H96" s="16" t="inlineStr">
        <is>
          <t>Medium</t>
        </is>
      </c>
      <c r="I96" s="16" t="inlineStr">
        <is>
          <t>Non assigné</t>
        </is>
      </c>
      <c r="J96" s="16" t="inlineStr">
        <is>
          <t>Présence des sous-menus standards</t>
        </is>
      </c>
      <c r="K96" s="15" t="n">
        <v>46161.39381944444</v>
      </c>
      <c r="L96" s="15" t="n">
        <v>46161.3938425926</v>
      </c>
      <c r="M96" s="19" t="n">
        <v>19.94</v>
      </c>
      <c r="N96" s="19" t="n">
        <v>19.94</v>
      </c>
      <c r="O96" s="16" t="b">
        <v>0</v>
      </c>
      <c r="P96" s="16" t="inlineStr">
        <is>
          <t>missing</t>
        </is>
      </c>
      <c r="Q96" s="16" t="n">
        <v>0</v>
      </c>
      <c r="R96" s="16" t="n">
        <v>0</v>
      </c>
      <c r="S96" s="16" t="n">
        <v>0</v>
      </c>
      <c r="T96" s="16" t="inlineStr">
        <is>
          <t>https://data-servier.atlassian.net/browse/PPMG-1579</t>
        </is>
      </c>
    </row>
    <row r="97">
      <c r="A97" s="16" t="inlineStr">
        <is>
          <t>403487</t>
        </is>
      </c>
      <c r="B97" s="16" t="inlineStr">
        <is>
          <t>PPMG-1580</t>
        </is>
      </c>
      <c r="C97" s="16" t="inlineStr">
        <is>
          <t>PPMG-1580</t>
        </is>
      </c>
      <c r="D97" s="16" t="inlineStr"/>
      <c r="E97" s="16" t="inlineStr">
        <is>
          <t>Ouvert</t>
        </is>
      </c>
      <c r="F97" s="16" t="inlineStr">
        <is>
          <t>new</t>
        </is>
      </c>
      <c r="G97" s="16" t="inlineStr">
        <is>
          <t>Xray Test</t>
        </is>
      </c>
      <c r="H97" s="16" t="inlineStr">
        <is>
          <t>Medium</t>
        </is>
      </c>
      <c r="I97" s="16" t="inlineStr">
        <is>
          <t>Non assigné</t>
        </is>
      </c>
      <c r="J97" s="16" t="inlineStr">
        <is>
          <t>TESTING IMPORT</t>
        </is>
      </c>
      <c r="K97" s="15" t="n">
        <v>46161.39825231482</v>
      </c>
      <c r="L97" s="15" t="n">
        <v>46161.39827546296</v>
      </c>
      <c r="M97" s="19" t="n">
        <v>19.94</v>
      </c>
      <c r="N97" s="19" t="n">
        <v>19.94</v>
      </c>
      <c r="O97" s="16" t="b">
        <v>0</v>
      </c>
      <c r="P97" s="16" t="inlineStr">
        <is>
          <t>missing</t>
        </is>
      </c>
      <c r="Q97" s="16" t="n">
        <v>0</v>
      </c>
      <c r="R97" s="16" t="n">
        <v>0</v>
      </c>
      <c r="S97" s="16" t="n">
        <v>0</v>
      </c>
      <c r="T97" s="16" t="inlineStr">
        <is>
          <t>https://data-servier.atlassian.net/browse/PPMG-1580</t>
        </is>
      </c>
    </row>
    <row r="98">
      <c r="A98" s="16" t="inlineStr">
        <is>
          <t>403489</t>
        </is>
      </c>
      <c r="B98" s="16" t="inlineStr">
        <is>
          <t>PPMG-1581</t>
        </is>
      </c>
      <c r="C98" s="16" t="inlineStr">
        <is>
          <t>PPMG-1581</t>
        </is>
      </c>
      <c r="D98" s="16" t="inlineStr"/>
      <c r="E98" s="16" t="inlineStr">
        <is>
          <t>Ouvert</t>
        </is>
      </c>
      <c r="F98" s="16" t="inlineStr">
        <is>
          <t>new</t>
        </is>
      </c>
      <c r="G98" s="16" t="inlineStr">
        <is>
          <t>Xray Test</t>
        </is>
      </c>
      <c r="H98" s="16" t="inlineStr">
        <is>
          <t>Medium</t>
        </is>
      </c>
      <c r="I98" s="16" t="inlineStr">
        <is>
          <t>Non assigné</t>
        </is>
      </c>
      <c r="J98" s="16" t="inlineStr">
        <is>
          <t>Présence des sous-menus standards</t>
        </is>
      </c>
      <c r="K98" s="15" t="n">
        <v>46161.39826388889</v>
      </c>
      <c r="L98" s="15" t="n">
        <v>46161.39828703704</v>
      </c>
      <c r="M98" s="19" t="n">
        <v>19.94</v>
      </c>
      <c r="N98" s="19" t="n">
        <v>19.94</v>
      </c>
      <c r="O98" s="16" t="b">
        <v>0</v>
      </c>
      <c r="P98" s="16" t="inlineStr">
        <is>
          <t>missing</t>
        </is>
      </c>
      <c r="Q98" s="16" t="n">
        <v>0</v>
      </c>
      <c r="R98" s="16" t="n">
        <v>0</v>
      </c>
      <c r="S98" s="16" t="n">
        <v>0</v>
      </c>
      <c r="T98" s="16" t="inlineStr">
        <is>
          <t>https://data-servier.atlassian.net/browse/PPMG-1581</t>
        </is>
      </c>
    </row>
    <row r="99">
      <c r="A99" s="16" t="inlineStr">
        <is>
          <t>403607</t>
        </is>
      </c>
      <c r="B99" s="16" t="inlineStr">
        <is>
          <t>PPMG-1582</t>
        </is>
      </c>
      <c r="C99" s="16" t="inlineStr">
        <is>
          <t>PPMG-1582</t>
        </is>
      </c>
      <c r="D99" s="16" t="inlineStr"/>
      <c r="E99" s="16" t="inlineStr">
        <is>
          <t>Ouvert</t>
        </is>
      </c>
      <c r="F99" s="16" t="inlineStr">
        <is>
          <t>new</t>
        </is>
      </c>
      <c r="G99" s="16" t="inlineStr">
        <is>
          <t>Xray Test</t>
        </is>
      </c>
      <c r="H99" s="16" t="inlineStr">
        <is>
          <t>Medium</t>
        </is>
      </c>
      <c r="I99" s="16" t="inlineStr">
        <is>
          <t>Non assigné</t>
        </is>
      </c>
      <c r="J99" s="16" t="inlineStr">
        <is>
          <t>TESTING IMPORT</t>
        </is>
      </c>
      <c r="K99" s="15" t="n">
        <v>46161.40030092592</v>
      </c>
      <c r="L99" s="15" t="n">
        <v>46161.40032407407</v>
      </c>
      <c r="M99" s="19" t="n">
        <v>19.94</v>
      </c>
      <c r="N99" s="19" t="n">
        <v>19.94</v>
      </c>
      <c r="O99" s="16" t="b">
        <v>0</v>
      </c>
      <c r="P99" s="16" t="inlineStr">
        <is>
          <t>missing</t>
        </is>
      </c>
      <c r="Q99" s="16" t="n">
        <v>0</v>
      </c>
      <c r="R99" s="16" t="n">
        <v>0</v>
      </c>
      <c r="S99" s="16" t="n">
        <v>0</v>
      </c>
      <c r="T99" s="16" t="inlineStr">
        <is>
          <t>https://data-servier.atlassian.net/browse/PPMG-1582</t>
        </is>
      </c>
    </row>
    <row r="100">
      <c r="A100" s="16" t="inlineStr">
        <is>
          <t>403609</t>
        </is>
      </c>
      <c r="B100" s="16" t="inlineStr">
        <is>
          <t>PPMG-1583</t>
        </is>
      </c>
      <c r="C100" s="16" t="inlineStr">
        <is>
          <t>PPMG-1583</t>
        </is>
      </c>
      <c r="D100" s="16" t="inlineStr"/>
      <c r="E100" s="16" t="inlineStr">
        <is>
          <t>Ouvert</t>
        </is>
      </c>
      <c r="F100" s="16" t="inlineStr">
        <is>
          <t>new</t>
        </is>
      </c>
      <c r="G100" s="16" t="inlineStr">
        <is>
          <t>Xray Test</t>
        </is>
      </c>
      <c r="H100" s="16" t="inlineStr">
        <is>
          <t>Medium</t>
        </is>
      </c>
      <c r="I100" s="16" t="inlineStr">
        <is>
          <t>Non assigné</t>
        </is>
      </c>
      <c r="J100" s="16" t="inlineStr">
        <is>
          <t>TESTING IMPORT</t>
        </is>
      </c>
      <c r="K100" s="15" t="n">
        <v>46161.4003125</v>
      </c>
      <c r="L100" s="15" t="n">
        <v>46161.40033564815</v>
      </c>
      <c r="M100" s="19" t="n">
        <v>19.94</v>
      </c>
      <c r="N100" s="19" t="n">
        <v>19.94</v>
      </c>
      <c r="O100" s="16" t="b">
        <v>0</v>
      </c>
      <c r="P100" s="16" t="inlineStr">
        <is>
          <t>missing</t>
        </is>
      </c>
      <c r="Q100" s="16" t="n">
        <v>0</v>
      </c>
      <c r="R100" s="16" t="n">
        <v>0</v>
      </c>
      <c r="S100" s="16" t="n">
        <v>0</v>
      </c>
      <c r="T100" s="16" t="inlineStr">
        <is>
          <t>https://data-servier.atlassian.net/browse/PPMG-1583</t>
        </is>
      </c>
    </row>
    <row r="101">
      <c r="A101" s="16" t="inlineStr">
        <is>
          <t>403610</t>
        </is>
      </c>
      <c r="B101" s="16" t="inlineStr">
        <is>
          <t>PPMG-1584</t>
        </is>
      </c>
      <c r="C101" s="16" t="inlineStr">
        <is>
          <t>PPMG-1584</t>
        </is>
      </c>
      <c r="D101" s="16" t="inlineStr"/>
      <c r="E101" s="16" t="inlineStr">
        <is>
          <t>Ouvert</t>
        </is>
      </c>
      <c r="F101" s="16" t="inlineStr">
        <is>
          <t>new</t>
        </is>
      </c>
      <c r="G101" s="16" t="inlineStr">
        <is>
          <t>Xray Test</t>
        </is>
      </c>
      <c r="H101" s="16" t="inlineStr">
        <is>
          <t>Medium</t>
        </is>
      </c>
      <c r="I101" s="16" t="inlineStr">
        <is>
          <t>Non assigné</t>
        </is>
      </c>
      <c r="J101" s="16" t="inlineStr">
        <is>
          <t>Présence des sous-menus standards</t>
        </is>
      </c>
      <c r="K101" s="15" t="n">
        <v>46161.40032407407</v>
      </c>
      <c r="L101" s="15" t="n">
        <v>46178.59560185186</v>
      </c>
      <c r="M101" s="19" t="n">
        <v>19.94</v>
      </c>
      <c r="N101" s="19" t="n">
        <v>2.74</v>
      </c>
      <c r="O101" s="16" t="b">
        <v>0</v>
      </c>
      <c r="P101" s="16" t="inlineStr">
        <is>
          <t>missing</t>
        </is>
      </c>
      <c r="Q101" s="16" t="n">
        <v>0</v>
      </c>
      <c r="R101" s="16" t="n">
        <v>0</v>
      </c>
      <c r="S101" s="16" t="n">
        <v>0</v>
      </c>
      <c r="T101" s="16" t="inlineStr">
        <is>
          <t>https://data-servier.atlassian.net/browse/PPMG-1584</t>
        </is>
      </c>
    </row>
    <row r="102">
      <c r="A102" s="16" t="inlineStr">
        <is>
          <t>404157</t>
        </is>
      </c>
      <c r="B102" s="16" t="inlineStr">
        <is>
          <t>PPMG-1586</t>
        </is>
      </c>
      <c r="C102" s="16" t="inlineStr">
        <is>
          <t>PPMG-1586</t>
        </is>
      </c>
      <c r="D102" s="16" t="inlineStr"/>
      <c r="E102" s="16" t="inlineStr">
        <is>
          <t>Backlog</t>
        </is>
      </c>
      <c r="F102" s="16" t="inlineStr">
        <is>
          <t>new</t>
        </is>
      </c>
      <c r="G102" s="16" t="inlineStr">
        <is>
          <t>Test Execution</t>
        </is>
      </c>
      <c r="H102" s="16" t="inlineStr">
        <is>
          <t>Medium</t>
        </is>
      </c>
      <c r="I102" s="16" t="inlineStr">
        <is>
          <t>Patrick PONCET</t>
        </is>
      </c>
      <c r="J102" s="16" t="inlineStr">
        <is>
          <t>Ad-hoc execution for PPMG-518</t>
        </is>
      </c>
      <c r="K102" s="15" t="n">
        <v>46162.41481481482</v>
      </c>
      <c r="L102" s="15" t="n">
        <v>46162.41483796296</v>
      </c>
      <c r="M102" s="19" t="n">
        <v>18.92</v>
      </c>
      <c r="N102" s="19" t="n">
        <v>18.92</v>
      </c>
      <c r="O102" s="16" t="b">
        <v>0</v>
      </c>
      <c r="P102" s="16" t="inlineStr">
        <is>
          <t>missing</t>
        </is>
      </c>
      <c r="Q102" s="16" t="n">
        <v>0</v>
      </c>
      <c r="R102" s="16" t="n">
        <v>0</v>
      </c>
      <c r="S102" s="16" t="n">
        <v>0</v>
      </c>
      <c r="T102" s="16" t="inlineStr">
        <is>
          <t>https://data-servier.atlassian.net/browse/PPMG-1586</t>
        </is>
      </c>
    </row>
    <row r="103">
      <c r="A103" s="16" t="inlineStr">
        <is>
          <t>404158</t>
        </is>
      </c>
      <c r="B103" s="16" t="inlineStr">
        <is>
          <t>PPMG-1587</t>
        </is>
      </c>
      <c r="C103" s="16" t="inlineStr">
        <is>
          <t>PPMG-1587</t>
        </is>
      </c>
      <c r="D103" s="16" t="inlineStr"/>
      <c r="E103" s="16" t="inlineStr">
        <is>
          <t>Backlog</t>
        </is>
      </c>
      <c r="F103" s="16" t="inlineStr">
        <is>
          <t>new</t>
        </is>
      </c>
      <c r="G103" s="16" t="inlineStr">
        <is>
          <t>Test Execution</t>
        </is>
      </c>
      <c r="H103" s="16" t="inlineStr">
        <is>
          <t>Medium</t>
        </is>
      </c>
      <c r="I103" s="16" t="inlineStr">
        <is>
          <t>Patrick PONCET</t>
        </is>
      </c>
      <c r="J103" s="16" t="inlineStr">
        <is>
          <t>Ad-hoc execution for PPMG-1555</t>
        </is>
      </c>
      <c r="K103" s="15" t="n">
        <v>46162.41555555556</v>
      </c>
      <c r="L103" s="15" t="n">
        <v>46162.4155787037</v>
      </c>
      <c r="M103" s="19" t="n">
        <v>18.92</v>
      </c>
      <c r="N103" s="19" t="n">
        <v>18.92</v>
      </c>
      <c r="O103" s="16" t="b">
        <v>0</v>
      </c>
      <c r="P103" s="16" t="inlineStr">
        <is>
          <t>missing</t>
        </is>
      </c>
      <c r="Q103" s="16" t="n">
        <v>0</v>
      </c>
      <c r="R103" s="16" t="n">
        <v>0</v>
      </c>
      <c r="S103" s="16" t="n">
        <v>0</v>
      </c>
      <c r="T103" s="16" t="inlineStr">
        <is>
          <t>https://data-servier.atlassian.net/browse/PPMG-1587</t>
        </is>
      </c>
    </row>
    <row r="104">
      <c r="A104" s="16" t="inlineStr">
        <is>
          <t>404531</t>
        </is>
      </c>
      <c r="B104" s="16" t="inlineStr">
        <is>
          <t>PPMG-1589</t>
        </is>
      </c>
      <c r="C104" s="16" t="inlineStr">
        <is>
          <t>PPMG-1589</t>
        </is>
      </c>
      <c r="D104" s="16" t="inlineStr">
        <is>
          <t>Sprint 15 2026</t>
        </is>
      </c>
      <c r="E104" s="16" t="inlineStr">
        <is>
          <t>Validated</t>
        </is>
      </c>
      <c r="F104" s="16" t="inlineStr">
        <is>
          <t>indeterminate</t>
        </is>
      </c>
      <c r="G104" s="16" t="inlineStr">
        <is>
          <t>Bug</t>
        </is>
      </c>
      <c r="H104" s="16" t="inlineStr">
        <is>
          <t>Medium</t>
        </is>
      </c>
      <c r="I104" s="16" t="inlineStr">
        <is>
          <t>Mohamed Amine AOUAINIA</t>
        </is>
      </c>
      <c r="J104" s="16" t="inlineStr">
        <is>
          <t>Problème d'injection des données</t>
        </is>
      </c>
      <c r="K104" s="15" t="n">
        <v>46163.30723379629</v>
      </c>
      <c r="L104" s="15" t="n">
        <v>46163.4402662037</v>
      </c>
      <c r="M104" s="19" t="n">
        <v>18.03</v>
      </c>
      <c r="N104" s="19" t="n">
        <v>17.9</v>
      </c>
      <c r="O104" s="16" t="b">
        <v>0</v>
      </c>
      <c r="P104" s="16" t="inlineStr">
        <is>
          <t>missing</t>
        </is>
      </c>
      <c r="Q104" s="16" t="n">
        <v>1</v>
      </c>
      <c r="R104" s="16" t="n">
        <v>0</v>
      </c>
      <c r="S104" s="16" t="n">
        <v>0</v>
      </c>
      <c r="T104" s="16" t="inlineStr">
        <is>
          <t>https://data-servier.atlassian.net/browse/PPMG-1589</t>
        </is>
      </c>
    </row>
    <row r="105">
      <c r="A105" s="16" t="inlineStr">
        <is>
          <t>410628</t>
        </is>
      </c>
      <c r="B105" s="16" t="inlineStr">
        <is>
          <t>PPMG-1591</t>
        </is>
      </c>
      <c r="C105" s="16" t="inlineStr">
        <is>
          <t>PPMG-1591</t>
        </is>
      </c>
      <c r="D105" s="16" t="inlineStr"/>
      <c r="E105" s="16" t="inlineStr">
        <is>
          <t>Publié</t>
        </is>
      </c>
      <c r="F105" s="16" t="inlineStr">
        <is>
          <t>done</t>
        </is>
      </c>
      <c r="G105" s="16" t="inlineStr">
        <is>
          <t>Xray Test</t>
        </is>
      </c>
      <c r="H105" s="16" t="inlineStr">
        <is>
          <t>Medium</t>
        </is>
      </c>
      <c r="I105" s="16" t="inlineStr">
        <is>
          <t>Yassine BOUARI</t>
        </is>
      </c>
      <c r="J105" s="16" t="inlineStr">
        <is>
          <t>Vérification des modules, pages et styles associés</t>
        </is>
      </c>
      <c r="K105" s="15" t="n">
        <v>46164.57210648148</v>
      </c>
      <c r="L105" s="15" t="n">
        <v>46178.59574074074</v>
      </c>
      <c r="M105" s="19" t="n">
        <v>16.77</v>
      </c>
      <c r="N105" s="19" t="n">
        <v>2.74</v>
      </c>
      <c r="O105" s="16" t="b">
        <v>0</v>
      </c>
      <c r="P105" s="16" t="inlineStr">
        <is>
          <t>missing</t>
        </is>
      </c>
      <c r="Q105" s="16" t="n">
        <v>0</v>
      </c>
      <c r="R105" s="16" t="n">
        <v>0</v>
      </c>
      <c r="S105" s="16" t="n">
        <v>3</v>
      </c>
      <c r="T105" s="16" t="inlineStr">
        <is>
          <t>https://data-servier.atlassian.net/browse/PPMG-1591</t>
        </is>
      </c>
    </row>
    <row r="106">
      <c r="A106" s="16" t="inlineStr">
        <is>
          <t>428228</t>
        </is>
      </c>
      <c r="B106" s="16" t="inlineStr">
        <is>
          <t>PPMG-1592</t>
        </is>
      </c>
      <c r="C106" s="16" t="inlineStr">
        <is>
          <t>PPMG-1592</t>
        </is>
      </c>
      <c r="D106" s="16" t="inlineStr">
        <is>
          <t>Sprint 15 2026</t>
        </is>
      </c>
      <c r="E106" s="16" t="inlineStr">
        <is>
          <t>En cours</t>
        </is>
      </c>
      <c r="F106" s="16" t="inlineStr">
        <is>
          <t>indeterminate</t>
        </is>
      </c>
      <c r="G106" s="16" t="inlineStr">
        <is>
          <t>Bug</t>
        </is>
      </c>
      <c r="H106" s="16" t="inlineStr">
        <is>
          <t>Highest</t>
        </is>
      </c>
      <c r="I106" s="16" t="inlineStr">
        <is>
          <t>Romain CIESLIK</t>
        </is>
      </c>
      <c r="J106" s="16" t="inlineStr">
        <is>
          <t>[INC0892093-INC0892211] Analyse et correctif – erreur “Submitted Gate Not Found” sur Submit Next Gate</t>
        </is>
      </c>
      <c r="K106" s="15" t="n">
        <v>46168.38042824074</v>
      </c>
      <c r="L106" s="15" t="n">
        <v>46169.53322916666</v>
      </c>
      <c r="M106" s="19" t="n">
        <v>12.96</v>
      </c>
      <c r="N106" s="19" t="n">
        <v>11.8</v>
      </c>
      <c r="O106" s="16" t="b">
        <v>0</v>
      </c>
      <c r="P106" s="16" t="inlineStr">
        <is>
          <t>missing</t>
        </is>
      </c>
      <c r="Q106" s="16" t="n">
        <v>0</v>
      </c>
      <c r="R106" s="16" t="n">
        <v>2</v>
      </c>
      <c r="S106" s="16" t="n">
        <v>0</v>
      </c>
      <c r="T106" s="16" t="inlineStr">
        <is>
          <t>https://data-servier.atlassian.net/browse/PPMG-1592</t>
        </is>
      </c>
    </row>
    <row r="107">
      <c r="A107" s="16" t="inlineStr">
        <is>
          <t>428255</t>
        </is>
      </c>
      <c r="B107" s="16" t="inlineStr">
        <is>
          <t>PPMG-1593</t>
        </is>
      </c>
      <c r="C107" s="16" t="inlineStr">
        <is>
          <t>PPMG-1593</t>
        </is>
      </c>
      <c r="D107" s="16" t="inlineStr"/>
      <c r="E107" s="16" t="inlineStr">
        <is>
          <t>Ouvert</t>
        </is>
      </c>
      <c r="F107" s="16" t="inlineStr">
        <is>
          <t>new</t>
        </is>
      </c>
      <c r="G107" s="16" t="inlineStr">
        <is>
          <t>Xray Test</t>
        </is>
      </c>
      <c r="H107" s="16" t="inlineStr">
        <is>
          <t>Medium</t>
        </is>
      </c>
      <c r="I107" s="16" t="inlineStr">
        <is>
          <t>Non assigné</t>
        </is>
      </c>
      <c r="J107" s="16" t="inlineStr">
        <is>
          <t>Vérification du menu Planisware</t>
        </is>
      </c>
      <c r="K107" s="15" t="n">
        <v>46168.40813657407</v>
      </c>
      <c r="L107" s="15" t="n">
        <v>46168.40817129629</v>
      </c>
      <c r="M107" s="19" t="n">
        <v>12.93</v>
      </c>
      <c r="N107" s="19" t="n">
        <v>12.93</v>
      </c>
      <c r="O107" s="16" t="b">
        <v>0</v>
      </c>
      <c r="P107" s="16" t="inlineStr">
        <is>
          <t>missing</t>
        </is>
      </c>
      <c r="Q107" s="16" t="n">
        <v>0</v>
      </c>
      <c r="R107" s="16" t="n">
        <v>0</v>
      </c>
      <c r="S107" s="16" t="n">
        <v>0</v>
      </c>
      <c r="T107" s="16" t="inlineStr">
        <is>
          <t>https://data-servier.atlassian.net/browse/PPMG-1593</t>
        </is>
      </c>
    </row>
    <row r="108">
      <c r="A108" s="16" t="inlineStr">
        <is>
          <t>428463</t>
        </is>
      </c>
      <c r="B108" s="16" t="inlineStr">
        <is>
          <t>PPMG-1691</t>
        </is>
      </c>
      <c r="C108" s="16" t="inlineStr">
        <is>
          <t>PPMG-1691</t>
        </is>
      </c>
      <c r="D108" s="16" t="inlineStr"/>
      <c r="E108" s="16" t="inlineStr">
        <is>
          <t>Ouvert</t>
        </is>
      </c>
      <c r="F108" s="16" t="inlineStr">
        <is>
          <t>new</t>
        </is>
      </c>
      <c r="G108" s="16" t="inlineStr">
        <is>
          <t>Xray Test</t>
        </is>
      </c>
      <c r="H108" s="16" t="inlineStr">
        <is>
          <t>Medium</t>
        </is>
      </c>
      <c r="I108" s="16" t="inlineStr">
        <is>
          <t>Non assigné</t>
        </is>
      </c>
      <c r="J108" s="16" t="inlineStr">
        <is>
          <t>Vérification du module 'Project' , pages et styles associés</t>
        </is>
      </c>
      <c r="K108" s="15" t="n">
        <v>46168.59054398148</v>
      </c>
      <c r="L108" s="15" t="n">
        <v>46168.5905787037</v>
      </c>
      <c r="M108" s="19" t="n">
        <v>12.75</v>
      </c>
      <c r="N108" s="19" t="n">
        <v>12.75</v>
      </c>
      <c r="O108" s="16" t="b">
        <v>0</v>
      </c>
      <c r="P108" s="16" t="inlineStr">
        <is>
          <t>missing</t>
        </is>
      </c>
      <c r="Q108" s="16" t="n">
        <v>0</v>
      </c>
      <c r="R108" s="16" t="n">
        <v>0</v>
      </c>
      <c r="S108" s="16" t="n">
        <v>0</v>
      </c>
      <c r="T108" s="16" t="inlineStr">
        <is>
          <t>https://data-servier.atlassian.net/browse/PPMG-1691</t>
        </is>
      </c>
    </row>
    <row r="109">
      <c r="A109" s="16" t="inlineStr">
        <is>
          <t>428466</t>
        </is>
      </c>
      <c r="B109" s="16" t="inlineStr">
        <is>
          <t>PPMG-1692</t>
        </is>
      </c>
      <c r="C109" s="16" t="inlineStr">
        <is>
          <t>PPMG-1692</t>
        </is>
      </c>
      <c r="D109" s="16" t="inlineStr"/>
      <c r="E109" s="16" t="inlineStr">
        <is>
          <t>Ouvert</t>
        </is>
      </c>
      <c r="F109" s="16" t="inlineStr">
        <is>
          <t>new</t>
        </is>
      </c>
      <c r="G109" s="16" t="inlineStr">
        <is>
          <t>Xray Test</t>
        </is>
      </c>
      <c r="H109" s="16" t="inlineStr">
        <is>
          <t>Medium</t>
        </is>
      </c>
      <c r="I109" s="16" t="inlineStr">
        <is>
          <t>Non assigné</t>
        </is>
      </c>
      <c r="J109" s="16" t="inlineStr">
        <is>
          <t>Création d'une initiative</t>
        </is>
      </c>
      <c r="K109" s="15" t="n">
        <v>46168.59278935185</v>
      </c>
      <c r="L109" s="15" t="n">
        <v>46168.5928125</v>
      </c>
      <c r="M109" s="19" t="n">
        <v>12.75</v>
      </c>
      <c r="N109" s="19" t="n">
        <v>12.75</v>
      </c>
      <c r="O109" s="16" t="b">
        <v>0</v>
      </c>
      <c r="P109" s="16" t="inlineStr">
        <is>
          <t>missing</t>
        </is>
      </c>
      <c r="Q109" s="16" t="n">
        <v>0</v>
      </c>
      <c r="R109" s="16" t="n">
        <v>0</v>
      </c>
      <c r="S109" s="16" t="n">
        <v>0</v>
      </c>
      <c r="T109" s="16" t="inlineStr">
        <is>
          <t>https://data-servier.atlassian.net/browse/PPMG-1692</t>
        </is>
      </c>
    </row>
    <row r="110">
      <c r="A110" s="16" t="inlineStr">
        <is>
          <t>428469</t>
        </is>
      </c>
      <c r="B110" s="16" t="inlineStr">
        <is>
          <t>PPMG-1693</t>
        </is>
      </c>
      <c r="C110" s="16" t="inlineStr">
        <is>
          <t>PPMG-1693</t>
        </is>
      </c>
      <c r="D110" s="16" t="inlineStr"/>
      <c r="E110" s="16" t="inlineStr">
        <is>
          <t>Ouvert</t>
        </is>
      </c>
      <c r="F110" s="16" t="inlineStr">
        <is>
          <t>new</t>
        </is>
      </c>
      <c r="G110" s="16" t="inlineStr">
        <is>
          <t>Xray Test</t>
        </is>
      </c>
      <c r="H110" s="16" t="inlineStr">
        <is>
          <t>Medium</t>
        </is>
      </c>
      <c r="I110" s="16" t="inlineStr">
        <is>
          <t>Non assigné</t>
        </is>
      </c>
      <c r="J110" s="16" t="inlineStr">
        <is>
          <t>Création d'une initiative à composante R&amp;D -PILOT</t>
        </is>
      </c>
      <c r="K110" s="15" t="n">
        <v>46168.59384259259</v>
      </c>
      <c r="L110" s="15" t="n">
        <v>46168.59387731482</v>
      </c>
      <c r="M110" s="19" t="n">
        <v>12.74</v>
      </c>
      <c r="N110" s="19" t="n">
        <v>12.74</v>
      </c>
      <c r="O110" s="16" t="b">
        <v>0</v>
      </c>
      <c r="P110" s="16" t="inlineStr">
        <is>
          <t>missing</t>
        </is>
      </c>
      <c r="Q110" s="16" t="n">
        <v>0</v>
      </c>
      <c r="R110" s="16" t="n">
        <v>0</v>
      </c>
      <c r="S110" s="16" t="n">
        <v>0</v>
      </c>
      <c r="T110" s="16" t="inlineStr">
        <is>
          <t>https://data-servier.atlassian.net/browse/PPMG-1693</t>
        </is>
      </c>
    </row>
    <row r="111">
      <c r="A111" s="16" t="inlineStr">
        <is>
          <t>428475</t>
        </is>
      </c>
      <c r="B111" s="16" t="inlineStr">
        <is>
          <t>PPMG-1694</t>
        </is>
      </c>
      <c r="C111" s="16" t="inlineStr">
        <is>
          <t>PPMG-1694</t>
        </is>
      </c>
      <c r="D111" s="16" t="inlineStr"/>
      <c r="E111" s="16" t="inlineStr">
        <is>
          <t>Ouvert</t>
        </is>
      </c>
      <c r="F111" s="16" t="inlineStr">
        <is>
          <t>new</t>
        </is>
      </c>
      <c r="G111" s="16" t="inlineStr">
        <is>
          <t>Xray Test</t>
        </is>
      </c>
      <c r="H111" s="16" t="inlineStr">
        <is>
          <t>Medium</t>
        </is>
      </c>
      <c r="I111" s="16" t="inlineStr">
        <is>
          <t>Non assigné</t>
        </is>
      </c>
      <c r="J111" s="16" t="inlineStr">
        <is>
          <t>Synchronisation d'un projet VYP - ACTIVITY</t>
        </is>
      </c>
      <c r="K111" s="15" t="n">
        <v>46168.5958912037</v>
      </c>
      <c r="L111" s="15" t="n">
        <v>46168.59592592593</v>
      </c>
      <c r="M111" s="19" t="n">
        <v>12.74</v>
      </c>
      <c r="N111" s="19" t="n">
        <v>12.74</v>
      </c>
      <c r="O111" s="16" t="b">
        <v>0</v>
      </c>
      <c r="P111" s="16" t="inlineStr">
        <is>
          <t>missing</t>
        </is>
      </c>
      <c r="Q111" s="16" t="n">
        <v>0</v>
      </c>
      <c r="R111" s="16" t="n">
        <v>0</v>
      </c>
      <c r="S111" s="16" t="n">
        <v>0</v>
      </c>
      <c r="T111" s="16" t="inlineStr">
        <is>
          <t>https://data-servier.atlassian.net/browse/PPMG-1694</t>
        </is>
      </c>
    </row>
    <row r="112">
      <c r="A112" s="16" t="inlineStr">
        <is>
          <t>428478</t>
        </is>
      </c>
      <c r="B112" s="16" t="inlineStr">
        <is>
          <t>PPMG-1695</t>
        </is>
      </c>
      <c r="C112" s="16" t="inlineStr">
        <is>
          <t>PPMG-1695</t>
        </is>
      </c>
      <c r="D112" s="16" t="inlineStr"/>
      <c r="E112" s="16" t="inlineStr">
        <is>
          <t>Ouvert</t>
        </is>
      </c>
      <c r="F112" s="16" t="inlineStr">
        <is>
          <t>new</t>
        </is>
      </c>
      <c r="G112" s="16" t="inlineStr">
        <is>
          <t>Xray Test</t>
        </is>
      </c>
      <c r="H112" s="16" t="inlineStr">
        <is>
          <t>Medium</t>
        </is>
      </c>
      <c r="I112" s="16" t="inlineStr">
        <is>
          <t>Non assigné</t>
        </is>
      </c>
      <c r="J112" s="16" t="inlineStr">
        <is>
          <t>Planification d'une initiative</t>
        </is>
      </c>
      <c r="K112" s="15" t="n">
        <v>46168.5966550926</v>
      </c>
      <c r="L112" s="15" t="n">
        <v>46168.59667824074</v>
      </c>
      <c r="M112" s="19" t="n">
        <v>12.74</v>
      </c>
      <c r="N112" s="19" t="n">
        <v>12.74</v>
      </c>
      <c r="O112" s="16" t="b">
        <v>0</v>
      </c>
      <c r="P112" s="16" t="inlineStr">
        <is>
          <t>missing</t>
        </is>
      </c>
      <c r="Q112" s="16" t="n">
        <v>0</v>
      </c>
      <c r="R112" s="16" t="n">
        <v>0</v>
      </c>
      <c r="S112" s="16" t="n">
        <v>0</v>
      </c>
      <c r="T112" s="16" t="inlineStr">
        <is>
          <t>https://data-servier.atlassian.net/browse/PPMG-1695</t>
        </is>
      </c>
    </row>
    <row r="113">
      <c r="A113" s="16" t="inlineStr">
        <is>
          <t>428480</t>
        </is>
      </c>
      <c r="B113" s="16" t="inlineStr">
        <is>
          <t>PPMG-1696</t>
        </is>
      </c>
      <c r="C113" s="16" t="inlineStr">
        <is>
          <t>PPMG-1696</t>
        </is>
      </c>
      <c r="D113" s="16" t="inlineStr"/>
      <c r="E113" s="16" t="inlineStr">
        <is>
          <t>Ouvert</t>
        </is>
      </c>
      <c r="F113" s="16" t="inlineStr">
        <is>
          <t>new</t>
        </is>
      </c>
      <c r="G113" s="16" t="inlineStr">
        <is>
          <t>Xray Test</t>
        </is>
      </c>
      <c r="H113" s="16" t="inlineStr">
        <is>
          <t>Medium</t>
        </is>
      </c>
      <c r="I113" s="16" t="inlineStr">
        <is>
          <t>Non assigné</t>
        </is>
      </c>
      <c r="J113" s="16" t="inlineStr">
        <is>
          <t>Estimation budgétaire d'une initiative</t>
        </is>
      </c>
      <c r="K113" s="15" t="n">
        <v>46168.59752314815</v>
      </c>
      <c r="L113" s="15" t="n">
        <v>46168.5975462963</v>
      </c>
      <c r="M113" s="19" t="n">
        <v>12.74</v>
      </c>
      <c r="N113" s="19" t="n">
        <v>12.74</v>
      </c>
      <c r="O113" s="16" t="b">
        <v>0</v>
      </c>
      <c r="P113" s="16" t="inlineStr">
        <is>
          <t>missing</t>
        </is>
      </c>
      <c r="Q113" s="16" t="n">
        <v>0</v>
      </c>
      <c r="R113" s="16" t="n">
        <v>0</v>
      </c>
      <c r="S113" s="16" t="n">
        <v>0</v>
      </c>
      <c r="T113" s="16" t="inlineStr">
        <is>
          <t>https://data-servier.atlassian.net/browse/PPMG-1696</t>
        </is>
      </c>
    </row>
    <row r="114">
      <c r="A114" s="16" t="inlineStr">
        <is>
          <t>428483</t>
        </is>
      </c>
      <c r="B114" s="16" t="inlineStr">
        <is>
          <t>PPMG-1697</t>
        </is>
      </c>
      <c r="C114" s="16" t="inlineStr">
        <is>
          <t>PPMG-1697</t>
        </is>
      </c>
      <c r="D114" s="16" t="inlineStr"/>
      <c r="E114" s="16" t="inlineStr">
        <is>
          <t>Ouvert</t>
        </is>
      </c>
      <c r="F114" s="16" t="inlineStr">
        <is>
          <t>new</t>
        </is>
      </c>
      <c r="G114" s="16" t="inlineStr">
        <is>
          <t>Xray Test</t>
        </is>
      </c>
      <c r="H114" s="16" t="inlineStr">
        <is>
          <t>Medium</t>
        </is>
      </c>
      <c r="I114" s="16" t="inlineStr">
        <is>
          <t>Non assigné</t>
        </is>
      </c>
      <c r="J114" s="16" t="inlineStr">
        <is>
          <t>Estimation de la charge</t>
        </is>
      </c>
      <c r="K114" s="15" t="n">
        <v>46168.59909722222</v>
      </c>
      <c r="L114" s="15" t="n">
        <v>46168.59916666667</v>
      </c>
      <c r="M114" s="19" t="n">
        <v>12.74</v>
      </c>
      <c r="N114" s="19" t="n">
        <v>12.74</v>
      </c>
      <c r="O114" s="16" t="b">
        <v>0</v>
      </c>
      <c r="P114" s="16" t="inlineStr">
        <is>
          <t>missing</t>
        </is>
      </c>
      <c r="Q114" s="16" t="n">
        <v>0</v>
      </c>
      <c r="R114" s="16" t="n">
        <v>0</v>
      </c>
      <c r="S114" s="16" t="n">
        <v>0</v>
      </c>
      <c r="T114" s="16" t="inlineStr">
        <is>
          <t>https://data-servier.atlassian.net/browse/PPMG-1697</t>
        </is>
      </c>
    </row>
    <row r="115">
      <c r="A115" s="16" t="inlineStr">
        <is>
          <t>428484</t>
        </is>
      </c>
      <c r="B115" s="16" t="inlineStr">
        <is>
          <t>PPMG-1698</t>
        </is>
      </c>
      <c r="C115" s="16" t="inlineStr">
        <is>
          <t>PPMG-1698</t>
        </is>
      </c>
      <c r="D115" s="16" t="inlineStr"/>
      <c r="E115" s="16" t="inlineStr">
        <is>
          <t>Ouvert</t>
        </is>
      </c>
      <c r="F115" s="16" t="inlineStr">
        <is>
          <t>new</t>
        </is>
      </c>
      <c r="G115" s="16" t="inlineStr">
        <is>
          <t>Xray Test</t>
        </is>
      </c>
      <c r="H115" s="16" t="inlineStr">
        <is>
          <t>Medium</t>
        </is>
      </c>
      <c r="I115" s="16" t="inlineStr">
        <is>
          <t>Non assigné</t>
        </is>
      </c>
      <c r="J115" s="16" t="inlineStr">
        <is>
          <t>Définition de la valeur d'une initiative ( VBC)</t>
        </is>
      </c>
      <c r="K115" s="15" t="n">
        <v>46168.59969907408</v>
      </c>
      <c r="L115" s="15" t="n">
        <v>46168.59972222222</v>
      </c>
      <c r="M115" s="19" t="n">
        <v>12.74</v>
      </c>
      <c r="N115" s="19" t="n">
        <v>12.74</v>
      </c>
      <c r="O115" s="16" t="b">
        <v>0</v>
      </c>
      <c r="P115" s="16" t="inlineStr">
        <is>
          <t>missing</t>
        </is>
      </c>
      <c r="Q115" s="16" t="n">
        <v>0</v>
      </c>
      <c r="R115" s="16" t="n">
        <v>0</v>
      </c>
      <c r="S115" s="16" t="n">
        <v>0</v>
      </c>
      <c r="T115" s="16" t="inlineStr">
        <is>
          <t>https://data-servier.atlassian.net/browse/PPMG-1698</t>
        </is>
      </c>
    </row>
    <row r="116">
      <c r="A116" s="16" t="inlineStr">
        <is>
          <t>428489</t>
        </is>
      </c>
      <c r="B116" s="16" t="inlineStr">
        <is>
          <t>PPMG-1699</t>
        </is>
      </c>
      <c r="C116" s="16" t="inlineStr">
        <is>
          <t>PPMG-1699</t>
        </is>
      </c>
      <c r="D116" s="16" t="inlineStr"/>
      <c r="E116" s="16" t="inlineStr">
        <is>
          <t>Ouvert</t>
        </is>
      </c>
      <c r="F116" s="16" t="inlineStr">
        <is>
          <t>new</t>
        </is>
      </c>
      <c r="G116" s="16" t="inlineStr">
        <is>
          <t>Xray Test</t>
        </is>
      </c>
      <c r="H116" s="16" t="inlineStr">
        <is>
          <t>Medium</t>
        </is>
      </c>
      <c r="I116" s="16" t="inlineStr">
        <is>
          <t>Non assigné</t>
        </is>
      </c>
      <c r="J116" s="16" t="inlineStr">
        <is>
          <t>Carte d'identité de l'initiative</t>
        </is>
      </c>
      <c r="K116" s="15" t="n">
        <v>46168.60315972222</v>
      </c>
      <c r="L116" s="15" t="n">
        <v>46168.60318287037</v>
      </c>
      <c r="M116" s="19" t="n">
        <v>12.74</v>
      </c>
      <c r="N116" s="19" t="n">
        <v>12.74</v>
      </c>
      <c r="O116" s="16" t="b">
        <v>0</v>
      </c>
      <c r="P116" s="16" t="inlineStr">
        <is>
          <t>missing</t>
        </is>
      </c>
      <c r="Q116" s="16" t="n">
        <v>0</v>
      </c>
      <c r="R116" s="16" t="n">
        <v>0</v>
      </c>
      <c r="S116" s="16" t="n">
        <v>0</v>
      </c>
      <c r="T116" s="16" t="inlineStr">
        <is>
          <t>https://data-servier.atlassian.net/browse/PPMG-1699</t>
        </is>
      </c>
    </row>
    <row r="117">
      <c r="A117" s="16" t="inlineStr">
        <is>
          <t>428501</t>
        </is>
      </c>
      <c r="B117" s="16" t="inlineStr">
        <is>
          <t>PPMG-1700</t>
        </is>
      </c>
      <c r="C117" s="16" t="inlineStr">
        <is>
          <t>PPMG-1700</t>
        </is>
      </c>
      <c r="D117" s="16" t="inlineStr"/>
      <c r="E117" s="16" t="inlineStr">
        <is>
          <t>Ouvert</t>
        </is>
      </c>
      <c r="F117" s="16" t="inlineStr">
        <is>
          <t>new</t>
        </is>
      </c>
      <c r="G117" s="16" t="inlineStr">
        <is>
          <t>Xray Test</t>
        </is>
      </c>
      <c r="H117" s="16" t="inlineStr">
        <is>
          <t>Medium</t>
        </is>
      </c>
      <c r="I117" s="16" t="inlineStr">
        <is>
          <t>Non assigné</t>
        </is>
      </c>
      <c r="J117" s="16" t="inlineStr">
        <is>
          <t>Soumission de l'initiative</t>
        </is>
      </c>
      <c r="K117" s="15" t="n">
        <v>46168.61181712963</v>
      </c>
      <c r="L117" s="15" t="n">
        <v>46168.61185185185</v>
      </c>
      <c r="M117" s="19" t="n">
        <v>12.73</v>
      </c>
      <c r="N117" s="19" t="n">
        <v>12.73</v>
      </c>
      <c r="O117" s="16" t="b">
        <v>0</v>
      </c>
      <c r="P117" s="16" t="inlineStr">
        <is>
          <t>missing</t>
        </is>
      </c>
      <c r="Q117" s="16" t="n">
        <v>0</v>
      </c>
      <c r="R117" s="16" t="n">
        <v>0</v>
      </c>
      <c r="S117" s="16" t="n">
        <v>0</v>
      </c>
      <c r="T117" s="16" t="inlineStr">
        <is>
          <t>https://data-servier.atlassian.net/browse/PPMG-1700</t>
        </is>
      </c>
    </row>
    <row r="118">
      <c r="A118" s="16" t="inlineStr">
        <is>
          <t>428502</t>
        </is>
      </c>
      <c r="B118" s="16" t="inlineStr">
        <is>
          <t>PPMG-1701</t>
        </is>
      </c>
      <c r="C118" s="16" t="inlineStr">
        <is>
          <t>PPMG-1701</t>
        </is>
      </c>
      <c r="D118" s="16" t="inlineStr"/>
      <c r="E118" s="16" t="inlineStr">
        <is>
          <t>Ouvert</t>
        </is>
      </c>
      <c r="F118" s="16" t="inlineStr">
        <is>
          <t>new</t>
        </is>
      </c>
      <c r="G118" s="16" t="inlineStr">
        <is>
          <t>Xray Test</t>
        </is>
      </c>
      <c r="H118" s="16" t="inlineStr">
        <is>
          <t>Medium</t>
        </is>
      </c>
      <c r="I118" s="16" t="inlineStr">
        <is>
          <t>Non assigné</t>
        </is>
      </c>
      <c r="J118" s="16" t="inlineStr">
        <is>
          <t>Créer programme</t>
        </is>
      </c>
      <c r="K118" s="15" t="n">
        <v>46168.61283564815</v>
      </c>
      <c r="L118" s="15" t="n">
        <v>46168.6128587963</v>
      </c>
      <c r="M118" s="19" t="n">
        <v>12.73</v>
      </c>
      <c r="N118" s="19" t="n">
        <v>12.73</v>
      </c>
      <c r="O118" s="16" t="b">
        <v>0</v>
      </c>
      <c r="P118" s="16" t="inlineStr">
        <is>
          <t>missing</t>
        </is>
      </c>
      <c r="Q118" s="16" t="n">
        <v>0</v>
      </c>
      <c r="R118" s="16" t="n">
        <v>0</v>
      </c>
      <c r="S118" s="16" t="n">
        <v>0</v>
      </c>
      <c r="T118" s="16" t="inlineStr">
        <is>
          <t>https://data-servier.atlassian.net/browse/PPMG-1701</t>
        </is>
      </c>
    </row>
    <row r="119">
      <c r="A119" s="16" t="inlineStr">
        <is>
          <t>428503</t>
        </is>
      </c>
      <c r="B119" s="16" t="inlineStr">
        <is>
          <t>PPMG-1702</t>
        </is>
      </c>
      <c r="C119" s="16" t="inlineStr">
        <is>
          <t>PPMG-1702</t>
        </is>
      </c>
      <c r="D119" s="16" t="inlineStr"/>
      <c r="E119" s="16" t="inlineStr">
        <is>
          <t>Ouvert</t>
        </is>
      </c>
      <c r="F119" s="16" t="inlineStr">
        <is>
          <t>new</t>
        </is>
      </c>
      <c r="G119" s="16" t="inlineStr">
        <is>
          <t>Xray Test</t>
        </is>
      </c>
      <c r="H119" s="16" t="inlineStr">
        <is>
          <t>Medium</t>
        </is>
      </c>
      <c r="I119" s="16" t="inlineStr">
        <is>
          <t>Non assigné</t>
        </is>
      </c>
      <c r="J119" s="16" t="inlineStr">
        <is>
          <t>Contrôle de l'initiative</t>
        </is>
      </c>
      <c r="K119" s="15" t="n">
        <v>46168.61351851852</v>
      </c>
      <c r="L119" s="15" t="n">
        <v>46168.61354166667</v>
      </c>
      <c r="M119" s="19" t="n">
        <v>12.72</v>
      </c>
      <c r="N119" s="19" t="n">
        <v>12.72</v>
      </c>
      <c r="O119" s="16" t="b">
        <v>0</v>
      </c>
      <c r="P119" s="16" t="inlineStr">
        <is>
          <t>missing</t>
        </is>
      </c>
      <c r="Q119" s="16" t="n">
        <v>0</v>
      </c>
      <c r="R119" s="16" t="n">
        <v>0</v>
      </c>
      <c r="S119" s="16" t="n">
        <v>0</v>
      </c>
      <c r="T119" s="16" t="inlineStr">
        <is>
          <t>https://data-servier.atlassian.net/browse/PPMG-1702</t>
        </is>
      </c>
    </row>
    <row r="120">
      <c r="A120" s="16" t="inlineStr">
        <is>
          <t>428506</t>
        </is>
      </c>
      <c r="B120" s="16" t="inlineStr">
        <is>
          <t>PPMG-1703</t>
        </is>
      </c>
      <c r="C120" s="16" t="inlineStr">
        <is>
          <t>PPMG-1703</t>
        </is>
      </c>
      <c r="D120" s="16" t="inlineStr"/>
      <c r="E120" s="16" t="inlineStr">
        <is>
          <t>Ouvert</t>
        </is>
      </c>
      <c r="F120" s="16" t="inlineStr">
        <is>
          <t>new</t>
        </is>
      </c>
      <c r="G120" s="16" t="inlineStr">
        <is>
          <t>Xray Test</t>
        </is>
      </c>
      <c r="H120" s="16" t="inlineStr">
        <is>
          <t>Medium</t>
        </is>
      </c>
      <c r="I120" s="16" t="inlineStr">
        <is>
          <t>Non assigné</t>
        </is>
      </c>
      <c r="J120" s="16" t="inlineStr">
        <is>
          <t>Evaluer le scoring</t>
        </is>
      </c>
      <c r="K120" s="15" t="n">
        <v>46168.61483796296</v>
      </c>
      <c r="L120" s="15" t="n">
        <v>46168.61486111111</v>
      </c>
      <c r="M120" s="19" t="n">
        <v>12.72</v>
      </c>
      <c r="N120" s="19" t="n">
        <v>12.72</v>
      </c>
      <c r="O120" s="16" t="b">
        <v>0</v>
      </c>
      <c r="P120" s="16" t="inlineStr">
        <is>
          <t>missing</t>
        </is>
      </c>
      <c r="Q120" s="16" t="n">
        <v>0</v>
      </c>
      <c r="R120" s="16" t="n">
        <v>0</v>
      </c>
      <c r="S120" s="16" t="n">
        <v>0</v>
      </c>
      <c r="T120" s="16" t="inlineStr">
        <is>
          <t>https://data-servier.atlassian.net/browse/PPMG-1703</t>
        </is>
      </c>
    </row>
    <row r="121">
      <c r="A121" s="16" t="inlineStr">
        <is>
          <t>428507</t>
        </is>
      </c>
      <c r="B121" s="16" t="inlineStr">
        <is>
          <t>PPMG-1704</t>
        </is>
      </c>
      <c r="C121" s="16" t="inlineStr">
        <is>
          <t>PPMG-1704</t>
        </is>
      </c>
      <c r="D121" s="16" t="inlineStr"/>
      <c r="E121" s="16" t="inlineStr">
        <is>
          <t>Ouvert</t>
        </is>
      </c>
      <c r="F121" s="16" t="inlineStr">
        <is>
          <t>new</t>
        </is>
      </c>
      <c r="G121" s="16" t="inlineStr">
        <is>
          <t>Xray Test</t>
        </is>
      </c>
      <c r="H121" s="16" t="inlineStr">
        <is>
          <t>Medium</t>
        </is>
      </c>
      <c r="I121" s="16" t="inlineStr">
        <is>
          <t>Non assigné</t>
        </is>
      </c>
      <c r="J121" s="16" t="inlineStr">
        <is>
          <t>Allocation de budget</t>
        </is>
      </c>
      <c r="K121" s="15" t="n">
        <v>46168.61546296296</v>
      </c>
      <c r="L121" s="15" t="n">
        <v>46168.61549768518</v>
      </c>
      <c r="M121" s="19" t="n">
        <v>12.72</v>
      </c>
      <c r="N121" s="19" t="n">
        <v>12.72</v>
      </c>
      <c r="O121" s="16" t="b">
        <v>0</v>
      </c>
      <c r="P121" s="16" t="inlineStr">
        <is>
          <t>missing</t>
        </is>
      </c>
      <c r="Q121" s="16" t="n">
        <v>0</v>
      </c>
      <c r="R121" s="16" t="n">
        <v>0</v>
      </c>
      <c r="S121" s="16" t="n">
        <v>0</v>
      </c>
      <c r="T121" s="16" t="inlineStr">
        <is>
          <t>https://data-servier.atlassian.net/browse/PPMG-1704</t>
        </is>
      </c>
    </row>
    <row r="122">
      <c r="A122" s="16" t="inlineStr">
        <is>
          <t>428517</t>
        </is>
      </c>
      <c r="B122" s="16" t="inlineStr">
        <is>
          <t>PPMG-1705</t>
        </is>
      </c>
      <c r="C122" s="16" t="inlineStr">
        <is>
          <t>PPMG-1705</t>
        </is>
      </c>
      <c r="D122" s="16" t="inlineStr"/>
      <c r="E122" s="16" t="inlineStr">
        <is>
          <t>Ouvert</t>
        </is>
      </c>
      <c r="F122" s="16" t="inlineStr">
        <is>
          <t>new</t>
        </is>
      </c>
      <c r="G122" s="16" t="inlineStr">
        <is>
          <t>Xray Test</t>
        </is>
      </c>
      <c r="H122" s="16" t="inlineStr">
        <is>
          <t>Medium</t>
        </is>
      </c>
      <c r="I122" s="16" t="inlineStr">
        <is>
          <t>Non assigné</t>
        </is>
      </c>
      <c r="J122" s="16" t="inlineStr">
        <is>
          <t>Validation de gate</t>
        </is>
      </c>
      <c r="K122" s="15" t="n">
        <v>46168.62307870371</v>
      </c>
      <c r="L122" s="15" t="n">
        <v>46168.62310185185</v>
      </c>
      <c r="M122" s="19" t="n">
        <v>12.72</v>
      </c>
      <c r="N122" s="19" t="n">
        <v>12.72</v>
      </c>
      <c r="O122" s="16" t="b">
        <v>0</v>
      </c>
      <c r="P122" s="16" t="inlineStr">
        <is>
          <t>missing</t>
        </is>
      </c>
      <c r="Q122" s="16" t="n">
        <v>0</v>
      </c>
      <c r="R122" s="16" t="n">
        <v>0</v>
      </c>
      <c r="S122" s="16" t="n">
        <v>0</v>
      </c>
      <c r="T122" s="16" t="inlineStr">
        <is>
          <t>https://data-servier.atlassian.net/browse/PPMG-1705</t>
        </is>
      </c>
    </row>
    <row r="123">
      <c r="A123" s="16" t="inlineStr">
        <is>
          <t>428527</t>
        </is>
      </c>
      <c r="B123" s="16" t="inlineStr">
        <is>
          <t>PPMG-1706</t>
        </is>
      </c>
      <c r="C123" s="16" t="inlineStr">
        <is>
          <t>PPMG-1706</t>
        </is>
      </c>
      <c r="D123" s="16" t="inlineStr"/>
      <c r="E123" s="16" t="inlineStr">
        <is>
          <t>Ouvert</t>
        </is>
      </c>
      <c r="F123" s="16" t="inlineStr">
        <is>
          <t>new</t>
        </is>
      </c>
      <c r="G123" s="16" t="inlineStr">
        <is>
          <t>Xray Test</t>
        </is>
      </c>
      <c r="H123" s="16" t="inlineStr">
        <is>
          <t>Medium</t>
        </is>
      </c>
      <c r="I123" s="16" t="inlineStr">
        <is>
          <t>Non assigné</t>
        </is>
      </c>
      <c r="J123" s="16" t="inlineStr">
        <is>
          <t>Mise à jour de l'avancement</t>
        </is>
      </c>
      <c r="K123" s="15" t="n">
        <v>46168.62945601852</v>
      </c>
      <c r="L123" s="15" t="n">
        <v>46168.62947916667</v>
      </c>
      <c r="M123" s="19" t="n">
        <v>12.71</v>
      </c>
      <c r="N123" s="19" t="n">
        <v>12.71</v>
      </c>
      <c r="O123" s="16" t="b">
        <v>0</v>
      </c>
      <c r="P123" s="16" t="inlineStr">
        <is>
          <t>missing</t>
        </is>
      </c>
      <c r="Q123" s="16" t="n">
        <v>0</v>
      </c>
      <c r="R123" s="16" t="n">
        <v>0</v>
      </c>
      <c r="S123" s="16" t="n">
        <v>0</v>
      </c>
      <c r="T123" s="16" t="inlineStr">
        <is>
          <t>https://data-servier.atlassian.net/browse/PPMG-1706</t>
        </is>
      </c>
    </row>
    <row r="124">
      <c r="A124" s="16" t="inlineStr">
        <is>
          <t>428528</t>
        </is>
      </c>
      <c r="B124" s="16" t="inlineStr">
        <is>
          <t>PPMG-1707</t>
        </is>
      </c>
      <c r="C124" s="16" t="inlineStr">
        <is>
          <t>PPMG-1707</t>
        </is>
      </c>
      <c r="D124" s="16" t="inlineStr"/>
      <c r="E124" s="16" t="inlineStr">
        <is>
          <t>Ouvert</t>
        </is>
      </c>
      <c r="F124" s="16" t="inlineStr">
        <is>
          <t>new</t>
        </is>
      </c>
      <c r="G124" s="16" t="inlineStr">
        <is>
          <t>Xray Test</t>
        </is>
      </c>
      <c r="H124" s="16" t="inlineStr">
        <is>
          <t>Medium</t>
        </is>
      </c>
      <c r="I124" s="16" t="inlineStr">
        <is>
          <t>Non assigné</t>
        </is>
      </c>
      <c r="J124" s="16" t="inlineStr">
        <is>
          <t>Gestion des risques ( Risks)</t>
        </is>
      </c>
      <c r="K124" s="15" t="n">
        <v>46168.63060185185</v>
      </c>
      <c r="L124" s="15" t="n">
        <v>46168.630625</v>
      </c>
      <c r="M124" s="19" t="n">
        <v>12.71</v>
      </c>
      <c r="N124" s="19" t="n">
        <v>12.71</v>
      </c>
      <c r="O124" s="16" t="b">
        <v>0</v>
      </c>
      <c r="P124" s="16" t="inlineStr">
        <is>
          <t>missing</t>
        </is>
      </c>
      <c r="Q124" s="16" t="n">
        <v>0</v>
      </c>
      <c r="R124" s="16" t="n">
        <v>0</v>
      </c>
      <c r="S124" s="16" t="n">
        <v>0</v>
      </c>
      <c r="T124" s="16" t="inlineStr">
        <is>
          <t>https://data-servier.atlassian.net/browse/PPMG-1707</t>
        </is>
      </c>
    </row>
    <row r="125">
      <c r="A125" s="16" t="inlineStr">
        <is>
          <t>428533</t>
        </is>
      </c>
      <c r="B125" s="16" t="inlineStr">
        <is>
          <t>PPMG-1708</t>
        </is>
      </c>
      <c r="C125" s="16" t="inlineStr">
        <is>
          <t>PPMG-1708</t>
        </is>
      </c>
      <c r="D125" s="16" t="inlineStr"/>
      <c r="E125" s="16" t="inlineStr">
        <is>
          <t>Ouvert</t>
        </is>
      </c>
      <c r="F125" s="16" t="inlineStr">
        <is>
          <t>new</t>
        </is>
      </c>
      <c r="G125" s="16" t="inlineStr">
        <is>
          <t>Xray Test</t>
        </is>
      </c>
      <c r="H125" s="16" t="inlineStr">
        <is>
          <t>Medium</t>
        </is>
      </c>
      <c r="I125" s="16" t="inlineStr">
        <is>
          <t>Non assigné</t>
        </is>
      </c>
      <c r="J125" s="16" t="inlineStr">
        <is>
          <t>Gestion des problèmes ( Issues)</t>
        </is>
      </c>
      <c r="K125" s="15" t="n">
        <v>46168.63798611111</v>
      </c>
      <c r="L125" s="15" t="n">
        <v>46168.63800925926</v>
      </c>
      <c r="M125" s="19" t="n">
        <v>12.7</v>
      </c>
      <c r="N125" s="19" t="n">
        <v>12.7</v>
      </c>
      <c r="O125" s="16" t="b">
        <v>0</v>
      </c>
      <c r="P125" s="16" t="inlineStr">
        <is>
          <t>missing</t>
        </is>
      </c>
      <c r="Q125" s="16" t="n">
        <v>0</v>
      </c>
      <c r="R125" s="16" t="n">
        <v>0</v>
      </c>
      <c r="S125" s="16" t="n">
        <v>0</v>
      </c>
      <c r="T125" s="16" t="inlineStr">
        <is>
          <t>https://data-servier.atlassian.net/browse/PPMG-1708</t>
        </is>
      </c>
    </row>
    <row r="126">
      <c r="A126" s="16" t="inlineStr">
        <is>
          <t>428534</t>
        </is>
      </c>
      <c r="B126" s="16" t="inlineStr">
        <is>
          <t>PPMG-1709</t>
        </is>
      </c>
      <c r="C126" s="16" t="inlineStr">
        <is>
          <t>PPMG-1709</t>
        </is>
      </c>
      <c r="D126" s="16" t="inlineStr"/>
      <c r="E126" s="16" t="inlineStr">
        <is>
          <t>Ouvert</t>
        </is>
      </c>
      <c r="F126" s="16" t="inlineStr">
        <is>
          <t>new</t>
        </is>
      </c>
      <c r="G126" s="16" t="inlineStr">
        <is>
          <t>Xray Test</t>
        </is>
      </c>
      <c r="H126" s="16" t="inlineStr">
        <is>
          <t>Medium</t>
        </is>
      </c>
      <c r="I126" s="16" t="inlineStr">
        <is>
          <t>Non assigné</t>
        </is>
      </c>
      <c r="J126" s="16" t="inlineStr">
        <is>
          <t>Indicateurs de santé</t>
        </is>
      </c>
      <c r="K126" s="15" t="n">
        <v>46168.63917824074</v>
      </c>
      <c r="L126" s="15" t="n">
        <v>46168.63920138889</v>
      </c>
      <c r="M126" s="19" t="n">
        <v>12.7</v>
      </c>
      <c r="N126" s="19" t="n">
        <v>12.7</v>
      </c>
      <c r="O126" s="16" t="b">
        <v>0</v>
      </c>
      <c r="P126" s="16" t="inlineStr">
        <is>
          <t>missing</t>
        </is>
      </c>
      <c r="Q126" s="16" t="n">
        <v>0</v>
      </c>
      <c r="R126" s="16" t="n">
        <v>0</v>
      </c>
      <c r="S126" s="16" t="n">
        <v>0</v>
      </c>
      <c r="T126" s="16" t="inlineStr">
        <is>
          <t>https://data-servier.atlassian.net/browse/PPMG-1709</t>
        </is>
      </c>
    </row>
    <row r="127">
      <c r="A127" s="16" t="inlineStr">
        <is>
          <t>428535</t>
        </is>
      </c>
      <c r="B127" s="16" t="inlineStr">
        <is>
          <t>PPMG-1710</t>
        </is>
      </c>
      <c r="C127" s="16" t="inlineStr">
        <is>
          <t>PPMG-1710</t>
        </is>
      </c>
      <c r="D127" s="16" t="inlineStr"/>
      <c r="E127" s="16" t="inlineStr">
        <is>
          <t>Ouvert</t>
        </is>
      </c>
      <c r="F127" s="16" t="inlineStr">
        <is>
          <t>new</t>
        </is>
      </c>
      <c r="G127" s="16" t="inlineStr">
        <is>
          <t>Xray Test</t>
        </is>
      </c>
      <c r="H127" s="16" t="inlineStr">
        <is>
          <t>Medium</t>
        </is>
      </c>
      <c r="I127" s="16" t="inlineStr">
        <is>
          <t>Non assigné</t>
        </is>
      </c>
      <c r="J127" s="16" t="inlineStr">
        <is>
          <t>Rapport de l'initiative</t>
        </is>
      </c>
      <c r="K127" s="15" t="n">
        <v>46168.64259259259</v>
      </c>
      <c r="L127" s="15" t="n">
        <v>46168.64262731482</v>
      </c>
      <c r="M127" s="19" t="n">
        <v>12.7</v>
      </c>
      <c r="N127" s="19" t="n">
        <v>12.7</v>
      </c>
      <c r="O127" s="16" t="b">
        <v>0</v>
      </c>
      <c r="P127" s="16" t="inlineStr">
        <is>
          <t>missing</t>
        </is>
      </c>
      <c r="Q127" s="16" t="n">
        <v>0</v>
      </c>
      <c r="R127" s="16" t="n">
        <v>0</v>
      </c>
      <c r="S127" s="16" t="n">
        <v>0</v>
      </c>
      <c r="T127" s="16" t="inlineStr">
        <is>
          <t>https://data-servier.atlassian.net/browse/PPMG-1710</t>
        </is>
      </c>
    </row>
    <row r="128">
      <c r="A128" s="16" t="inlineStr">
        <is>
          <t>428546</t>
        </is>
      </c>
      <c r="B128" s="16" t="inlineStr">
        <is>
          <t>PPMG-1711</t>
        </is>
      </c>
      <c r="C128" s="16" t="inlineStr">
        <is>
          <t>PPMG-1711</t>
        </is>
      </c>
      <c r="D128" s="16" t="inlineStr"/>
      <c r="E128" s="16" t="inlineStr">
        <is>
          <t>Ouvert</t>
        </is>
      </c>
      <c r="F128" s="16" t="inlineStr">
        <is>
          <t>new</t>
        </is>
      </c>
      <c r="G128" s="16" t="inlineStr">
        <is>
          <t>Xray Test</t>
        </is>
      </c>
      <c r="H128" s="16" t="inlineStr">
        <is>
          <t>Medium</t>
        </is>
      </c>
      <c r="I128" s="16" t="inlineStr">
        <is>
          <t>Non assigné</t>
        </is>
      </c>
      <c r="J128" s="16" t="inlineStr">
        <is>
          <t>Suivi des références ( Baselines)</t>
        </is>
      </c>
      <c r="K128" s="15" t="n">
        <v>46168.65061342593</v>
      </c>
      <c r="L128" s="15" t="n">
        <v>46168.65063657407</v>
      </c>
      <c r="M128" s="19" t="n">
        <v>12.69</v>
      </c>
      <c r="N128" s="19" t="n">
        <v>12.69</v>
      </c>
      <c r="O128" s="16" t="b">
        <v>0</v>
      </c>
      <c r="P128" s="16" t="inlineStr">
        <is>
          <t>missing</t>
        </is>
      </c>
      <c r="Q128" s="16" t="n">
        <v>0</v>
      </c>
      <c r="R128" s="16" t="n">
        <v>0</v>
      </c>
      <c r="S128" s="16" t="n">
        <v>0</v>
      </c>
      <c r="T128" s="16" t="inlineStr">
        <is>
          <t>https://data-servier.atlassian.net/browse/PPMG-1711</t>
        </is>
      </c>
    </row>
    <row r="129">
      <c r="A129" s="16" t="inlineStr">
        <is>
          <t>428643</t>
        </is>
      </c>
      <c r="B129" s="16" t="inlineStr">
        <is>
          <t>PPMG-1712</t>
        </is>
      </c>
      <c r="C129" s="16" t="inlineStr">
        <is>
          <t>PPMG-1712</t>
        </is>
      </c>
      <c r="D129" s="16" t="inlineStr"/>
      <c r="E129" s="16" t="inlineStr">
        <is>
          <t>Ouvert</t>
        </is>
      </c>
      <c r="F129" s="16" t="inlineStr">
        <is>
          <t>new</t>
        </is>
      </c>
      <c r="G129" s="16" t="inlineStr">
        <is>
          <t>Xray Test</t>
        </is>
      </c>
      <c r="H129" s="16" t="inlineStr">
        <is>
          <t>Medium</t>
        </is>
      </c>
      <c r="I129" s="16" t="inlineStr">
        <is>
          <t>Non assigné</t>
        </is>
      </c>
      <c r="J129" s="16" t="inlineStr">
        <is>
          <t>Création du portefeuille</t>
        </is>
      </c>
      <c r="K129" s="15" t="n">
        <v>46169.31826388889</v>
      </c>
      <c r="L129" s="15" t="n">
        <v>46169.31829861111</v>
      </c>
      <c r="M129" s="19" t="n">
        <v>12.02</v>
      </c>
      <c r="N129" s="19" t="n">
        <v>12.02</v>
      </c>
      <c r="O129" s="16" t="b">
        <v>0</v>
      </c>
      <c r="P129" s="16" t="inlineStr">
        <is>
          <t>missing</t>
        </is>
      </c>
      <c r="Q129" s="16" t="n">
        <v>0</v>
      </c>
      <c r="R129" s="16" t="n">
        <v>0</v>
      </c>
      <c r="S129" s="16" t="n">
        <v>0</v>
      </c>
      <c r="T129" s="16" t="inlineStr">
        <is>
          <t>https://data-servier.atlassian.net/browse/PPMG-1712</t>
        </is>
      </c>
    </row>
    <row r="130">
      <c r="A130" s="16" t="inlineStr">
        <is>
          <t>428646</t>
        </is>
      </c>
      <c r="B130" s="16" t="inlineStr">
        <is>
          <t>PPMG-1713</t>
        </is>
      </c>
      <c r="C130" s="16" t="inlineStr">
        <is>
          <t>PPMG-1713</t>
        </is>
      </c>
      <c r="D130" s="16" t="inlineStr"/>
      <c r="E130" s="16" t="inlineStr">
        <is>
          <t>Ouvert</t>
        </is>
      </c>
      <c r="F130" s="16" t="inlineStr">
        <is>
          <t>new</t>
        </is>
      </c>
      <c r="G130" s="16" t="inlineStr">
        <is>
          <t>Xray Test</t>
        </is>
      </c>
      <c r="H130" s="16" t="inlineStr">
        <is>
          <t>Medium</t>
        </is>
      </c>
      <c r="I130" s="16" t="inlineStr">
        <is>
          <t>Non assigné</t>
        </is>
      </c>
      <c r="J130" s="16" t="inlineStr">
        <is>
          <t>Contrôle et visualisation des rapports portefeuille</t>
        </is>
      </c>
      <c r="K130" s="15" t="n">
        <v>46169.32047453704</v>
      </c>
      <c r="L130" s="15" t="n">
        <v>46169.32049768518</v>
      </c>
      <c r="M130" s="19" t="n">
        <v>12.02</v>
      </c>
      <c r="N130" s="19" t="n">
        <v>12.02</v>
      </c>
      <c r="O130" s="16" t="b">
        <v>0</v>
      </c>
      <c r="P130" s="16" t="inlineStr">
        <is>
          <t>missing</t>
        </is>
      </c>
      <c r="Q130" s="16" t="n">
        <v>0</v>
      </c>
      <c r="R130" s="16" t="n">
        <v>0</v>
      </c>
      <c r="S130" s="16" t="n">
        <v>0</v>
      </c>
      <c r="T130" s="16" t="inlineStr">
        <is>
          <t>https://data-servier.atlassian.net/browse/PPMG-1713</t>
        </is>
      </c>
    </row>
    <row r="131">
      <c r="A131" s="16" t="inlineStr">
        <is>
          <t>428648</t>
        </is>
      </c>
      <c r="B131" s="16" t="inlineStr">
        <is>
          <t>PPMG-1715</t>
        </is>
      </c>
      <c r="C131" s="16" t="inlineStr">
        <is>
          <t>PPMG-1715</t>
        </is>
      </c>
      <c r="D131" s="16" t="inlineStr"/>
      <c r="E131" s="16" t="inlineStr">
        <is>
          <t>Ouvert</t>
        </is>
      </c>
      <c r="F131" s="16" t="inlineStr">
        <is>
          <t>new</t>
        </is>
      </c>
      <c r="G131" s="16" t="inlineStr">
        <is>
          <t>Xray Test</t>
        </is>
      </c>
      <c r="H131" s="16" t="inlineStr">
        <is>
          <t>Medium</t>
        </is>
      </c>
      <c r="I131" s="16" t="inlineStr">
        <is>
          <t>Non assigné</t>
        </is>
      </c>
      <c r="J131" s="16" t="inlineStr">
        <is>
          <t>Vérification Interface ACTIVITY</t>
        </is>
      </c>
      <c r="K131" s="15" t="n">
        <v>46169.32297453703</v>
      </c>
      <c r="L131" s="15" t="n">
        <v>46169.32300925926</v>
      </c>
      <c r="M131" s="19" t="n">
        <v>12.02</v>
      </c>
      <c r="N131" s="19" t="n">
        <v>12.02</v>
      </c>
      <c r="O131" s="16" t="b">
        <v>0</v>
      </c>
      <c r="P131" s="16" t="inlineStr">
        <is>
          <t>missing</t>
        </is>
      </c>
      <c r="Q131" s="16" t="n">
        <v>0</v>
      </c>
      <c r="R131" s="16" t="n">
        <v>0</v>
      </c>
      <c r="S131" s="16" t="n">
        <v>0</v>
      </c>
      <c r="T131" s="16" t="inlineStr">
        <is>
          <t>https://data-servier.atlassian.net/browse/PPMG-1715</t>
        </is>
      </c>
    </row>
    <row r="132">
      <c r="A132" s="16" t="inlineStr">
        <is>
          <t>428649</t>
        </is>
      </c>
      <c r="B132" s="16" t="inlineStr">
        <is>
          <t>PPMG-1716</t>
        </is>
      </c>
      <c r="C132" s="16" t="inlineStr">
        <is>
          <t>PPMG-1716</t>
        </is>
      </c>
      <c r="D132" s="16" t="inlineStr"/>
      <c r="E132" s="16" t="inlineStr">
        <is>
          <t>Ouvert</t>
        </is>
      </c>
      <c r="F132" s="16" t="inlineStr">
        <is>
          <t>new</t>
        </is>
      </c>
      <c r="G132" s="16" t="inlineStr">
        <is>
          <t>Xray Test</t>
        </is>
      </c>
      <c r="H132" s="16" t="inlineStr">
        <is>
          <t>Medium</t>
        </is>
      </c>
      <c r="I132" s="16" t="inlineStr">
        <is>
          <t>Non assigné</t>
        </is>
      </c>
      <c r="J132" s="16" t="inlineStr">
        <is>
          <t>Vérification Interface FEDERATES (Portal)</t>
        </is>
      </c>
      <c r="K132" s="15" t="n">
        <v>46169.32369212963</v>
      </c>
      <c r="L132" s="15" t="n">
        <v>46169.32371527778</v>
      </c>
      <c r="M132" s="19" t="n">
        <v>12.01</v>
      </c>
      <c r="N132" s="19" t="n">
        <v>12.01</v>
      </c>
      <c r="O132" s="16" t="b">
        <v>0</v>
      </c>
      <c r="P132" s="16" t="inlineStr">
        <is>
          <t>missing</t>
        </is>
      </c>
      <c r="Q132" s="16" t="n">
        <v>0</v>
      </c>
      <c r="R132" s="16" t="n">
        <v>0</v>
      </c>
      <c r="S132" s="16" t="n">
        <v>0</v>
      </c>
      <c r="T132" s="16" t="inlineStr">
        <is>
          <t>https://data-servier.atlassian.net/browse/PPMG-1716</t>
        </is>
      </c>
    </row>
    <row r="133">
      <c r="A133" s="16" t="inlineStr">
        <is>
          <t>428651</t>
        </is>
      </c>
      <c r="B133" s="16" t="inlineStr">
        <is>
          <t>PPMG-1717</t>
        </is>
      </c>
      <c r="C133" s="16" t="inlineStr">
        <is>
          <t>PPMG-1717</t>
        </is>
      </c>
      <c r="D133" s="16" t="inlineStr"/>
      <c r="E133" s="16" t="inlineStr">
        <is>
          <t>Ouvert</t>
        </is>
      </c>
      <c r="F133" s="16" t="inlineStr">
        <is>
          <t>new</t>
        </is>
      </c>
      <c r="G133" s="16" t="inlineStr">
        <is>
          <t>Xray Test</t>
        </is>
      </c>
      <c r="H133" s="16" t="inlineStr">
        <is>
          <t>Medium</t>
        </is>
      </c>
      <c r="I133" s="16" t="inlineStr">
        <is>
          <t>Non assigné</t>
        </is>
      </c>
      <c r="J133" s="16" t="inlineStr">
        <is>
          <t>Vérification Interface PILOT</t>
        </is>
      </c>
      <c r="K133" s="15" t="n">
        <v>46169.32502314815</v>
      </c>
      <c r="L133" s="15" t="n">
        <v>46169.3250462963</v>
      </c>
      <c r="M133" s="19" t="n">
        <v>12.01</v>
      </c>
      <c r="N133" s="19" t="n">
        <v>12.01</v>
      </c>
      <c r="O133" s="16" t="b">
        <v>0</v>
      </c>
      <c r="P133" s="16" t="inlineStr">
        <is>
          <t>missing</t>
        </is>
      </c>
      <c r="Q133" s="16" t="n">
        <v>0</v>
      </c>
      <c r="R133" s="16" t="n">
        <v>0</v>
      </c>
      <c r="S133" s="16" t="n">
        <v>0</v>
      </c>
      <c r="T133" s="16" t="inlineStr">
        <is>
          <t>https://data-servier.atlassian.net/browse/PPMG-1717</t>
        </is>
      </c>
    </row>
    <row r="134">
      <c r="A134" s="16" t="inlineStr">
        <is>
          <t>428652</t>
        </is>
      </c>
      <c r="B134" s="16" t="inlineStr">
        <is>
          <t>PPMG-1718</t>
        </is>
      </c>
      <c r="C134" s="16" t="inlineStr">
        <is>
          <t>PPMG-1718</t>
        </is>
      </c>
      <c r="D134" s="16" t="inlineStr"/>
      <c r="E134" s="16" t="inlineStr">
        <is>
          <t>Ouvert</t>
        </is>
      </c>
      <c r="F134" s="16" t="inlineStr">
        <is>
          <t>new</t>
        </is>
      </c>
      <c r="G134" s="16" t="inlineStr">
        <is>
          <t>Xray Test</t>
        </is>
      </c>
      <c r="H134" s="16" t="inlineStr">
        <is>
          <t>Medium</t>
        </is>
      </c>
      <c r="I134" s="16" t="inlineStr">
        <is>
          <t>Non assigné</t>
        </is>
      </c>
      <c r="J134" s="16" t="inlineStr">
        <is>
          <t>Vérification Interface DATAPLATFORM</t>
        </is>
      </c>
      <c r="K134" s="15" t="n">
        <v>46169.32555555556</v>
      </c>
      <c r="L134" s="15" t="n">
        <v>46169.32557870371</v>
      </c>
      <c r="M134" s="19" t="n">
        <v>12.01</v>
      </c>
      <c r="N134" s="19" t="n">
        <v>12.01</v>
      </c>
      <c r="O134" s="16" t="b">
        <v>0</v>
      </c>
      <c r="P134" s="16" t="inlineStr">
        <is>
          <t>missing</t>
        </is>
      </c>
      <c r="Q134" s="16" t="n">
        <v>0</v>
      </c>
      <c r="R134" s="16" t="n">
        <v>0</v>
      </c>
      <c r="S134" s="16" t="n">
        <v>0</v>
      </c>
      <c r="T134" s="16" t="inlineStr">
        <is>
          <t>https://data-servier.atlassian.net/browse/PPMG-1718</t>
        </is>
      </c>
    </row>
    <row r="135">
      <c r="A135" s="16" t="inlineStr">
        <is>
          <t>428653</t>
        </is>
      </c>
      <c r="B135" s="16" t="inlineStr">
        <is>
          <t>PPMG-1719</t>
        </is>
      </c>
      <c r="C135" s="16" t="inlineStr">
        <is>
          <t>PPMG-1719</t>
        </is>
      </c>
      <c r="D135" s="16" t="inlineStr"/>
      <c r="E135" s="16" t="inlineStr">
        <is>
          <t>Ouvert</t>
        </is>
      </c>
      <c r="F135" s="16" t="inlineStr">
        <is>
          <t>new</t>
        </is>
      </c>
      <c r="G135" s="16" t="inlineStr">
        <is>
          <t>Xray Test</t>
        </is>
      </c>
      <c r="H135" s="16" t="inlineStr">
        <is>
          <t>Medium</t>
        </is>
      </c>
      <c r="I135" s="16" t="inlineStr">
        <is>
          <t>Non assigné</t>
        </is>
      </c>
      <c r="J135" s="16" t="inlineStr">
        <is>
          <t>Vérification des batchs applicatifs</t>
        </is>
      </c>
      <c r="K135" s="15" t="n">
        <v>46169.32613425926</v>
      </c>
      <c r="L135" s="15" t="n">
        <v>46169.32616898148</v>
      </c>
      <c r="M135" s="19" t="n">
        <v>12.01</v>
      </c>
      <c r="N135" s="19" t="n">
        <v>12.01</v>
      </c>
      <c r="O135" s="16" t="b">
        <v>0</v>
      </c>
      <c r="P135" s="16" t="inlineStr">
        <is>
          <t>missing</t>
        </is>
      </c>
      <c r="Q135" s="16" t="n">
        <v>0</v>
      </c>
      <c r="R135" s="16" t="n">
        <v>0</v>
      </c>
      <c r="S135" s="16" t="n">
        <v>0</v>
      </c>
      <c r="T135" s="16" t="inlineStr">
        <is>
          <t>https://data-servier.atlassian.net/browse/PPMG-1719</t>
        </is>
      </c>
    </row>
    <row r="136">
      <c r="A136" s="16" t="inlineStr">
        <is>
          <t>428654</t>
        </is>
      </c>
      <c r="B136" s="16" t="inlineStr">
        <is>
          <t>PPMG-1720</t>
        </is>
      </c>
      <c r="C136" s="16" t="inlineStr">
        <is>
          <t>PPMG-1720</t>
        </is>
      </c>
      <c r="D136" s="16" t="inlineStr"/>
      <c r="E136" s="16" t="inlineStr">
        <is>
          <t>Ouvert</t>
        </is>
      </c>
      <c r="F136" s="16" t="inlineStr">
        <is>
          <t>new</t>
        </is>
      </c>
      <c r="G136" s="16" t="inlineStr">
        <is>
          <t>Xray Test</t>
        </is>
      </c>
      <c r="H136" s="16" t="inlineStr">
        <is>
          <t>Medium</t>
        </is>
      </c>
      <c r="I136" s="16" t="inlineStr">
        <is>
          <t>Non assigné</t>
        </is>
      </c>
      <c r="J136" s="16" t="inlineStr">
        <is>
          <t>Vérification du calcul des dates</t>
        </is>
      </c>
      <c r="K136" s="15" t="n">
        <v>46169.32678240741</v>
      </c>
      <c r="L136" s="15" t="n">
        <v>46169.32681712963</v>
      </c>
      <c r="M136" s="19" t="n">
        <v>12.01</v>
      </c>
      <c r="N136" s="19" t="n">
        <v>12.01</v>
      </c>
      <c r="O136" s="16" t="b">
        <v>0</v>
      </c>
      <c r="P136" s="16" t="inlineStr">
        <is>
          <t>missing</t>
        </is>
      </c>
      <c r="Q136" s="16" t="n">
        <v>0</v>
      </c>
      <c r="R136" s="16" t="n">
        <v>0</v>
      </c>
      <c r="S136" s="16" t="n">
        <v>0</v>
      </c>
      <c r="T136" s="16" t="inlineStr">
        <is>
          <t>https://data-servier.atlassian.net/browse/PPMG-1720</t>
        </is>
      </c>
    </row>
    <row r="137">
      <c r="A137" s="16" t="inlineStr">
        <is>
          <t>428741</t>
        </is>
      </c>
      <c r="B137" s="16" t="inlineStr">
        <is>
          <t>PPMG-1721</t>
        </is>
      </c>
      <c r="C137" s="16" t="inlineStr">
        <is>
          <t>PPMG-1721</t>
        </is>
      </c>
      <c r="D137" s="16" t="inlineStr"/>
      <c r="E137" s="16" t="inlineStr">
        <is>
          <t>Ouvert</t>
        </is>
      </c>
      <c r="F137" s="16" t="inlineStr">
        <is>
          <t>new</t>
        </is>
      </c>
      <c r="G137" s="16" t="inlineStr">
        <is>
          <t>Xray Test</t>
        </is>
      </c>
      <c r="H137" s="16" t="inlineStr">
        <is>
          <t>Medium</t>
        </is>
      </c>
      <c r="I137" s="16" t="inlineStr">
        <is>
          <t>Non assigné</t>
        </is>
      </c>
      <c r="J137" s="16" t="inlineStr">
        <is>
          <t>Contrôle global des modules, pages et onglets visibles après migration 7.1.6</t>
        </is>
      </c>
      <c r="K137" s="15" t="n">
        <v>46169.48822916667</v>
      </c>
      <c r="L137" s="15" t="n">
        <v>46169.48825231481</v>
      </c>
      <c r="M137" s="19" t="n">
        <v>11.85</v>
      </c>
      <c r="N137" s="19" t="n">
        <v>11.85</v>
      </c>
      <c r="O137" s="16" t="b">
        <v>0</v>
      </c>
      <c r="P137" s="16" t="inlineStr">
        <is>
          <t>missing</t>
        </is>
      </c>
      <c r="Q137" s="16" t="n">
        <v>0</v>
      </c>
      <c r="R137" s="16" t="n">
        <v>0</v>
      </c>
      <c r="S137" s="16" t="n">
        <v>0</v>
      </c>
      <c r="T137" s="16" t="inlineStr">
        <is>
          <t>https://data-servier.atlassian.net/browse/PPMG-1721</t>
        </is>
      </c>
    </row>
    <row r="138">
      <c r="A138" s="16" t="inlineStr">
        <is>
          <t>428817</t>
        </is>
      </c>
      <c r="B138" s="16" t="inlineStr">
        <is>
          <t>PPMG-1722</t>
        </is>
      </c>
      <c r="C138" s="16" t="inlineStr">
        <is>
          <t>PPMG-1722</t>
        </is>
      </c>
      <c r="D138" s="16" t="inlineStr"/>
      <c r="E138" s="16" t="inlineStr">
        <is>
          <t>Ouvert</t>
        </is>
      </c>
      <c r="F138" s="16" t="inlineStr">
        <is>
          <t>new</t>
        </is>
      </c>
      <c r="G138" s="16" t="inlineStr">
        <is>
          <t>Test Set</t>
        </is>
      </c>
      <c r="H138" s="16" t="inlineStr">
        <is>
          <t>Medium</t>
        </is>
      </c>
      <c r="I138" s="16" t="inlineStr">
        <is>
          <t>Non assigné</t>
        </is>
      </c>
      <c r="J138" s="16" t="inlineStr">
        <is>
          <t>Initialisation d'une initiative</t>
        </is>
      </c>
      <c r="K138" s="15" t="n">
        <v>46169.56928240741</v>
      </c>
      <c r="L138" s="15" t="n">
        <v>46170.54076388889</v>
      </c>
      <c r="M138" s="19" t="n">
        <v>11.77</v>
      </c>
      <c r="N138" s="19" t="n">
        <v>10.8</v>
      </c>
      <c r="O138" s="16" t="b">
        <v>0</v>
      </c>
      <c r="P138" s="16" t="inlineStr">
        <is>
          <t>missing</t>
        </is>
      </c>
      <c r="Q138" s="16" t="n">
        <v>0</v>
      </c>
      <c r="R138" s="16" t="n">
        <v>0</v>
      </c>
      <c r="S138" s="16" t="n">
        <v>0</v>
      </c>
      <c r="T138" s="16" t="inlineStr">
        <is>
          <t>https://data-servier.atlassian.net/browse/PPMG-1722</t>
        </is>
      </c>
    </row>
    <row r="139">
      <c r="A139" s="16" t="inlineStr">
        <is>
          <t>428831</t>
        </is>
      </c>
      <c r="B139" s="16" t="inlineStr">
        <is>
          <t>PPMG-1723</t>
        </is>
      </c>
      <c r="C139" s="16" t="inlineStr">
        <is>
          <t>PPMG-1723</t>
        </is>
      </c>
      <c r="D139" s="16" t="inlineStr"/>
      <c r="E139" s="16" t="inlineStr">
        <is>
          <t>Ouvert</t>
        </is>
      </c>
      <c r="F139" s="16" t="inlineStr">
        <is>
          <t>new</t>
        </is>
      </c>
      <c r="G139" s="16" t="inlineStr">
        <is>
          <t>Test Set</t>
        </is>
      </c>
      <c r="H139" s="16" t="inlineStr">
        <is>
          <t>Medium</t>
        </is>
      </c>
      <c r="I139" s="16" t="inlineStr">
        <is>
          <t>Non assigné</t>
        </is>
      </c>
      <c r="J139" s="16" t="inlineStr">
        <is>
          <t>HOME - Navigation et visualisation</t>
        </is>
      </c>
      <c r="K139" s="15" t="n">
        <v>46169.58326388889</v>
      </c>
      <c r="L139" s="15" t="n">
        <v>46170.54034722222</v>
      </c>
      <c r="M139" s="19" t="n">
        <v>11.75</v>
      </c>
      <c r="N139" s="19" t="n">
        <v>10.8</v>
      </c>
      <c r="O139" s="16" t="b">
        <v>0</v>
      </c>
      <c r="P139" s="16" t="inlineStr">
        <is>
          <t>missing</t>
        </is>
      </c>
      <c r="Q139" s="16" t="n">
        <v>0</v>
      </c>
      <c r="R139" s="16" t="n">
        <v>0</v>
      </c>
      <c r="S139" s="16" t="n">
        <v>0</v>
      </c>
      <c r="T139" s="16" t="inlineStr">
        <is>
          <t>https://data-servier.atlassian.net/browse/PPMG-1723</t>
        </is>
      </c>
    </row>
    <row r="140">
      <c r="A140" s="16" t="inlineStr">
        <is>
          <t>428832</t>
        </is>
      </c>
      <c r="B140" s="16" t="inlineStr">
        <is>
          <t>PPMG-1724</t>
        </is>
      </c>
      <c r="C140" s="16" t="inlineStr">
        <is>
          <t>PPMG-1724</t>
        </is>
      </c>
      <c r="D140" s="16" t="inlineStr"/>
      <c r="E140" s="16" t="inlineStr">
        <is>
          <t>Ouvert</t>
        </is>
      </c>
      <c r="F140" s="16" t="inlineStr">
        <is>
          <t>new</t>
        </is>
      </c>
      <c r="G140" s="16" t="inlineStr">
        <is>
          <t>Test Set</t>
        </is>
      </c>
      <c r="H140" s="16" t="inlineStr">
        <is>
          <t>Medium</t>
        </is>
      </c>
      <c r="I140" s="16" t="inlineStr">
        <is>
          <t>Non assigné</t>
        </is>
      </c>
      <c r="J140" s="16" t="inlineStr">
        <is>
          <t>PROJECT - Navigation et visualisation</t>
        </is>
      </c>
      <c r="K140" s="15" t="n">
        <v>46169.58388888889</v>
      </c>
      <c r="L140" s="15" t="n">
        <v>46170.54003472222</v>
      </c>
      <c r="M140" s="19" t="n">
        <v>11.75</v>
      </c>
      <c r="N140" s="19" t="n">
        <v>10.8</v>
      </c>
      <c r="O140" s="16" t="b">
        <v>0</v>
      </c>
      <c r="P140" s="16" t="inlineStr">
        <is>
          <t>missing</t>
        </is>
      </c>
      <c r="Q140" s="16" t="n">
        <v>0</v>
      </c>
      <c r="R140" s="16" t="n">
        <v>0</v>
      </c>
      <c r="S140" s="16" t="n">
        <v>0</v>
      </c>
      <c r="T140" s="16" t="inlineStr">
        <is>
          <t>https://data-servier.atlassian.net/browse/PPMG-1724</t>
        </is>
      </c>
    </row>
    <row r="141">
      <c r="A141" s="16" t="inlineStr">
        <is>
          <t>428834</t>
        </is>
      </c>
      <c r="B141" s="16" t="inlineStr">
        <is>
          <t>PPMG-1725</t>
        </is>
      </c>
      <c r="C141" s="16" t="inlineStr">
        <is>
          <t>PPMG-1725</t>
        </is>
      </c>
      <c r="D141" s="16" t="inlineStr"/>
      <c r="E141" s="16" t="inlineStr">
        <is>
          <t>Ouvert</t>
        </is>
      </c>
      <c r="F141" s="16" t="inlineStr">
        <is>
          <t>new</t>
        </is>
      </c>
      <c r="G141" s="16" t="inlineStr">
        <is>
          <t>Test Set</t>
        </is>
      </c>
      <c r="H141" s="16" t="inlineStr">
        <is>
          <t>Medium</t>
        </is>
      </c>
      <c r="I141" s="16" t="inlineStr">
        <is>
          <t>Non assigné</t>
        </is>
      </c>
      <c r="J141" s="16" t="inlineStr">
        <is>
          <t>Gestion d'un programme</t>
        </is>
      </c>
      <c r="K141" s="15" t="n">
        <v>46169.58480324074</v>
      </c>
      <c r="L141" s="15" t="n">
        <v>46170.53966435185</v>
      </c>
      <c r="M141" s="19" t="n">
        <v>11.75</v>
      </c>
      <c r="N141" s="19" t="n">
        <v>10.8</v>
      </c>
      <c r="O141" s="16" t="b">
        <v>0</v>
      </c>
      <c r="P141" s="16" t="inlineStr">
        <is>
          <t>missing</t>
        </is>
      </c>
      <c r="Q141" s="16" t="n">
        <v>0</v>
      </c>
      <c r="R141" s="16" t="n">
        <v>0</v>
      </c>
      <c r="S141" s="16" t="n">
        <v>0</v>
      </c>
      <c r="T141" s="16" t="inlineStr">
        <is>
          <t>https://data-servier.atlassian.net/browse/PPMG-1725</t>
        </is>
      </c>
    </row>
    <row r="142">
      <c r="A142" s="16" t="inlineStr">
        <is>
          <t>428835</t>
        </is>
      </c>
      <c r="B142" s="16" t="inlineStr">
        <is>
          <t>PPMG-1726</t>
        </is>
      </c>
      <c r="C142" s="16" t="inlineStr">
        <is>
          <t>PPMG-1726</t>
        </is>
      </c>
      <c r="D142" s="16" t="inlineStr"/>
      <c r="E142" s="16" t="inlineStr">
        <is>
          <t>Ouvert</t>
        </is>
      </c>
      <c r="F142" s="16" t="inlineStr">
        <is>
          <t>new</t>
        </is>
      </c>
      <c r="G142" s="16" t="inlineStr">
        <is>
          <t>Test Set</t>
        </is>
      </c>
      <c r="H142" s="16" t="inlineStr">
        <is>
          <t>Medium</t>
        </is>
      </c>
      <c r="I142" s="16" t="inlineStr">
        <is>
          <t>Non assigné</t>
        </is>
      </c>
      <c r="J142" s="16" t="inlineStr">
        <is>
          <t>Gestion de l'initiative</t>
        </is>
      </c>
      <c r="K142" s="15" t="n">
        <v>46169.58539351852</v>
      </c>
      <c r="L142" s="15" t="n">
        <v>46170.53924768518</v>
      </c>
      <c r="M142" s="19" t="n">
        <v>11.75</v>
      </c>
      <c r="N142" s="19" t="n">
        <v>10.8</v>
      </c>
      <c r="O142" s="16" t="b">
        <v>0</v>
      </c>
      <c r="P142" s="16" t="inlineStr">
        <is>
          <t>missing</t>
        </is>
      </c>
      <c r="Q142" s="16" t="n">
        <v>0</v>
      </c>
      <c r="R142" s="16" t="n">
        <v>0</v>
      </c>
      <c r="S142" s="16" t="n">
        <v>0</v>
      </c>
      <c r="T142" s="16" t="inlineStr">
        <is>
          <t>https://data-servier.atlassian.net/browse/PPMG-1726</t>
        </is>
      </c>
    </row>
    <row r="143">
      <c r="A143" s="16" t="inlineStr">
        <is>
          <t>428839</t>
        </is>
      </c>
      <c r="B143" s="16" t="inlineStr">
        <is>
          <t>PPMG-1727</t>
        </is>
      </c>
      <c r="C143" s="16" t="inlineStr">
        <is>
          <t>PPMG-1727</t>
        </is>
      </c>
      <c r="D143" s="16" t="inlineStr"/>
      <c r="E143" s="16" t="inlineStr">
        <is>
          <t>Ouvert</t>
        </is>
      </c>
      <c r="F143" s="16" t="inlineStr">
        <is>
          <t>new</t>
        </is>
      </c>
      <c r="G143" s="16" t="inlineStr">
        <is>
          <t>Test Set</t>
        </is>
      </c>
      <c r="H143" s="16" t="inlineStr">
        <is>
          <t>Medium</t>
        </is>
      </c>
      <c r="I143" s="16" t="inlineStr">
        <is>
          <t>Non assigné</t>
        </is>
      </c>
      <c r="J143" s="16" t="inlineStr">
        <is>
          <t>Pilotage d'une initiative</t>
        </is>
      </c>
      <c r="K143" s="15" t="n">
        <v>46169.58930555556</v>
      </c>
      <c r="L143" s="15" t="n">
        <v>46170.53859953704</v>
      </c>
      <c r="M143" s="19" t="n">
        <v>11.75</v>
      </c>
      <c r="N143" s="19" t="n">
        <v>10.8</v>
      </c>
      <c r="O143" s="16" t="b">
        <v>0</v>
      </c>
      <c r="P143" s="16" t="inlineStr">
        <is>
          <t>missing</t>
        </is>
      </c>
      <c r="Q143" s="16" t="n">
        <v>0</v>
      </c>
      <c r="R143" s="16" t="n">
        <v>0</v>
      </c>
      <c r="S143" s="16" t="n">
        <v>0</v>
      </c>
      <c r="T143" s="16" t="inlineStr">
        <is>
          <t>https://data-servier.atlassian.net/browse/PPMG-1727</t>
        </is>
      </c>
    </row>
    <row r="144">
      <c r="A144" s="16" t="inlineStr">
        <is>
          <t>428856</t>
        </is>
      </c>
      <c r="B144" s="16" t="inlineStr">
        <is>
          <t>PPMG-1728</t>
        </is>
      </c>
      <c r="C144" s="16" t="inlineStr">
        <is>
          <t>PPMG-1728</t>
        </is>
      </c>
      <c r="D144" s="16" t="inlineStr"/>
      <c r="E144" s="16" t="inlineStr">
        <is>
          <t>Ouvert</t>
        </is>
      </c>
      <c r="F144" s="16" t="inlineStr">
        <is>
          <t>new</t>
        </is>
      </c>
      <c r="G144" s="16" t="inlineStr">
        <is>
          <t>Test Set</t>
        </is>
      </c>
      <c r="H144" s="16" t="inlineStr">
        <is>
          <t>Medium</t>
        </is>
      </c>
      <c r="I144" s="16" t="inlineStr">
        <is>
          <t>Non assigné</t>
        </is>
      </c>
      <c r="J144" s="16" t="inlineStr">
        <is>
          <t>Contrôle du Reporting</t>
        </is>
      </c>
      <c r="K144" s="15" t="n">
        <v>46169.59984953704</v>
      </c>
      <c r="L144" s="15" t="n">
        <v>46170.53814814815</v>
      </c>
      <c r="M144" s="19" t="n">
        <v>11.74</v>
      </c>
      <c r="N144" s="19" t="n">
        <v>10.8</v>
      </c>
      <c r="O144" s="16" t="b">
        <v>0</v>
      </c>
      <c r="P144" s="16" t="inlineStr">
        <is>
          <t>missing</t>
        </is>
      </c>
      <c r="Q144" s="16" t="n">
        <v>0</v>
      </c>
      <c r="R144" s="16" t="n">
        <v>0</v>
      </c>
      <c r="S144" s="16" t="n">
        <v>0</v>
      </c>
      <c r="T144" s="16" t="inlineStr">
        <is>
          <t>https://data-servier.atlassian.net/browse/PPMG-1728</t>
        </is>
      </c>
    </row>
    <row r="145">
      <c r="A145" s="16" t="inlineStr">
        <is>
          <t>428857</t>
        </is>
      </c>
      <c r="B145" s="16" t="inlineStr">
        <is>
          <t>PPMG-1729</t>
        </is>
      </c>
      <c r="C145" s="16" t="inlineStr">
        <is>
          <t>PPMG-1729</t>
        </is>
      </c>
      <c r="D145" s="16" t="inlineStr"/>
      <c r="E145" s="16" t="inlineStr">
        <is>
          <t>Ouvert</t>
        </is>
      </c>
      <c r="F145" s="16" t="inlineStr">
        <is>
          <t>new</t>
        </is>
      </c>
      <c r="G145" s="16" t="inlineStr">
        <is>
          <t>Test Set</t>
        </is>
      </c>
      <c r="H145" s="16" t="inlineStr">
        <is>
          <t>Medium</t>
        </is>
      </c>
      <c r="I145" s="16" t="inlineStr">
        <is>
          <t>Non assigné</t>
        </is>
      </c>
      <c r="J145" s="16" t="inlineStr">
        <is>
          <t>Administration - Interface</t>
        </is>
      </c>
      <c r="K145" s="15" t="n">
        <v>46169.60038194444</v>
      </c>
      <c r="L145" s="15" t="n">
        <v>46170.53769675926</v>
      </c>
      <c r="M145" s="19" t="n">
        <v>11.74</v>
      </c>
      <c r="N145" s="19" t="n">
        <v>10.8</v>
      </c>
      <c r="O145" s="16" t="b">
        <v>0</v>
      </c>
      <c r="P145" s="16" t="inlineStr">
        <is>
          <t>missing</t>
        </is>
      </c>
      <c r="Q145" s="16" t="n">
        <v>0</v>
      </c>
      <c r="R145" s="16" t="n">
        <v>0</v>
      </c>
      <c r="S145" s="16" t="n">
        <v>0</v>
      </c>
      <c r="T145" s="16" t="inlineStr">
        <is>
          <t>https://data-servier.atlassian.net/browse/PPMG-1729</t>
        </is>
      </c>
    </row>
    <row r="146">
      <c r="A146" s="16" t="inlineStr">
        <is>
          <t>428859</t>
        </is>
      </c>
      <c r="B146" s="16" t="inlineStr">
        <is>
          <t>PPMG-1730</t>
        </is>
      </c>
      <c r="C146" s="16" t="inlineStr">
        <is>
          <t>PPMG-1730</t>
        </is>
      </c>
      <c r="D146" s="16" t="inlineStr"/>
      <c r="E146" s="16" t="inlineStr">
        <is>
          <t>Ouvert</t>
        </is>
      </c>
      <c r="F146" s="16" t="inlineStr">
        <is>
          <t>new</t>
        </is>
      </c>
      <c r="G146" s="16" t="inlineStr">
        <is>
          <t>Test Set</t>
        </is>
      </c>
      <c r="H146" s="16" t="inlineStr">
        <is>
          <t>Medium</t>
        </is>
      </c>
      <c r="I146" s="16" t="inlineStr">
        <is>
          <t>Non assigné</t>
        </is>
      </c>
      <c r="J146" s="16" t="inlineStr">
        <is>
          <t>Administration - Batchs</t>
        </is>
      </c>
      <c r="K146" s="15" t="n">
        <v>46169.60206018519</v>
      </c>
      <c r="L146" s="15" t="n">
        <v>46170.53646990741</v>
      </c>
      <c r="M146" s="19" t="n">
        <v>11.74</v>
      </c>
      <c r="N146" s="19" t="n">
        <v>10.8</v>
      </c>
      <c r="O146" s="16" t="b">
        <v>0</v>
      </c>
      <c r="P146" s="16" t="inlineStr">
        <is>
          <t>missing</t>
        </is>
      </c>
      <c r="Q146" s="16" t="n">
        <v>0</v>
      </c>
      <c r="R146" s="16" t="n">
        <v>0</v>
      </c>
      <c r="S146" s="16" t="n">
        <v>0</v>
      </c>
      <c r="T146" s="16" t="inlineStr">
        <is>
          <t>https://data-servier.atlassian.net/browse/PPMG-1730</t>
        </is>
      </c>
    </row>
    <row r="147">
      <c r="A147" s="16" t="inlineStr">
        <is>
          <t>428860</t>
        </is>
      </c>
      <c r="B147" s="16" t="inlineStr">
        <is>
          <t>PPMG-1731</t>
        </is>
      </c>
      <c r="C147" s="16" t="inlineStr">
        <is>
          <t>PPMG-1731</t>
        </is>
      </c>
      <c r="D147" s="16" t="inlineStr"/>
      <c r="E147" s="16" t="inlineStr">
        <is>
          <t>Ouvert</t>
        </is>
      </c>
      <c r="F147" s="16" t="inlineStr">
        <is>
          <t>new</t>
        </is>
      </c>
      <c r="G147" s="16" t="inlineStr">
        <is>
          <t>Test Set</t>
        </is>
      </c>
      <c r="H147" s="16" t="inlineStr">
        <is>
          <t>Medium</t>
        </is>
      </c>
      <c r="I147" s="16" t="inlineStr">
        <is>
          <t>Non assigné</t>
        </is>
      </c>
      <c r="J147" s="16" t="inlineStr">
        <is>
          <t>Contrôle global</t>
        </is>
      </c>
      <c r="K147" s="15" t="n">
        <v>46169.60251157408</v>
      </c>
      <c r="L147" s="15" t="n">
        <v>46170.53508101852</v>
      </c>
      <c r="M147" s="19" t="n">
        <v>11.74</v>
      </c>
      <c r="N147" s="19" t="n">
        <v>10.8</v>
      </c>
      <c r="O147" s="16" t="b">
        <v>0</v>
      </c>
      <c r="P147" s="16" t="inlineStr">
        <is>
          <t>missing</t>
        </is>
      </c>
      <c r="Q147" s="16" t="n">
        <v>0</v>
      </c>
      <c r="R147" s="16" t="n">
        <v>0</v>
      </c>
      <c r="S147" s="16" t="n">
        <v>0</v>
      </c>
      <c r="T147" s="16" t="inlineStr">
        <is>
          <t>https://data-servier.atlassian.net/browse/PPMG-1731</t>
        </is>
      </c>
    </row>
    <row r="148">
      <c r="A148" s="16" t="inlineStr">
        <is>
          <t>428893</t>
        </is>
      </c>
      <c r="B148" s="16" t="inlineStr">
        <is>
          <t>PPMG-1734</t>
        </is>
      </c>
      <c r="C148" s="16" t="inlineStr">
        <is>
          <t>PPMG-1734</t>
        </is>
      </c>
      <c r="D148" s="16" t="inlineStr"/>
      <c r="E148" s="16" t="inlineStr">
        <is>
          <t>Backlog</t>
        </is>
      </c>
      <c r="F148" s="16" t="inlineStr">
        <is>
          <t>new</t>
        </is>
      </c>
      <c r="G148" s="16" t="inlineStr">
        <is>
          <t>Test Execution</t>
        </is>
      </c>
      <c r="H148" s="16" t="inlineStr">
        <is>
          <t>Medium</t>
        </is>
      </c>
      <c r="I148" s="16" t="inlineStr">
        <is>
          <t>Pierre KAYA</t>
        </is>
      </c>
      <c r="J148" s="16" t="inlineStr">
        <is>
          <t>Exécution Ad-hoc de PPMG-1732</t>
        </is>
      </c>
      <c r="K148" s="15" t="n">
        <v>46169.6375462963</v>
      </c>
      <c r="L148" s="15" t="n">
        <v>46169.63756944444</v>
      </c>
      <c r="M148" s="19" t="n">
        <v>11.7</v>
      </c>
      <c r="N148" s="19" t="n">
        <v>11.7</v>
      </c>
      <c r="O148" s="16" t="b">
        <v>0</v>
      </c>
      <c r="P148" s="16" t="inlineStr">
        <is>
          <t>missing</t>
        </is>
      </c>
      <c r="Q148" s="16" t="n">
        <v>0</v>
      </c>
      <c r="R148" s="16" t="n">
        <v>0</v>
      </c>
      <c r="S148" s="16" t="n">
        <v>0</v>
      </c>
      <c r="T148" s="16" t="inlineStr">
        <is>
          <t>https://data-servier.atlassian.net/browse/PPMG-1734</t>
        </is>
      </c>
    </row>
    <row r="149">
      <c r="A149" s="16" t="inlineStr">
        <is>
          <t>430762</t>
        </is>
      </c>
      <c r="B149" s="16" t="inlineStr">
        <is>
          <t>PPMG-1735</t>
        </is>
      </c>
      <c r="C149" s="16" t="inlineStr">
        <is>
          <t>PPMG-1735</t>
        </is>
      </c>
      <c r="D149" s="16" t="inlineStr"/>
      <c r="E149" s="16" t="inlineStr">
        <is>
          <t>Ouvert</t>
        </is>
      </c>
      <c r="F149" s="16" t="inlineStr">
        <is>
          <t>new</t>
        </is>
      </c>
      <c r="G149" s="16" t="inlineStr">
        <is>
          <t>Bug</t>
        </is>
      </c>
      <c r="H149" s="16" t="inlineStr">
        <is>
          <t>Medium</t>
        </is>
      </c>
      <c r="I149" s="16" t="inlineStr">
        <is>
          <t>Non assigné</t>
        </is>
      </c>
      <c r="J149" s="16" t="inlineStr">
        <is>
          <t>[MONITORING] BOARD VYP -&gt; DP</t>
        </is>
      </c>
      <c r="K149" s="15" t="n">
        <v>46175.41489583333</v>
      </c>
      <c r="L149" s="15" t="n">
        <v>46175.42846064815</v>
      </c>
      <c r="M149" s="19" t="n">
        <v>5.92</v>
      </c>
      <c r="N149" s="19" t="n">
        <v>5.91</v>
      </c>
      <c r="O149" s="16" t="b">
        <v>1</v>
      </c>
      <c r="P149" s="16" t="inlineStr">
        <is>
          <t>customfield: Acceptance Criteria</t>
        </is>
      </c>
      <c r="Q149" s="16" t="n">
        <v>0</v>
      </c>
      <c r="R149" s="16" t="n">
        <v>1</v>
      </c>
      <c r="S149" s="16" t="n">
        <v>0</v>
      </c>
      <c r="T149" s="16" t="inlineStr">
        <is>
          <t>https://data-servier.atlassian.net/browse/PPMG-1735</t>
        </is>
      </c>
    </row>
    <row r="150">
      <c r="A150" s="16" t="inlineStr">
        <is>
          <t>430771</t>
        </is>
      </c>
      <c r="B150" s="16" t="inlineStr">
        <is>
          <t>PPMG-1736</t>
        </is>
      </c>
      <c r="C150" s="16" t="inlineStr">
        <is>
          <t>PPMG-1736</t>
        </is>
      </c>
      <c r="D150" s="16" t="inlineStr">
        <is>
          <t>Sprint 16 2026</t>
        </is>
      </c>
      <c r="E150" s="16" t="inlineStr">
        <is>
          <t>En cours</t>
        </is>
      </c>
      <c r="F150" s="16" t="inlineStr">
        <is>
          <t>indeterminate</t>
        </is>
      </c>
      <c r="G150" s="16" t="inlineStr">
        <is>
          <t>Tâche</t>
        </is>
      </c>
      <c r="H150" s="16" t="inlineStr">
        <is>
          <t>Medium</t>
        </is>
      </c>
      <c r="I150" s="16" t="inlineStr">
        <is>
          <t>Romain CIESLIK</t>
        </is>
      </c>
      <c r="J150" s="16" t="inlineStr">
        <is>
          <t>Suivi des OTDS corrigés en 7.1.6</t>
        </is>
      </c>
      <c r="K150" s="15" t="n">
        <v>46175.42248842592</v>
      </c>
      <c r="L150" s="15" t="n">
        <v>46175.42498842593</v>
      </c>
      <c r="M150" s="19" t="n">
        <v>5.92</v>
      </c>
      <c r="N150" s="19" t="n">
        <v>5.91</v>
      </c>
      <c r="O150" s="16" t="b">
        <v>0</v>
      </c>
      <c r="P150" s="16" t="inlineStr">
        <is>
          <t>missing</t>
        </is>
      </c>
      <c r="Q150" s="16" t="n">
        <v>1</v>
      </c>
      <c r="R150" s="16" t="n">
        <v>0</v>
      </c>
      <c r="S150" s="16" t="n">
        <v>0</v>
      </c>
      <c r="T150" s="16" t="inlineStr">
        <is>
          <t>https://data-servier.atlassian.net/browse/PPMG-1736</t>
        </is>
      </c>
    </row>
    <row r="151">
      <c r="A151" s="16" t="inlineStr">
        <is>
          <t>431337</t>
        </is>
      </c>
      <c r="B151" s="16" t="inlineStr">
        <is>
          <t>PPMG-1738</t>
        </is>
      </c>
      <c r="C151" s="16" t="inlineStr">
        <is>
          <t>PPMG-1738</t>
        </is>
      </c>
      <c r="D151" s="16" t="inlineStr"/>
      <c r="E151" s="16" t="inlineStr">
        <is>
          <t>Backlog</t>
        </is>
      </c>
      <c r="F151" s="16" t="inlineStr">
        <is>
          <t>new</t>
        </is>
      </c>
      <c r="G151" s="16" t="inlineStr">
        <is>
          <t>Change</t>
        </is>
      </c>
      <c r="H151" s="16" t="inlineStr">
        <is>
          <t>Medium</t>
        </is>
      </c>
      <c r="I151" s="16" t="inlineStr">
        <is>
          <t>Non assigné</t>
        </is>
      </c>
      <c r="J151" s="16" t="inlineStr">
        <is>
          <t>[INC0894833] [Activity] Analyse et évolution de la gestion des erreurs du batch d'import des coûts</t>
        </is>
      </c>
      <c r="K151" s="15" t="n">
        <v>46176.60984953704</v>
      </c>
      <c r="L151" s="15" t="n">
        <v>46176.62060185185</v>
      </c>
      <c r="M151" s="19" t="n">
        <v>4.73</v>
      </c>
      <c r="N151" s="19" t="n">
        <v>4.72</v>
      </c>
      <c r="O151" s="16" t="b">
        <v>0</v>
      </c>
      <c r="P151" s="16" t="inlineStr">
        <is>
          <t>missing</t>
        </is>
      </c>
      <c r="Q151" s="16" t="n">
        <v>1</v>
      </c>
      <c r="R151" s="16" t="n">
        <v>0</v>
      </c>
      <c r="S151" s="16" t="n">
        <v>0</v>
      </c>
      <c r="T151" s="16" t="inlineStr">
        <is>
          <t>https://data-servier.atlassian.net/browse/PPMG-1738</t>
        </is>
      </c>
    </row>
    <row r="152">
      <c r="A152" s="16" t="inlineStr">
        <is>
          <t>431565</t>
        </is>
      </c>
      <c r="B152" s="16" t="inlineStr">
        <is>
          <t>PPMG-1744</t>
        </is>
      </c>
      <c r="C152" s="16" t="inlineStr">
        <is>
          <t>PPMG-1744</t>
        </is>
      </c>
      <c r="D152" s="16" t="inlineStr"/>
      <c r="E152" s="16" t="inlineStr">
        <is>
          <t>Backlog</t>
        </is>
      </c>
      <c r="F152" s="16" t="inlineStr">
        <is>
          <t>new</t>
        </is>
      </c>
      <c r="G152" s="16" t="inlineStr">
        <is>
          <t>Test Execution</t>
        </is>
      </c>
      <c r="H152" s="16" t="inlineStr">
        <is>
          <t>Medium</t>
        </is>
      </c>
      <c r="I152" s="16" t="inlineStr">
        <is>
          <t>Romain CIESLIK</t>
        </is>
      </c>
      <c r="J152" s="16" t="inlineStr">
        <is>
          <t>Exécution Ad-hoc de PPMG-1721</t>
        </is>
      </c>
      <c r="K152" s="15" t="n">
        <v>46177.37787037037</v>
      </c>
      <c r="L152" s="15" t="n">
        <v>46177.37789351852</v>
      </c>
      <c r="M152" s="19" t="n">
        <v>3.96</v>
      </c>
      <c r="N152" s="19" t="n">
        <v>3.96</v>
      </c>
      <c r="O152" s="16" t="b">
        <v>0</v>
      </c>
      <c r="P152" s="16" t="inlineStr">
        <is>
          <t>missing</t>
        </is>
      </c>
      <c r="Q152" s="16" t="n">
        <v>0</v>
      </c>
      <c r="R152" s="16" t="n">
        <v>0</v>
      </c>
      <c r="S152" s="16" t="n">
        <v>0</v>
      </c>
      <c r="T152" s="16" t="inlineStr">
        <is>
          <t>https://data-servier.atlassian.net/browse/PPMG-1744</t>
        </is>
      </c>
    </row>
    <row r="153">
      <c r="A153" s="16" t="inlineStr">
        <is>
          <t>431566</t>
        </is>
      </c>
      <c r="B153" s="16" t="inlineStr">
        <is>
          <t>PPMG-1745</t>
        </is>
      </c>
      <c r="C153" s="16" t="inlineStr">
        <is>
          <t>PPMG-1745</t>
        </is>
      </c>
      <c r="D153" s="16" t="inlineStr"/>
      <c r="E153" s="16" t="inlineStr">
        <is>
          <t>Backlog</t>
        </is>
      </c>
      <c r="F153" s="16" t="inlineStr">
        <is>
          <t>new</t>
        </is>
      </c>
      <c r="G153" s="16" t="inlineStr">
        <is>
          <t>Test Execution</t>
        </is>
      </c>
      <c r="H153" s="16" t="inlineStr">
        <is>
          <t>Medium</t>
        </is>
      </c>
      <c r="I153" s="16" t="inlineStr">
        <is>
          <t>Romain CIESLIK</t>
        </is>
      </c>
      <c r="J153" s="16" t="inlineStr">
        <is>
          <t>Exécution Ad-hoc de PPMG-1721</t>
        </is>
      </c>
      <c r="K153" s="15" t="n">
        <v>46177.37871527778</v>
      </c>
      <c r="L153" s="15" t="n">
        <v>46177.37873842593</v>
      </c>
      <c r="M153" s="19" t="n">
        <v>3.96</v>
      </c>
      <c r="N153" s="19" t="n">
        <v>3.96</v>
      </c>
      <c r="O153" s="16" t="b">
        <v>0</v>
      </c>
      <c r="P153" s="16" t="inlineStr">
        <is>
          <t>missing</t>
        </is>
      </c>
      <c r="Q153" s="16" t="n">
        <v>0</v>
      </c>
      <c r="R153" s="16" t="n">
        <v>0</v>
      </c>
      <c r="S153" s="16" t="n">
        <v>0</v>
      </c>
      <c r="T153" s="16" t="inlineStr">
        <is>
          <t>https://data-servier.atlassian.net/browse/PPMG-1745</t>
        </is>
      </c>
    </row>
    <row r="154">
      <c r="A154" s="16" t="inlineStr">
        <is>
          <t>432027</t>
        </is>
      </c>
      <c r="B154" s="16" t="inlineStr">
        <is>
          <t>PPMG-1747</t>
        </is>
      </c>
      <c r="C154" s="16" t="inlineStr">
        <is>
          <t>PPMG-1747</t>
        </is>
      </c>
      <c r="D154" s="16" t="inlineStr"/>
      <c r="E154" s="16" t="inlineStr">
        <is>
          <t>Backlog</t>
        </is>
      </c>
      <c r="F154" s="16" t="inlineStr">
        <is>
          <t>new</t>
        </is>
      </c>
      <c r="G154" s="16" t="inlineStr">
        <is>
          <t>Test Execution</t>
        </is>
      </c>
      <c r="H154" s="16" t="inlineStr">
        <is>
          <t>Medium</t>
        </is>
      </c>
      <c r="I154" s="16" t="inlineStr">
        <is>
          <t>Romain CIESLIK</t>
        </is>
      </c>
      <c r="J154" s="16" t="inlineStr">
        <is>
          <t>Exécution Ad-hoc de PPMG-1721</t>
        </is>
      </c>
      <c r="K154" s="15" t="n">
        <v>46178.34060185185</v>
      </c>
      <c r="L154" s="15" t="n">
        <v>46178.340625</v>
      </c>
      <c r="M154" s="19" t="n">
        <v>3</v>
      </c>
      <c r="N154" s="19" t="n">
        <v>3</v>
      </c>
      <c r="O154" s="16" t="b">
        <v>0</v>
      </c>
      <c r="P154" s="16" t="inlineStr">
        <is>
          <t>missing</t>
        </is>
      </c>
      <c r="Q154" s="16" t="n">
        <v>0</v>
      </c>
      <c r="R154" s="16" t="n">
        <v>0</v>
      </c>
      <c r="S154" s="16" t="n">
        <v>0</v>
      </c>
      <c r="T154" s="16" t="inlineStr">
        <is>
          <t>https://data-servier.atlassian.net/browse/PPMG-1747</t>
        </is>
      </c>
    </row>
    <row r="155">
      <c r="A155" s="16" t="inlineStr">
        <is>
          <t>432030</t>
        </is>
      </c>
      <c r="B155" s="16" t="inlineStr">
        <is>
          <t>PPMG-1748</t>
        </is>
      </c>
      <c r="C155" s="16" t="inlineStr">
        <is>
          <t>PPMG-1748</t>
        </is>
      </c>
      <c r="D155" s="16" t="inlineStr"/>
      <c r="E155" s="16" t="inlineStr">
        <is>
          <t>Backlog</t>
        </is>
      </c>
      <c r="F155" s="16" t="inlineStr">
        <is>
          <t>new</t>
        </is>
      </c>
      <c r="G155" s="16" t="inlineStr">
        <is>
          <t>Test Execution</t>
        </is>
      </c>
      <c r="H155" s="16" t="inlineStr">
        <is>
          <t>Medium</t>
        </is>
      </c>
      <c r="I155" s="16" t="inlineStr">
        <is>
          <t>Romain CIESLIK</t>
        </is>
      </c>
      <c r="J155" s="16" t="inlineStr">
        <is>
          <t>Exécution Ad-hoc de PPMG-1591</t>
        </is>
      </c>
      <c r="K155" s="15" t="n">
        <v>46178.34344907408</v>
      </c>
      <c r="L155" s="15" t="n">
        <v>46178.3434837963</v>
      </c>
      <c r="M155" s="19" t="n">
        <v>2.99</v>
      </c>
      <c r="N155" s="19" t="n">
        <v>2.99</v>
      </c>
      <c r="O155" s="16" t="b">
        <v>0</v>
      </c>
      <c r="P155" s="16" t="inlineStr">
        <is>
          <t>missing</t>
        </is>
      </c>
      <c r="Q155" s="16" t="n">
        <v>0</v>
      </c>
      <c r="R155" s="16" t="n">
        <v>0</v>
      </c>
      <c r="S155" s="16" t="n">
        <v>0</v>
      </c>
      <c r="T155" s="16" t="inlineStr">
        <is>
          <t>https://data-servier.atlassian.net/browse/PPMG-1748</t>
        </is>
      </c>
    </row>
    <row r="156">
      <c r="A156" s="16" t="inlineStr">
        <is>
          <t>432142</t>
        </is>
      </c>
      <c r="B156" s="16" t="inlineStr">
        <is>
          <t>PPMG-1749</t>
        </is>
      </c>
      <c r="C156" s="16" t="inlineStr">
        <is>
          <t>PPMG-1749</t>
        </is>
      </c>
      <c r="D156" s="16" t="inlineStr"/>
      <c r="E156" s="16" t="inlineStr">
        <is>
          <t>Backlog</t>
        </is>
      </c>
      <c r="F156" s="16" t="inlineStr">
        <is>
          <t>new</t>
        </is>
      </c>
      <c r="G156" s="16" t="inlineStr">
        <is>
          <t>Test Execution</t>
        </is>
      </c>
      <c r="H156" s="16" t="inlineStr">
        <is>
          <t>Medium</t>
        </is>
      </c>
      <c r="I156" s="16" t="inlineStr">
        <is>
          <t>Yassine BOUARI</t>
        </is>
      </c>
      <c r="J156" s="16" t="inlineStr">
        <is>
          <t>Exécution Ad-hoc de PPMG-1591</t>
        </is>
      </c>
      <c r="K156" s="15" t="n">
        <v>46178.5012037037</v>
      </c>
      <c r="L156" s="15" t="n">
        <v>46178.57373842593</v>
      </c>
      <c r="M156" s="19" t="n">
        <v>2.84</v>
      </c>
      <c r="N156" s="19" t="n">
        <v>2.76</v>
      </c>
      <c r="O156" s="16" t="b">
        <v>0</v>
      </c>
      <c r="P156" s="16" t="inlineStr">
        <is>
          <t>missing</t>
        </is>
      </c>
      <c r="Q156" s="16" t="n">
        <v>0</v>
      </c>
      <c r="R156" s="16" t="n">
        <v>0</v>
      </c>
      <c r="S156" s="16" t="n">
        <v>3</v>
      </c>
      <c r="T156" s="16" t="inlineStr">
        <is>
          <t>https://data-servier.atlassian.net/browse/PPMG-1749</t>
        </is>
      </c>
    </row>
    <row r="157">
      <c r="A157" s="16" t="inlineStr">
        <is>
          <t>432178</t>
        </is>
      </c>
      <c r="B157" s="16" t="inlineStr">
        <is>
          <t>PPMG-1750</t>
        </is>
      </c>
      <c r="C157" s="16" t="inlineStr">
        <is>
          <t>PPMG-1750</t>
        </is>
      </c>
      <c r="D157" s="16" t="inlineStr">
        <is>
          <t>Sprint 16 2026</t>
        </is>
      </c>
      <c r="E157" s="16" t="inlineStr">
        <is>
          <t>Ouvert</t>
        </is>
      </c>
      <c r="F157" s="16" t="inlineStr">
        <is>
          <t>new</t>
        </is>
      </c>
      <c r="G157" s="16" t="inlineStr">
        <is>
          <t>Bug</t>
        </is>
      </c>
      <c r="H157" s="16" t="inlineStr">
        <is>
          <t>Medium</t>
        </is>
      </c>
      <c r="I157" s="16" t="inlineStr">
        <is>
          <t>Yassine BOUARI</t>
        </is>
      </c>
      <c r="J157" s="16" t="inlineStr">
        <is>
          <t>[MIG 7.1.6] - Masquer certaines pages dans le module Home</t>
        </is>
      </c>
      <c r="K157" s="15" t="n">
        <v>46178.54023148148</v>
      </c>
      <c r="L157" s="15" t="n">
        <v>46178.57847222222</v>
      </c>
      <c r="M157" s="19" t="n">
        <v>2.8</v>
      </c>
      <c r="N157" s="19" t="n">
        <v>2.76</v>
      </c>
      <c r="O157" s="16" t="b">
        <v>1</v>
      </c>
      <c r="P157" s="16" t="inlineStr">
        <is>
          <t>customfield: Acceptance Criteria</t>
        </is>
      </c>
      <c r="Q157" s="16" t="n">
        <v>0</v>
      </c>
      <c r="R157" s="16" t="n">
        <v>0</v>
      </c>
      <c r="S157" s="16" t="n">
        <v>2</v>
      </c>
      <c r="T157" s="16" t="inlineStr">
        <is>
          <t>https://data-servier.atlassian.net/browse/PPMG-1750</t>
        </is>
      </c>
    </row>
    <row r="158">
      <c r="A158" s="16" t="inlineStr">
        <is>
          <t>432193</t>
        </is>
      </c>
      <c r="B158" s="16" t="inlineStr">
        <is>
          <t>PPMG-1751</t>
        </is>
      </c>
      <c r="C158" s="16" t="inlineStr">
        <is>
          <t>PPMG-1751</t>
        </is>
      </c>
      <c r="D158" s="16" t="inlineStr"/>
      <c r="E158" s="16" t="inlineStr">
        <is>
          <t>Ouvert</t>
        </is>
      </c>
      <c r="F158" s="16" t="inlineStr">
        <is>
          <t>new</t>
        </is>
      </c>
      <c r="G158" s="16" t="inlineStr">
        <is>
          <t>Xray Test</t>
        </is>
      </c>
      <c r="H158" s="16" t="inlineStr">
        <is>
          <t>Medium</t>
        </is>
      </c>
      <c r="I158" s="16" t="inlineStr">
        <is>
          <t>Non assigné</t>
        </is>
      </c>
      <c r="J158" s="16" t="inlineStr">
        <is>
          <t>TEST</t>
        </is>
      </c>
      <c r="K158" s="15" t="n">
        <v>46178.55214120371</v>
      </c>
      <c r="L158" s="15" t="n">
        <v>46178.55216435185</v>
      </c>
      <c r="M158" s="19" t="n">
        <v>2.79</v>
      </c>
      <c r="N158" s="19" t="n">
        <v>2.79</v>
      </c>
      <c r="O158" s="16" t="b">
        <v>0</v>
      </c>
      <c r="P158" s="16" t="inlineStr">
        <is>
          <t>missing</t>
        </is>
      </c>
      <c r="Q158" s="16" t="n">
        <v>0</v>
      </c>
      <c r="R158" s="16" t="n">
        <v>0</v>
      </c>
      <c r="S158" s="16" t="n">
        <v>0</v>
      </c>
      <c r="T158" s="16" t="inlineStr">
        <is>
          <t>https://data-servier.atlassian.net/browse/PPMG-1751</t>
        </is>
      </c>
    </row>
    <row r="159">
      <c r="A159" s="16" t="inlineStr">
        <is>
          <t>432196</t>
        </is>
      </c>
      <c r="B159" s="16" t="inlineStr">
        <is>
          <t>PPMG-1752</t>
        </is>
      </c>
      <c r="C159" s="16" t="inlineStr">
        <is>
          <t>PPMG-1752</t>
        </is>
      </c>
      <c r="D159" s="16" t="inlineStr"/>
      <c r="E159" s="16" t="inlineStr">
        <is>
          <t>Backlog</t>
        </is>
      </c>
      <c r="F159" s="16" t="inlineStr">
        <is>
          <t>new</t>
        </is>
      </c>
      <c r="G159" s="16" t="inlineStr">
        <is>
          <t>Test Execution</t>
        </is>
      </c>
      <c r="H159" s="16" t="inlineStr">
        <is>
          <t>Medium</t>
        </is>
      </c>
      <c r="I159" s="16" t="inlineStr">
        <is>
          <t>Pierre KAYA</t>
        </is>
      </c>
      <c r="J159" s="16" t="inlineStr">
        <is>
          <t>Exécution Ad-hoc de PPMG-1751</t>
        </is>
      </c>
      <c r="K159" s="15" t="n">
        <v>46178.55259259259</v>
      </c>
      <c r="L159" s="15" t="n">
        <v>46178.55261574074</v>
      </c>
      <c r="M159" s="19" t="n">
        <v>2.79</v>
      </c>
      <c r="N159" s="19" t="n">
        <v>2.79</v>
      </c>
      <c r="O159" s="16" t="b">
        <v>0</v>
      </c>
      <c r="P159" s="16" t="inlineStr">
        <is>
          <t>missing</t>
        </is>
      </c>
      <c r="Q159" s="16" t="n">
        <v>0</v>
      </c>
      <c r="R159" s="16" t="n">
        <v>0</v>
      </c>
      <c r="S159" s="16" t="n">
        <v>0</v>
      </c>
      <c r="T159" s="16" t="inlineStr">
        <is>
          <t>https://data-servier.atlassian.net/browse/PPMG-1752</t>
        </is>
      </c>
    </row>
    <row r="160">
      <c r="A160" s="16" t="inlineStr">
        <is>
          <t>432211</t>
        </is>
      </c>
      <c r="B160" s="16" t="inlineStr">
        <is>
          <t>PPMG-1754</t>
        </is>
      </c>
      <c r="C160" s="16" t="inlineStr">
        <is>
          <t>PPMG-1754</t>
        </is>
      </c>
      <c r="D160" s="16" t="inlineStr">
        <is>
          <t>Sprint 16 2026</t>
        </is>
      </c>
      <c r="E160" s="16" t="inlineStr">
        <is>
          <t>Ouvert</t>
        </is>
      </c>
      <c r="F160" s="16" t="inlineStr">
        <is>
          <t>new</t>
        </is>
      </c>
      <c r="G160" s="16" t="inlineStr">
        <is>
          <t>Bug</t>
        </is>
      </c>
      <c r="H160" s="16" t="inlineStr">
        <is>
          <t>Medium</t>
        </is>
      </c>
      <c r="I160" s="16" t="inlineStr">
        <is>
          <t>Yassine BOUARI</t>
        </is>
      </c>
      <c r="J160" s="16" t="inlineStr">
        <is>
          <t>[MIG 7.1.6] - Home page - Liste des "Catégories" différente entre 7.0.6 et 7.1.6</t>
        </is>
      </c>
      <c r="K160" s="15" t="n">
        <v>46178.5737037037</v>
      </c>
      <c r="L160" s="15" t="n">
        <v>46178.57604166667</v>
      </c>
      <c r="M160" s="19" t="n">
        <v>2.76</v>
      </c>
      <c r="N160" s="19" t="n">
        <v>2.76</v>
      </c>
      <c r="O160" s="16" t="b">
        <v>0</v>
      </c>
      <c r="P160" s="16" t="inlineStr">
        <is>
          <t>missing</t>
        </is>
      </c>
      <c r="Q160" s="16" t="n">
        <v>0</v>
      </c>
      <c r="R160" s="16" t="n">
        <v>6</v>
      </c>
      <c r="S160" s="16" t="n">
        <v>2</v>
      </c>
      <c r="T160" s="16" t="inlineStr">
        <is>
          <t>https://data-servier.atlassian.net/browse/PPMG-1754</t>
        </is>
      </c>
    </row>
    <row r="161">
      <c r="A161" s="16" t="inlineStr">
        <is>
          <t>85724</t>
        </is>
      </c>
      <c r="B161" s="16" t="inlineStr">
        <is>
          <t>PPMG-333</t>
        </is>
      </c>
      <c r="C161" s="16" t="inlineStr">
        <is>
          <t>PPMG-333</t>
        </is>
      </c>
      <c r="D161" s="16" t="inlineStr"/>
      <c r="E161" s="16" t="inlineStr">
        <is>
          <t>En cours</t>
        </is>
      </c>
      <c r="F161" s="16" t="inlineStr">
        <is>
          <t>indeterminate</t>
        </is>
      </c>
      <c r="G161" s="16" t="inlineStr">
        <is>
          <t>Feature</t>
        </is>
      </c>
      <c r="H161" s="16" t="inlineStr">
        <is>
          <t>Medium</t>
        </is>
      </c>
      <c r="I161" s="16" t="inlineStr">
        <is>
          <t>Fabrice MARTEL</t>
        </is>
      </c>
      <c r="J161" s="16" t="inlineStr">
        <is>
          <t>GESTION BUDGETAIRE/UG</t>
        </is>
      </c>
      <c r="K161" s="15" t="n">
        <v>44853.58981481481</v>
      </c>
      <c r="L161" s="15" t="n">
        <v>45993.55811342593</v>
      </c>
      <c r="M161" s="19" t="n">
        <v>1327.75</v>
      </c>
      <c r="N161" s="19" t="n">
        <v>187.78</v>
      </c>
      <c r="O161" s="16" t="b">
        <v>0</v>
      </c>
      <c r="P161" s="16" t="inlineStr">
        <is>
          <t>missing</t>
        </is>
      </c>
      <c r="Q161" s="16" t="n">
        <v>0</v>
      </c>
      <c r="R161" s="16" t="n">
        <v>0</v>
      </c>
      <c r="S161" s="16" t="n">
        <v>1</v>
      </c>
      <c r="T161" s="16" t="inlineStr">
        <is>
          <t>https://data-servier.atlassian.net/browse/PPMG-333</t>
        </is>
      </c>
    </row>
    <row r="162">
      <c r="A162" s="16" t="inlineStr">
        <is>
          <t>85725</t>
        </is>
      </c>
      <c r="B162" s="16" t="inlineStr">
        <is>
          <t>PPMG-334</t>
        </is>
      </c>
      <c r="C162" s="16" t="inlineStr">
        <is>
          <t>PPMG-334</t>
        </is>
      </c>
      <c r="D162" s="16" t="inlineStr"/>
      <c r="E162" s="16" t="inlineStr">
        <is>
          <t>Backlog</t>
        </is>
      </c>
      <c r="F162" s="16" t="inlineStr">
        <is>
          <t>new</t>
        </is>
      </c>
      <c r="G162" s="16" t="inlineStr">
        <is>
          <t>Feature</t>
        </is>
      </c>
      <c r="H162" s="16" t="inlineStr">
        <is>
          <t>Medium</t>
        </is>
      </c>
      <c r="I162" s="16" t="inlineStr">
        <is>
          <t>RACHEL CLOIX</t>
        </is>
      </c>
      <c r="J162" s="16" t="inlineStr">
        <is>
          <t>GESTION DE LA VALEUR</t>
        </is>
      </c>
      <c r="K162" s="15" t="n">
        <v>44853.59008101852</v>
      </c>
      <c r="L162" s="15" t="n">
        <v>46049.67186342592</v>
      </c>
      <c r="M162" s="19" t="n">
        <v>1327.75</v>
      </c>
      <c r="N162" s="19" t="n">
        <v>131.67</v>
      </c>
      <c r="O162" s="16" t="b">
        <v>0</v>
      </c>
      <c r="P162" s="16" t="inlineStr">
        <is>
          <t>missing</t>
        </is>
      </c>
      <c r="Q162" s="16" t="n">
        <v>0</v>
      </c>
      <c r="R162" s="16" t="n">
        <v>0</v>
      </c>
      <c r="S162" s="16" t="n">
        <v>0</v>
      </c>
      <c r="T162" s="16" t="inlineStr">
        <is>
          <t>https://data-servier.atlassian.net/browse/PPMG-334</t>
        </is>
      </c>
    </row>
    <row r="163">
      <c r="A163" s="16" t="inlineStr">
        <is>
          <t>85727</t>
        </is>
      </c>
      <c r="B163" s="16" t="inlineStr">
        <is>
          <t>PPMG-336</t>
        </is>
      </c>
      <c r="C163" s="16" t="inlineStr">
        <is>
          <t>PPMG-336</t>
        </is>
      </c>
      <c r="D163" s="16" t="inlineStr"/>
      <c r="E163" s="16" t="inlineStr">
        <is>
          <t>Backlog</t>
        </is>
      </c>
      <c r="F163" s="16" t="inlineStr">
        <is>
          <t>new</t>
        </is>
      </c>
      <c r="G163" s="16" t="inlineStr">
        <is>
          <t>Feature</t>
        </is>
      </c>
      <c r="H163" s="16" t="inlineStr">
        <is>
          <t>Medium</t>
        </is>
      </c>
      <c r="I163" s="16" t="inlineStr">
        <is>
          <t>Fabrice MARTEL</t>
        </is>
      </c>
      <c r="J163" s="16" t="inlineStr">
        <is>
          <t>PILOTAGE &amp; PLANIFICATION</t>
        </is>
      </c>
      <c r="K163" s="15" t="n">
        <v>44853.59076388889</v>
      </c>
      <c r="L163" s="15" t="n">
        <v>45839.56574074074</v>
      </c>
      <c r="M163" s="19" t="n">
        <v>1327.75</v>
      </c>
      <c r="N163" s="19" t="n">
        <v>341.77</v>
      </c>
      <c r="O163" s="16" t="b">
        <v>0</v>
      </c>
      <c r="P163" s="16" t="inlineStr">
        <is>
          <t>missing</t>
        </is>
      </c>
      <c r="Q163" s="16" t="n">
        <v>0</v>
      </c>
      <c r="R163" s="16" t="n">
        <v>0</v>
      </c>
      <c r="S163" s="16" t="n">
        <v>0</v>
      </c>
      <c r="T163" s="16" t="inlineStr">
        <is>
          <t>https://data-servier.atlassian.net/browse/PPMG-336</t>
        </is>
      </c>
    </row>
    <row r="164">
      <c r="A164" s="16" t="inlineStr">
        <is>
          <t>85730</t>
        </is>
      </c>
      <c r="B164" s="16" t="inlineStr">
        <is>
          <t>PPMG-339</t>
        </is>
      </c>
      <c r="C164" s="16" t="inlineStr">
        <is>
          <t>PPMG-339</t>
        </is>
      </c>
      <c r="D164" s="16" t="inlineStr"/>
      <c r="E164" s="16" t="inlineStr">
        <is>
          <t>Backlog</t>
        </is>
      </c>
      <c r="F164" s="16" t="inlineStr">
        <is>
          <t>new</t>
        </is>
      </c>
      <c r="G164" s="16" t="inlineStr">
        <is>
          <t>Feature</t>
        </is>
      </c>
      <c r="H164" s="16" t="inlineStr">
        <is>
          <t>Medium</t>
        </is>
      </c>
      <c r="I164" s="16" t="inlineStr">
        <is>
          <t>Fabrice MARTEL</t>
        </is>
      </c>
      <c r="J164" s="16" t="inlineStr">
        <is>
          <t>SIMULATION DU PORTEFEUILLE</t>
        </is>
      </c>
      <c r="K164" s="15" t="n">
        <v>44853.59133101852</v>
      </c>
      <c r="L164" s="15" t="n">
        <v>45839.56578703703</v>
      </c>
      <c r="M164" s="19" t="n">
        <v>1327.75</v>
      </c>
      <c r="N164" s="19" t="n">
        <v>341.77</v>
      </c>
      <c r="O164" s="16" t="b">
        <v>0</v>
      </c>
      <c r="P164" s="16" t="inlineStr">
        <is>
          <t>missing</t>
        </is>
      </c>
      <c r="Q164" s="16" t="n">
        <v>0</v>
      </c>
      <c r="R164" s="16" t="n">
        <v>0</v>
      </c>
      <c r="S164" s="16" t="n">
        <v>0</v>
      </c>
      <c r="T164" s="16" t="inlineStr">
        <is>
          <t>https://data-servier.atlassian.net/browse/PPMG-339</t>
        </is>
      </c>
    </row>
    <row r="165">
      <c r="A165" s="16" t="inlineStr">
        <is>
          <t>85731</t>
        </is>
      </c>
      <c r="B165" s="16" t="inlineStr">
        <is>
          <t>PPMG-340</t>
        </is>
      </c>
      <c r="C165" s="16" t="inlineStr">
        <is>
          <t>PPMG-340</t>
        </is>
      </c>
      <c r="D165" s="16" t="inlineStr"/>
      <c r="E165" s="16" t="inlineStr">
        <is>
          <t>Backlog</t>
        </is>
      </c>
      <c r="F165" s="16" t="inlineStr">
        <is>
          <t>new</t>
        </is>
      </c>
      <c r="G165" s="16" t="inlineStr">
        <is>
          <t>Feature</t>
        </is>
      </c>
      <c r="H165" s="16" t="inlineStr">
        <is>
          <t>Medium</t>
        </is>
      </c>
      <c r="I165" s="16" t="inlineStr">
        <is>
          <t>Fabrice MARTEL</t>
        </is>
      </c>
      <c r="J165" s="16" t="inlineStr">
        <is>
          <t>GESTION DU PORTEFEUILLE</t>
        </is>
      </c>
      <c r="K165" s="15" t="n">
        <v>44853.59152777777</v>
      </c>
      <c r="L165" s="15" t="n">
        <v>45839.56582175926</v>
      </c>
      <c r="M165" s="19" t="n">
        <v>1327.75</v>
      </c>
      <c r="N165" s="19" t="n">
        <v>341.77</v>
      </c>
      <c r="O165" s="16" t="b">
        <v>0</v>
      </c>
      <c r="P165" s="16" t="inlineStr">
        <is>
          <t>missing</t>
        </is>
      </c>
      <c r="Q165" s="16" t="n">
        <v>0</v>
      </c>
      <c r="R165" s="16" t="n">
        <v>0</v>
      </c>
      <c r="S165" s="16" t="n">
        <v>0</v>
      </c>
      <c r="T165" s="16" t="inlineStr">
        <is>
          <t>https://data-servier.atlassian.net/browse/PPMG-340</t>
        </is>
      </c>
    </row>
    <row r="166">
      <c r="A166" s="16" t="inlineStr">
        <is>
          <t>85774</t>
        </is>
      </c>
      <c r="B166" s="16" t="inlineStr">
        <is>
          <t>PPMG-373</t>
        </is>
      </c>
      <c r="C166" s="16" t="inlineStr">
        <is>
          <t>PPMG-373</t>
        </is>
      </c>
      <c r="D166" s="16" t="inlineStr"/>
      <c r="E166" s="16" t="inlineStr">
        <is>
          <t>Backlog</t>
        </is>
      </c>
      <c r="F166" s="16" t="inlineStr">
        <is>
          <t>new</t>
        </is>
      </c>
      <c r="G166" s="16" t="inlineStr">
        <is>
          <t>Story</t>
        </is>
      </c>
      <c r="H166" s="16" t="inlineStr">
        <is>
          <t>Lowest</t>
        </is>
      </c>
      <c r="I166" s="16" t="inlineStr">
        <is>
          <t>Grégory RUGET</t>
        </is>
      </c>
      <c r="J166" s="16" t="inlineStr">
        <is>
          <t>Allouer/Affecter les ressources sur la WBS (activités)</t>
        </is>
      </c>
      <c r="K166" s="15" t="n">
        <v>44853.60287037037</v>
      </c>
      <c r="L166" s="15" t="n">
        <v>45670.58315972222</v>
      </c>
      <c r="M166" s="19" t="n">
        <v>1327.74</v>
      </c>
      <c r="N166" s="19" t="n">
        <v>510.76</v>
      </c>
      <c r="O166" s="16" t="b">
        <v>0</v>
      </c>
      <c r="P166" s="16" t="inlineStr">
        <is>
          <t>missing</t>
        </is>
      </c>
      <c r="Q166" s="16" t="n">
        <v>1</v>
      </c>
      <c r="R166" s="16" t="n">
        <v>0</v>
      </c>
      <c r="S166" s="16" t="n">
        <v>0</v>
      </c>
      <c r="T166" s="16" t="inlineStr">
        <is>
          <t>https://data-servier.atlassian.net/browse/PPMG-373</t>
        </is>
      </c>
    </row>
    <row r="167">
      <c r="A167" s="16" t="inlineStr">
        <is>
          <t>85777</t>
        </is>
      </c>
      <c r="B167" s="16" t="inlineStr">
        <is>
          <t>PPMG-376</t>
        </is>
      </c>
      <c r="C167" s="16" t="inlineStr">
        <is>
          <t>PPMG-376</t>
        </is>
      </c>
      <c r="D167" s="16" t="inlineStr"/>
      <c r="E167" s="16" t="inlineStr">
        <is>
          <t>Backlog</t>
        </is>
      </c>
      <c r="F167" s="16" t="inlineStr">
        <is>
          <t>new</t>
        </is>
      </c>
      <c r="G167" s="16" t="inlineStr">
        <is>
          <t>Story</t>
        </is>
      </c>
      <c r="H167" s="16" t="inlineStr">
        <is>
          <t>Medium</t>
        </is>
      </c>
      <c r="I167" s="16" t="inlineStr">
        <is>
          <t>Grégory RUGET</t>
        </is>
      </c>
      <c r="J167" s="16" t="inlineStr">
        <is>
          <t>Clôturer / Archiver le projet/programme</t>
        </is>
      </c>
      <c r="K167" s="15" t="n">
        <v>44853.60289351852</v>
      </c>
      <c r="L167" s="15" t="n">
        <v>45670.58306712963</v>
      </c>
      <c r="M167" s="19" t="n">
        <v>1327.74</v>
      </c>
      <c r="N167" s="19" t="n">
        <v>510.76</v>
      </c>
      <c r="O167" s="16" t="b">
        <v>0</v>
      </c>
      <c r="P167" s="16" t="inlineStr">
        <is>
          <t>missing</t>
        </is>
      </c>
      <c r="Q167" s="16" t="n">
        <v>1</v>
      </c>
      <c r="R167" s="16" t="n">
        <v>0</v>
      </c>
      <c r="S167" s="16" t="n">
        <v>0</v>
      </c>
      <c r="T167" s="16" t="inlineStr">
        <is>
          <t>https://data-servier.atlassian.net/browse/PPMG-376</t>
        </is>
      </c>
    </row>
    <row r="168">
      <c r="A168" s="16" t="inlineStr">
        <is>
          <t>85783</t>
        </is>
      </c>
      <c r="B168" s="16" t="inlineStr">
        <is>
          <t>PPMG-382</t>
        </is>
      </c>
      <c r="C168" s="16" t="inlineStr">
        <is>
          <t>PPMG-382</t>
        </is>
      </c>
      <c r="D168" s="16" t="inlineStr"/>
      <c r="E168" s="16" t="inlineStr">
        <is>
          <t>Backlog</t>
        </is>
      </c>
      <c r="F168" s="16" t="inlineStr">
        <is>
          <t>new</t>
        </is>
      </c>
      <c r="G168" s="16" t="inlineStr">
        <is>
          <t>Story</t>
        </is>
      </c>
      <c r="H168" s="16" t="inlineStr">
        <is>
          <t>Lowest</t>
        </is>
      </c>
      <c r="I168" s="16" t="inlineStr">
        <is>
          <t>Grégory RUGET</t>
        </is>
      </c>
      <c r="J168" s="16" t="inlineStr">
        <is>
          <t>Gérer les alertes / notifications</t>
        </is>
      </c>
      <c r="K168" s="15" t="n">
        <v>44853.60293981482</v>
      </c>
      <c r="L168" s="15" t="n">
        <v>45670.58319444444</v>
      </c>
      <c r="M168" s="19" t="n">
        <v>1327.74</v>
      </c>
      <c r="N168" s="19" t="n">
        <v>510.76</v>
      </c>
      <c r="O168" s="16" t="b">
        <v>0</v>
      </c>
      <c r="P168" s="16" t="inlineStr">
        <is>
          <t>missing</t>
        </is>
      </c>
      <c r="Q168" s="16" t="n">
        <v>1</v>
      </c>
      <c r="R168" s="16" t="n">
        <v>0</v>
      </c>
      <c r="S168" s="16" t="n">
        <v>0</v>
      </c>
      <c r="T168" s="16" t="inlineStr">
        <is>
          <t>https://data-servier.atlassian.net/browse/PPMG-382</t>
        </is>
      </c>
    </row>
    <row r="169">
      <c r="A169" s="16" t="inlineStr">
        <is>
          <t>85795</t>
        </is>
      </c>
      <c r="B169" s="16" t="inlineStr">
        <is>
          <t>PPMG-394</t>
        </is>
      </c>
      <c r="C169" s="16" t="inlineStr">
        <is>
          <t>PPMG-394</t>
        </is>
      </c>
      <c r="D169" s="16" t="inlineStr"/>
      <c r="E169" s="16" t="inlineStr">
        <is>
          <t>Backlog</t>
        </is>
      </c>
      <c r="F169" s="16" t="inlineStr">
        <is>
          <t>new</t>
        </is>
      </c>
      <c r="G169" s="16" t="inlineStr">
        <is>
          <t>Story</t>
        </is>
      </c>
      <c r="H169" s="16" t="inlineStr">
        <is>
          <t>Lowest</t>
        </is>
      </c>
      <c r="I169" s="16" t="inlineStr">
        <is>
          <t>Corinne THOMAS</t>
        </is>
      </c>
      <c r="J169" s="16" t="inlineStr">
        <is>
          <t>Création d'un scénario / simulation du portefeuille</t>
        </is>
      </c>
      <c r="K169" s="15" t="n">
        <v>44853.60302083333</v>
      </c>
      <c r="L169" s="15" t="n">
        <v>45670.58299768518</v>
      </c>
      <c r="M169" s="19" t="n">
        <v>1327.74</v>
      </c>
      <c r="N169" s="19" t="n">
        <v>510.76</v>
      </c>
      <c r="O169" s="16" t="b">
        <v>0</v>
      </c>
      <c r="P169" s="16" t="inlineStr">
        <is>
          <t>missing</t>
        </is>
      </c>
      <c r="Q169" s="16" t="n">
        <v>2</v>
      </c>
      <c r="R169" s="16" t="n">
        <v>0</v>
      </c>
      <c r="S169" s="16" t="n">
        <v>0</v>
      </c>
      <c r="T169" s="16" t="inlineStr">
        <is>
          <t>https://data-servier.atlassian.net/browse/PPMG-394</t>
        </is>
      </c>
    </row>
    <row r="170">
      <c r="A170" s="16" t="inlineStr">
        <is>
          <t>85796</t>
        </is>
      </c>
      <c r="B170" s="16" t="inlineStr">
        <is>
          <t>PPMG-395</t>
        </is>
      </c>
      <c r="C170" s="16" t="inlineStr">
        <is>
          <t>PPMG-395</t>
        </is>
      </c>
      <c r="D170" s="16" t="inlineStr"/>
      <c r="E170" s="16" t="inlineStr">
        <is>
          <t>Backlog</t>
        </is>
      </c>
      <c r="F170" s="16" t="inlineStr">
        <is>
          <t>new</t>
        </is>
      </c>
      <c r="G170" s="16" t="inlineStr">
        <is>
          <t>Story</t>
        </is>
      </c>
      <c r="H170" s="16" t="inlineStr">
        <is>
          <t>Lowest</t>
        </is>
      </c>
      <c r="I170" s="16" t="inlineStr">
        <is>
          <t>Corinne THOMAS</t>
        </is>
      </c>
      <c r="J170" s="16" t="inlineStr">
        <is>
          <t>Comparer un scenario avec mon portefeuille courant ou comparer des scenarii entre eux</t>
        </is>
      </c>
      <c r="K170" s="15" t="n">
        <v>44853.60303240741</v>
      </c>
      <c r="L170" s="15" t="n">
        <v>45672.40717592592</v>
      </c>
      <c r="M170" s="19" t="n">
        <v>1327.74</v>
      </c>
      <c r="N170" s="19" t="n">
        <v>508.93</v>
      </c>
      <c r="O170" s="16" t="b">
        <v>0</v>
      </c>
      <c r="P170" s="16" t="inlineStr">
        <is>
          <t>missing</t>
        </is>
      </c>
      <c r="Q170" s="16" t="n">
        <v>2</v>
      </c>
      <c r="R170" s="16" t="n">
        <v>0</v>
      </c>
      <c r="S170" s="16" t="n">
        <v>0</v>
      </c>
      <c r="T170" s="16" t="inlineStr">
        <is>
          <t>https://data-servier.atlassian.net/browse/PPMG-395</t>
        </is>
      </c>
    </row>
    <row r="171">
      <c r="A171" s="16" t="inlineStr">
        <is>
          <t>85797</t>
        </is>
      </c>
      <c r="B171" s="16" t="inlineStr">
        <is>
          <t>PPMG-396</t>
        </is>
      </c>
      <c r="C171" s="16" t="inlineStr">
        <is>
          <t>PPMG-396</t>
        </is>
      </c>
      <c r="D171" s="16" t="inlineStr"/>
      <c r="E171" s="16" t="inlineStr">
        <is>
          <t>Backlog</t>
        </is>
      </c>
      <c r="F171" s="16" t="inlineStr">
        <is>
          <t>new</t>
        </is>
      </c>
      <c r="G171" s="16" t="inlineStr">
        <is>
          <t>Story</t>
        </is>
      </c>
      <c r="H171" s="16" t="inlineStr">
        <is>
          <t>Lowest</t>
        </is>
      </c>
      <c r="I171" s="16" t="inlineStr">
        <is>
          <t>Corinne THOMAS</t>
        </is>
      </c>
      <c r="J171" s="16" t="inlineStr">
        <is>
          <t>Appliquer / Valider un scenario</t>
        </is>
      </c>
      <c r="K171" s="15" t="n">
        <v>44853.60304398148</v>
      </c>
      <c r="L171" s="15" t="n">
        <v>45670.5830787037</v>
      </c>
      <c r="M171" s="19" t="n">
        <v>1327.74</v>
      </c>
      <c r="N171" s="19" t="n">
        <v>510.76</v>
      </c>
      <c r="O171" s="16" t="b">
        <v>0</v>
      </c>
      <c r="P171" s="16" t="inlineStr">
        <is>
          <t>missing</t>
        </is>
      </c>
      <c r="Q171" s="16" t="n">
        <v>2</v>
      </c>
      <c r="R171" s="16" t="n">
        <v>0</v>
      </c>
      <c r="S171" s="16" t="n">
        <v>0</v>
      </c>
      <c r="T171" s="16" t="inlineStr">
        <is>
          <t>https://data-servier.atlassian.net/browse/PPMG-396</t>
        </is>
      </c>
    </row>
    <row r="172">
      <c r="A172" s="16" t="inlineStr">
        <is>
          <t>85798</t>
        </is>
      </c>
      <c r="B172" s="16" t="inlineStr">
        <is>
          <t>PPMG-397</t>
        </is>
      </c>
      <c r="C172" s="16" t="inlineStr">
        <is>
          <t>PPMG-397</t>
        </is>
      </c>
      <c r="D172" s="16" t="inlineStr"/>
      <c r="E172" s="16" t="inlineStr">
        <is>
          <t>Backlog</t>
        </is>
      </c>
      <c r="F172" s="16" t="inlineStr">
        <is>
          <t>new</t>
        </is>
      </c>
      <c r="G172" s="16" t="inlineStr">
        <is>
          <t>Story</t>
        </is>
      </c>
      <c r="H172" s="16" t="inlineStr">
        <is>
          <t>Medium</t>
        </is>
      </c>
      <c r="I172" s="16" t="inlineStr">
        <is>
          <t>Corinne THOMAS</t>
        </is>
      </c>
      <c r="J172" s="16" t="inlineStr">
        <is>
          <t>Gestion des interdépendances dans le portefeuille</t>
        </is>
      </c>
      <c r="K172" s="15" t="n">
        <v>44853.60304398148</v>
      </c>
      <c r="L172" s="15" t="n">
        <v>45868.3272337963</v>
      </c>
      <c r="M172" s="19" t="n">
        <v>1327.74</v>
      </c>
      <c r="N172" s="19" t="n">
        <v>313.01</v>
      </c>
      <c r="O172" s="16" t="b">
        <v>0</v>
      </c>
      <c r="P172" s="16" t="inlineStr">
        <is>
          <t>missing</t>
        </is>
      </c>
      <c r="Q172" s="16" t="n">
        <v>5</v>
      </c>
      <c r="R172" s="16" t="n">
        <v>1</v>
      </c>
      <c r="S172" s="16" t="n">
        <v>0</v>
      </c>
      <c r="T172" s="16" t="inlineStr">
        <is>
          <t>https://data-servier.atlassian.net/browse/PPMG-397</t>
        </is>
      </c>
    </row>
    <row r="173">
      <c r="A173" s="16" t="inlineStr">
        <is>
          <t>87564</t>
        </is>
      </c>
      <c r="B173" s="16" t="inlineStr">
        <is>
          <t>PPMG-408</t>
        </is>
      </c>
      <c r="C173" s="16" t="inlineStr">
        <is>
          <t>PPMG-408</t>
        </is>
      </c>
      <c r="D173" s="16" t="inlineStr"/>
      <c r="E173" s="16" t="inlineStr">
        <is>
          <t>Backlog</t>
        </is>
      </c>
      <c r="F173" s="16" t="inlineStr">
        <is>
          <t>new</t>
        </is>
      </c>
      <c r="G173" s="16" t="inlineStr">
        <is>
          <t>Feature</t>
        </is>
      </c>
      <c r="H173" s="16" t="inlineStr">
        <is>
          <t>Medium</t>
        </is>
      </c>
      <c r="I173" s="16" t="inlineStr">
        <is>
          <t>jean-marc.delabriere</t>
        </is>
      </c>
      <c r="J173" s="16" t="inlineStr">
        <is>
          <t>ADMINISTRATION</t>
        </is>
      </c>
      <c r="K173" s="15" t="n">
        <v>44873.85659722222</v>
      </c>
      <c r="L173" s="15" t="n">
        <v>45839.56581018519</v>
      </c>
      <c r="M173" s="19" t="n">
        <v>1307.48</v>
      </c>
      <c r="N173" s="19" t="n">
        <v>341.77</v>
      </c>
      <c r="O173" s="16" t="b">
        <v>0</v>
      </c>
      <c r="P173" s="16" t="inlineStr">
        <is>
          <t>missing</t>
        </is>
      </c>
      <c r="Q173" s="16" t="n">
        <v>0</v>
      </c>
      <c r="R173" s="16" t="n">
        <v>0</v>
      </c>
      <c r="S173" s="16" t="n">
        <v>0</v>
      </c>
      <c r="T173" s="16" t="inlineStr">
        <is>
          <t>https://data-servier.atlassian.net/browse/PPMG-408</t>
        </is>
      </c>
    </row>
    <row r="174">
      <c r="A174" s="16" t="inlineStr">
        <is>
          <t>87568</t>
        </is>
      </c>
      <c r="B174" s="16" t="inlineStr">
        <is>
          <t>PPMG-412</t>
        </is>
      </c>
      <c r="C174" s="16" t="inlineStr">
        <is>
          <t>PPMG-412</t>
        </is>
      </c>
      <c r="D174" s="16" t="inlineStr"/>
      <c r="E174" s="16" t="inlineStr">
        <is>
          <t>Backlog</t>
        </is>
      </c>
      <c r="F174" s="16" t="inlineStr">
        <is>
          <t>new</t>
        </is>
      </c>
      <c r="G174" s="16" t="inlineStr">
        <is>
          <t>Story</t>
        </is>
      </c>
      <c r="H174" s="16" t="inlineStr">
        <is>
          <t>Medium</t>
        </is>
      </c>
      <c r="I174" s="16" t="inlineStr">
        <is>
          <t>Ahmed TOUBALINE</t>
        </is>
      </c>
      <c r="J174" s="16" t="inlineStr">
        <is>
          <t>Administrer le Portfolio</t>
        </is>
      </c>
      <c r="K174" s="15" t="n">
        <v>44873.87697916666</v>
      </c>
      <c r="L174" s="15" t="n">
        <v>45670.58302083334</v>
      </c>
      <c r="M174" s="19" t="n">
        <v>1307.46</v>
      </c>
      <c r="N174" s="19" t="n">
        <v>510.76</v>
      </c>
      <c r="O174" s="16" t="b">
        <v>0</v>
      </c>
      <c r="P174" s="16" t="inlineStr">
        <is>
          <t>missing</t>
        </is>
      </c>
      <c r="Q174" s="16" t="n">
        <v>2</v>
      </c>
      <c r="R174" s="16" t="n">
        <v>0</v>
      </c>
      <c r="S174" s="16" t="n">
        <v>0</v>
      </c>
      <c r="T174" s="16" t="inlineStr">
        <is>
          <t>https://data-servier.atlassian.net/browse/PPMG-412</t>
        </is>
      </c>
    </row>
    <row r="175">
      <c r="A175" s="16" t="inlineStr">
        <is>
          <t>89702</t>
        </is>
      </c>
      <c r="B175" s="16" t="inlineStr">
        <is>
          <t>PPMG-434</t>
        </is>
      </c>
      <c r="C175" s="16" t="inlineStr">
        <is>
          <t>PPMG-434</t>
        </is>
      </c>
      <c r="D175" s="16" t="inlineStr"/>
      <c r="E175" s="16" t="inlineStr">
        <is>
          <t>Publié</t>
        </is>
      </c>
      <c r="F175" s="16" t="inlineStr">
        <is>
          <t>done</t>
        </is>
      </c>
      <c r="G175" s="16" t="inlineStr">
        <is>
          <t>Xray Test</t>
        </is>
      </c>
      <c r="H175" s="16" t="inlineStr">
        <is>
          <t>Medium</t>
        </is>
      </c>
      <c r="I175" s="16" t="inlineStr">
        <is>
          <t>Non assigné</t>
        </is>
      </c>
      <c r="J175" s="16" t="inlineStr">
        <is>
          <t>[PPMG-407] Test : Administrer les profils utilisateurs</t>
        </is>
      </c>
      <c r="K175" s="15" t="n">
        <v>44893.42627314815</v>
      </c>
      <c r="L175" s="15" t="n">
        <v>45072.50774305555</v>
      </c>
      <c r="M175" s="19" t="n">
        <v>1287.91</v>
      </c>
      <c r="N175" s="19" t="n">
        <v>1108.83</v>
      </c>
      <c r="O175" s="16" t="b">
        <v>0</v>
      </c>
      <c r="P175" s="16" t="inlineStr">
        <is>
          <t>missing</t>
        </is>
      </c>
      <c r="Q175" s="16" t="n">
        <v>0</v>
      </c>
      <c r="R175" s="16" t="n">
        <v>0</v>
      </c>
      <c r="S175" s="16" t="n">
        <v>1</v>
      </c>
      <c r="T175" s="16" t="inlineStr">
        <is>
          <t>https://data-servier.atlassian.net/browse/PPMG-434</t>
        </is>
      </c>
    </row>
    <row r="176">
      <c r="A176" s="16" t="inlineStr">
        <is>
          <t>90203</t>
        </is>
      </c>
      <c r="B176" s="16" t="inlineStr">
        <is>
          <t>PPMG-491</t>
        </is>
      </c>
      <c r="C176" s="16" t="inlineStr">
        <is>
          <t>PPMG-491</t>
        </is>
      </c>
      <c r="D176" s="16" t="inlineStr"/>
      <c r="E176" s="16" t="inlineStr">
        <is>
          <t>En cours</t>
        </is>
      </c>
      <c r="F176" s="16" t="inlineStr">
        <is>
          <t>indeterminate</t>
        </is>
      </c>
      <c r="G176" s="16" t="inlineStr">
        <is>
          <t>Feature</t>
        </is>
      </c>
      <c r="H176" s="16" t="inlineStr">
        <is>
          <t>Medium</t>
        </is>
      </c>
      <c r="I176" s="16" t="inlineStr">
        <is>
          <t>Mustapha DJEBBAR</t>
        </is>
      </c>
      <c r="J176" s="16" t="inlineStr">
        <is>
          <t>INTERFACES</t>
        </is>
      </c>
      <c r="K176" s="15" t="n">
        <v>44895.58753472222</v>
      </c>
      <c r="L176" s="15" t="n">
        <v>45993.55689814815</v>
      </c>
      <c r="M176" s="19" t="n">
        <v>1285.75</v>
      </c>
      <c r="N176" s="19" t="n">
        <v>187.78</v>
      </c>
      <c r="O176" s="16" t="b">
        <v>0</v>
      </c>
      <c r="P176" s="16" t="inlineStr">
        <is>
          <t>missing</t>
        </is>
      </c>
      <c r="Q176" s="16" t="n">
        <v>0</v>
      </c>
      <c r="R176" s="16" t="n">
        <v>0</v>
      </c>
      <c r="S176" s="16" t="n">
        <v>1</v>
      </c>
      <c r="T176" s="16" t="inlineStr">
        <is>
          <t>https://data-servier.atlassian.net/browse/PPMG-491</t>
        </is>
      </c>
    </row>
    <row r="177">
      <c r="A177" s="16" t="inlineStr">
        <is>
          <t>154451</t>
        </is>
      </c>
      <c r="B177" s="16" t="inlineStr">
        <is>
          <t>PPMG-984</t>
        </is>
      </c>
      <c r="C177" s="16" t="inlineStr">
        <is>
          <t>PPMG-984</t>
        </is>
      </c>
      <c r="D177" s="16" t="inlineStr"/>
      <c r="E177" s="16" t="inlineStr">
        <is>
          <t>En cours</t>
        </is>
      </c>
      <c r="F177" s="16" t="inlineStr">
        <is>
          <t>indeterminate</t>
        </is>
      </c>
      <c r="G177" s="16" t="inlineStr">
        <is>
          <t>Tâche</t>
        </is>
      </c>
      <c r="H177" s="16" t="inlineStr">
        <is>
          <t>Highest</t>
        </is>
      </c>
      <c r="I177" s="16" t="inlineStr">
        <is>
          <t>Hajar AIT MENDIL</t>
        </is>
      </c>
      <c r="J177" s="16" t="inlineStr">
        <is>
          <t>Synchronisation des Comptes avec l'AD</t>
        </is>
      </c>
      <c r="K177" s="15" t="n">
        <v>45453.29902777778</v>
      </c>
      <c r="L177" s="15" t="n">
        <v>45835.49657407407</v>
      </c>
      <c r="M177" s="19" t="n">
        <v>728.04</v>
      </c>
      <c r="N177" s="19" t="n">
        <v>345.84</v>
      </c>
      <c r="O177" s="16" t="b">
        <v>0</v>
      </c>
      <c r="P177" s="16" t="inlineStr">
        <is>
          <t>missing</t>
        </is>
      </c>
      <c r="Q177" s="16" t="n">
        <v>9</v>
      </c>
      <c r="R177" s="16" t="n">
        <v>0</v>
      </c>
      <c r="S177" s="16" t="n">
        <v>0</v>
      </c>
      <c r="T177" s="16" t="inlineStr">
        <is>
          <t>https://data-servier.atlassian.net/browse/PPMG-984</t>
        </is>
      </c>
    </row>
  </sheetData>
  <autoFilter ref="A1:T17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</cols>
  <sheetData>
    <row r="1">
      <c r="A1" s="17" t="inlineStr">
        <is>
          <t>Sujet</t>
        </is>
      </c>
      <c r="B1" s="17" t="inlineStr">
        <is>
          <t>Message</t>
        </is>
      </c>
    </row>
    <row r="2">
      <c r="A2" s="16" t="inlineStr">
        <is>
          <t>Nature de la date</t>
        </is>
      </c>
      <c r="B2" s="16" t="inlineStr">
        <is>
          <t>Les dates de modification sont des fenêtres de détection entre deux exports RSS. Le RSS ne donne pas l'heure exacte ni l'auteur exact de chaque changement de champ.</t>
        </is>
      </c>
    </row>
    <row r="3">
      <c r="A3" s="16" t="inlineStr">
        <is>
          <t>Identifiant ticket</t>
        </is>
      </c>
      <c r="B3" s="16" t="inlineStr">
        <is>
          <t>La comparaison utilise l'id technique de &lt;key id=...&gt;. Si absent, le script utilise la key Jira et l'indique dans les warnings.</t>
        </is>
      </c>
    </row>
    <row r="4">
      <c r="A4" s="16" t="inlineStr">
        <is>
          <t>Tickets disparus</t>
        </is>
      </c>
      <c r="B4" s="16" t="inlineStr">
        <is>
          <t>Un ticket disparu signifie qu'il est absent de l'export suivant. Cela peut venir d'une clôture, d'un changement de filtre Jira, d'un droit d'accès ou d'une suppression.</t>
        </is>
      </c>
    </row>
    <row r="5">
      <c r="A5" s="16" t="inlineStr">
        <is>
          <t>Filtres Jira</t>
        </is>
      </c>
      <c r="B5" s="16" t="inlineStr">
        <is>
          <t>Pour des comparaisons fiables, tous les fichiers du répertoire doivent provenir du même filtre Jira ou d'un périmètre fonctionnel comparable.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analyse_jira_rss.py</dc:creator>
  <dc:title>KPI modifications Jira RSS</dc:title>
  <dcterms:created xsi:type="dcterms:W3CDTF">2026-06-08T13:59:21Z</dcterms:created>
  <dcterms:modified xsi:type="dcterms:W3CDTF">2026-06-08T13:59:22Z</dcterms:modified>
</cp:coreProperties>
</file>